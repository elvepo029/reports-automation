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09" documentId="8_{87ED13D3-6389-4B0F-931E-22C807EF0FA4}" xr6:coauthVersionLast="47" xr6:coauthVersionMax="47" xr10:uidLastSave="{50F41226-241D-4502-A0AC-E4DB68D7948E}"/>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<sst xmlns="http://schemas.openxmlformats.org/spreadsheetml/2006/main" count="3295" uniqueCount="769">
  <si>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</si>
  <si>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</si>
  <si>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</si>
  <si>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</si>
  <si>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</si>
  <si>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</si>
  <si>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</si>
  <si>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</si>
  <si>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</si>
  <si>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</si>
  <si>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</si>
  <si>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</si>
  <si>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</si>
  <si>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</si>
  <si>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</si>
  <si>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</si>
  <si>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</si>
  <si>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</si>
  <si>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</si>
  <si>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</si>
  <si>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</si>
  <si>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</si>
  <si>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</si>
  <si>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</si>
  <si>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</si>
  <si>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</si>
  <si>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</si>
  <si>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</si>
  <si>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</si>
  <si>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</si>
  <si>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</si>
  <si>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</si>
  <si>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</si>
  <si>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</si>
  <si>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</si>
  <si>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</si>
  <si>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</si>
  <si>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</si>
  <si>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</si>
  <si>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</si>
  <si>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</si>
  <si>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</si>
  <si>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</si>
  <si>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</si>
  <si>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</si>
  <si>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</si>
  <si>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</si>
  <si>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</si>
  <si>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</si>
  <si>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</si>
  <si>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</si>
  <si>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</si>
  <si>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</si>
  <si>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</si>
  <si>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</si>
  <si>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</si>
  <si>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</si>
  <si>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</si>
  <si>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</si>
  <si>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</si>
  <si>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</si>
  <si>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</si>
  <si>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</si>
  <si>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</si>
  <si>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</si>
  <si>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</si>
  <si>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</si>
  <si>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</si>
  <si>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</si>
  <si>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</si>
  <si>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</si>
  <si>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</si>
  <si>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</si>
  <si>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</si>
  <si>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</si>
  <si>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</si>
  <si>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</si>
  <si>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</si>
  <si>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</si>
  <si>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</si>
  <si>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</si>
  <si>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</si>
  <si>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</si>
  <si>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</si>
  <si>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</si>
  <si>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</si>
  <si>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</si>
  <si>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</si>
  <si>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</si>
  <si>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</si>
  <si>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</si>
  <si>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</si>
  <si>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</si>
  <si>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</si>
  <si>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</si>
  <si>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</si>
  <si>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</si>
  <si>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</si>
  <si>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</si>
  <si>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</si>
  <si>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</si>
  <si>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</si>
  <si>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</si>
  <si>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</si>
  <si>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</si>
  <si>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</si>
  <si>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</si>
  <si>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</si>
  <si>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</si>
  <si>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</si>
  <si>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</si>
  <si>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</si>
  <si>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</si>
  <si>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</si>
  <si>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</si>
  <si>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</si>
  <si>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</si>
  <si>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</si>
  <si>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</si>
  <si>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</si>
  <si>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</si>
  <si>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</si>
  <si>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</si>
  <si>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</si>
  <si>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</si>
  <si>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</si>
  <si>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</si>
  <si>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</si>
  <si>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</si>
  <si>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</si>
  <si>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</si>
  <si>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</si>
  <si>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</si>
  <si>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</si>
  <si>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</si>
  <si>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</si>
  <si>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</si>
  <si>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</si>
  <si>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</si>
  <si>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</si>
  <si>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</si>
  <si>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</si>
  <si>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</si>
  <si>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</si>
  <si>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</si>
  <si>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</si>
  <si>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</si>
  <si>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</si>
  <si>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</si>
  <si>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</si>
  <si>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</si>
  <si>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</si>
  <si>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</si>
  <si>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</si>
  <si>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</si>
  <si>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</si>
  <si>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</si>
  <si>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</si>
  <si>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</si>
  <si>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</si>
  <si>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</si>
  <si>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</si>
  <si>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</si>
  <si>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</si>
  <si>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</si>
  <si>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</si>
  <si>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</si>
  <si>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</si>
  <si>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</si>
  <si>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</si>
  <si>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</si>
  <si>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</si>
  <si>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</si>
  <si>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</si>
  <si>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</si>
  <si>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</si>
  <si>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</si>
  <si>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</si>
  <si>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</si>
  <si>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</si>
  <si>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</si>
  <si>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</si>
  <si>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</si>
  <si>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</si>
  <si>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</si>
  <si>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</si>
  <si>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</si>
  <si>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</si>
  <si>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</si>
  <si>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</si>
  <si>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</si>
  <si>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</si>
  <si>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</si>
  <si>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</si>
  <si>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</si>
  <si>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</si>
  <si>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</si>
  <si>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</si>
  <si>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</si>
  <si>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</si>
  <si>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</si>
  <si>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</si>
  <si>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</si>
  <si>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</si>
  <si>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</si>
  <si>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</si>
  <si>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</si>
  <si>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</si>
  <si>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</si>
  <si>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</si>
  <si>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</si>
  <si>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</si>
  <si>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</si>
  <si>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</si>
  <si>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</si>
  <si>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</si>
  <si>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</si>
  <si>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</si>
  <si>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</si>
  <si>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</si>
  <si>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</si>
  <si>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</si>
  <si>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</si>
  <si>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</si>
  <si>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</si>
  <si>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</si>
  <si>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</si>
  <si>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</si>
  <si>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</si>
  <si>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</si>
  <si>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</si>
  <si>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</si>
  <si>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</si>
  <si>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</si>
  <si>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</si>
  <si>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</si>
  <si>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</si>
  <si>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</si>
  <si>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</si>
  <si>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</si>
  <si>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</si>
  <si>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</si>
  <si>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</si>
  <si>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</si>
  <si>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</si>
  <si>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</si>
  <si>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</si>
  <si>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</si>
  <si>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</si>
  <si>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</si>
  <si>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</si>
  <si>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</si>
  <si>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</si>
  <si>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</si>
  <si>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</si>
  <si>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</si>
  <si>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</si>
  <si>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</si>
  <si>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</si>
  <si>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</si>
  <si>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</si>
  <si>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</si>
  <si>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</si>
  <si>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</si>
  <si>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</si>
  <si>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</si>
  <si>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</si>
  <si>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</si>
  <si>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</si>
  <si>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</si>
  <si>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</si>
  <si>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</si>
  <si>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</si>
  <si>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</si>
  <si>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</si>
  <si>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</si>
  <si>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</si>
  <si>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</si>
  <si>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</si>
  <si>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</si>
  <si>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</si>
  <si>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</si>
  <si>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</si>
  <si>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</si>
  <si>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</si>
  <si>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</si>
  <si>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</si>
  <si>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</si>
  <si>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</si>
  <si>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</si>
  <si>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</si>
  <si>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</si>
  <si>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</si>
  <si>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</si>
  <si>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</si>
  <si>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</si>
  <si>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</si>
  <si>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</si>
  <si>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</si>
  <si>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</si>
  <si>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</si>
  <si>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</si>
  <si>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</si>
  <si>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</si>
  <si>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</si>
  <si>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</si>
  <si>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</si>
  <si>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</si>
  <si>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</si>
  <si>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</si>
  <si>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</si>
  <si>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</si>
  <si>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</si>
  <si>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</si>
  <si>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</si>
  <si>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</si>
  <si>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</si>
  <si>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</si>
  <si>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</si>
  <si>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</si>
  <si>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</si>
  <si>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</si>
  <si>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</si>
  <si>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</si>
  <si>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</si>
  <si>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</si>
  <si>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</si>
  <si>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</si>
  <si>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</si>
  <si>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</si>
  <si>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</si>
  <si>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</si>
  <si>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</si>
  <si>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</si>
  <si>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</si>
  <si>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</si>
  <si>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</si>
  <si>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</si>
  <si>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</si>
  <si>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</si>
  <si>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</si>
  <si>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</si>
  <si>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</si>
  <si>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</si>
  <si>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</si>
  <si>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</si>
  <si>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</si>
  <si>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</si>
  <si>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</si>
  <si>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</si>
  <si>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</si>
  <si>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</si>
  <si>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</si>
  <si>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</si>
  <si>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</si>
  <si>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</si>
  <si>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</si>
  <si>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</si>
  <si>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</si>
  <si>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</si>
  <si>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</si>
  <si>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</si>
  <si>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</si>
  <si>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</si>
  <si>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</si>
  <si>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</si>
  <si>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</si>
  <si>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</si>
  <si>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</si>
  <si>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</si>
  <si>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</si>
  <si>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</si>
  <si>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</si>
  <si>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</si>
  <si>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</si>
  <si>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</si>
  <si>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</si>
  <si>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</si>
  <si>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</si>
  <si>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</si>
  <si>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</si>
  <si>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</si>
  <si>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</si>
  <si>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</si>
  <si>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</si>
  <si>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</si>
  <si>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</si>
  <si>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</si>
  <si>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</si>
  <si>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</si>
  <si>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</si>
  <si>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</si>
  <si>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</si>
  <si>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</si>
  <si>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</si>
  <si>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</si>
  <si>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</si>
  <si>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</si>
  <si>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</si>
  <si>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</si>
  <si>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</si>
  <si>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</si>
  <si>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</si>
  <si>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</si>
  <si>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</si>
  <si>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</si>
  <si>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</si>
  <si>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</si>
  <si>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</si>
  <si>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</si>
  <si>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</si>
  <si>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</si>
  <si>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</si>
  <si>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</si>
  <si>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</si>
  <si>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</si>
  <si>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</si>
  <si>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</si>
  <si>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</si>
  <si>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</si>
  <si>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</si>
  <si>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</si>
  <si>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</si>
  <si>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</si>
  <si>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</si>
  <si>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</si>
  <si>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</si>
  <si>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</si>
  <si>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</si>
  <si>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</si>
  <si>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</si>
  <si>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</si>
  <si>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</si>
  <si>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</si>
  <si>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</si>
  <si>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</si>
  <si>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</si>
  <si>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</si>
  <si>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</si>
  <si>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</si>
  <si>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</si>
  <si>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</si>
  <si>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</si>
  <si>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</si>
  <si>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</si>
  <si>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</si>
  <si>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</si>
  <si>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</si>
  <si>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</si>
  <si>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</si>
  <si>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</si>
  <si>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</si>
  <si>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</si>
  <si>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</si>
  <si>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</si>
  <si>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</si>
  <si>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</si>
  <si>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</si>
  <si>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</si>
  <si>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</si>
  <si>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</si>
  <si>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</si>
  <si>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</si>
  <si>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</si>
  <si>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</si>
  <si>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</si>
  <si>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</si>
  <si>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</si>
  <si>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</si>
  <si>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</si>
  <si>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</si>
  <si>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</si>
  <si>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</si>
  <si>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</si>
  <si>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</si>
  <si>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</si>
  <si>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</si>
  <si>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</si>
  <si>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</si>
  <si>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</si>
  <si>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</si>
  <si>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</si>
  <si>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</si>
  <si>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</si>
  <si>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</si>
  <si>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</si>
  <si>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</si>
  <si>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</si>
  <si>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</si>
  <si>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</si>
  <si>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</si>
  <si>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</si>
  <si>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</si>
  <si>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</si>
  <si>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</si>
  <si>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</si>
  <si>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</si>
  <si>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</si>
  <si>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</si>
  <si>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</si>
  <si>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</si>
  <si>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</si>
  <si>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</si>
  <si>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</si>
  <si>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</si>
  <si>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</si>
  <si>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</si>
  <si>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</si>
  <si>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</si>
  <si>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</si>
  <si>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</si>
  <si>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</si>
  <si>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</si>
  <si>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</si>
  <si>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</si>
  <si>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</si>
  <si>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</si>
  <si>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</si>
  <si>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</si>
  <si>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</si>
  <si>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</si>
  <si>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</si>
  <si>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</si>
  <si>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</si>
  <si>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</si>
  <si>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</si>
  <si>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</si>
  <si>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</si>
  <si>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</si>
  <si>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</si>
  <si>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</si>
  <si>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</si>
  <si>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</si>
  <si>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</si>
  <si>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</si>
  <si>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</si>
  <si>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</si>
  <si>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</si>
  <si>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</si>
  <si>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</si>
  <si>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</si>
  <si>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</si>
  <si>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</si>
  <si>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</si>
  <si>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</si>
  <si>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</si>
  <si>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</si>
  <si>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</si>
  <si>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</si>
  <si>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</si>
  <si>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</si>
  <si>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</si>
  <si>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</si>
  <si>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</si>
  <si>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</si>
  <si>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</si>
  <si>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</si>
  <si>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</si>
  <si>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</si>
  <si>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</si>
  <si>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</si>
  <si>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</si>
  <si>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</si>
  <si>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</si>
  <si>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</si>
  <si>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</si>
  <si>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</si>
  <si>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</si>
  <si>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</si>
  <si>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</si>
  <si>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</si>
  <si>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</si>
  <si>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</si>
  <si>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</si>
  <si>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</si>
  <si>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</si>
  <si>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</si>
  <si>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</si>
  <si>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</si>
  <si>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</si>
  <si>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</si>
  <si>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</si>
  <si>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</si>
  <si>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</si>
  <si>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</si>
  <si>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</si>
  <si>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</si>
  <si>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</si>
  <si>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</si>
  <si>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</si>
  <si>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</si>
  <si>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</si>
  <si>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</si>
  <si>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</si>
  <si>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</si>
  <si>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</si>
  <si>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</si>
  <si>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</si>
  <si>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</si>
  <si>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</si>
  <si>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</si>
  <si>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</si>
  <si>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</si>
  <si>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</si>
  <si>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</si>
  <si>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</si>
  <si>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</si>
  <si>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</si>
  <si>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</si>
  <si>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</si>
  <si>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</si>
  <si>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</si>
  <si>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</si>
  <si>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</si>
  <si>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</si>
  <si>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</si>
  <si>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</si>
  <si>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</si>
  <si>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</si>
  <si>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</si>
  <si>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</si>
  <si>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</si>
  <si>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</si>
  <si>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</si>
  <si>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</si>
  <si>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</si>
  <si>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</si>
  <si>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</si>
  <si>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</si>
  <si>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</si>
  <si>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</si>
  <si>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</si>
  <si>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</si>
  <si>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</si>
  <si>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</si>
  <si>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</si>
  <si>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</si>
  <si>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</si>
  <si>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</si>
  <si>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</si>
  <si>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</si>
  <si>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</si>
  <si>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</si>
  <si>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</si>
  <si>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</si>
  <si>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</si>
  <si>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</si>
  <si>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</si>
  <si>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</si>
  <si>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</si>
  <si>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</si>
  <si>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</si>
  <si>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</si>
  <si>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</si>
  <si>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</si>
  <si>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</si>
  <si>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</si>
  <si>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</si>
  <si>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</si>
  <si>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</si>
  <si>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</si>
  <si>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</si>
  <si>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</si>
  <si>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</si>
  <si>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</si>
  <si>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</si>
  <si>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</si>
  <si>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</si>
  <si>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</si>
  <si>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</si>
  <si>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</si>
  <si>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</si>
  <si>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</si>
  <si>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</si>
  <si>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</si>
  <si>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</si>
  <si>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</si>
  <si>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</si>
  <si>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</si>
  <si>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</si>
  <si>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</si>
  <si>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</si>
  <si>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</si>
  <si>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</si>
  <si>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</si>
  <si>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</si>
  <si>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</si>
  <si>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</si>
  <si>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</si>
  <si>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</si>
  <si>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</si>
  <si>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</si>
  <si>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</si>
  <si>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</si>
  <si>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</si>
  <si>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</si>
  <si>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</si>
  <si>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</si>
  <si>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</si>
  <si>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</si>
  <si>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</si>
  <si>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</si>
  <si>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</si>
  <si>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</si>
  <si>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</si>
  <si>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</si>
  <si>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</si>
  <si>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</si>
  <si>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</si>
  <si>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</si>
  <si>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</si>
  <si>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</si>
  <si>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</si>
  <si>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</si>
  <si>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</si>
  <si>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</si>
  <si>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</si>
  <si>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</si>
  <si>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</si>
  <si>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</si>
  <si>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</si>
  <si>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</si>
  <si>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</si>
  <si>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</si>
  <si>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</si>
  <si>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</si>
  <si>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</si>
  <si>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</si>
  <si>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</si>
  <si>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</si>
  <si>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</si>
  <si>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</si>
  <si>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</si>
  <si>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</si>
  <si>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</si>
  <si>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</si>
  <si>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</si>
  <si>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</si>
  <si>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</si>
  <si>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</si>
  <si>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</si>
  <si>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</si>
  <si>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</si>
  <si>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</si>
  <si>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</si>
  <si>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</si>
  <si>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</si>
  <si>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</si>
  <si>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</si>
  <si>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</si>
  <si>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LUIS CALLEJA</t>
  </si>
  <si>
    <t>MARIA LUZ DEL PINO</t>
  </si>
  <si>
    <t>MIGUEL PENALBA</t>
  </si>
  <si>
    <t>ANA MARTIN</t>
  </si>
  <si>
    <t>ANDRES DE LA COBA</t>
  </si>
  <si>
    <t>ALBERTO GONZALEZ</t>
  </si>
  <si>
    <t>09:36</t>
  </si>
  <si>
    <t>06:45</t>
  </si>
  <si>
    <t>04:23</t>
  </si>
  <si>
    <t>09:39</t>
  </si>
  <si>
    <t>04:39</t>
  </si>
  <si>
    <t>02:23</t>
  </si>
  <si>
    <t>05:54</t>
  </si>
  <si>
    <t>02:51</t>
  </si>
  <si>
    <t>03:11</t>
  </si>
  <si>
    <t>05:37</t>
  </si>
  <si>
    <t>XAVI MATEU</t>
  </si>
  <si>
    <t>The work throughout the entire game was very good, and most of the corrections were criteria-related regarding assists. However, stay alert to make sure the game clock in ebstats starts when it should, and that substitutions are recorded at the right time. In any case, when you notice that a player on the court was missing, let us know so we can check it properly. At the end of each quarter, also tell us the score on Discord.</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</si>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</sst>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11</v>
      </c>
      <c r="D1" s="124" t="s">
        <v>749</v>
      </c>
      <c r="E1" s="125">
        <v>2025</v>
      </c>
      <c r="F1" s="120" t="str">
        <f>TEXT(C1,"00") &amp; "_" &amp; TEXT(C2,"000")&amp; "_" &amp; H4 &amp; "_" &amp; H5 &amp; "_" &amp; B2</f>
        <v>11_104_MAD_PAN_E2025</v>
      </c>
      <c r="G1" s="5"/>
      <c r="H1" s="5"/>
      <c r="I1" s="5"/>
      <c r="J1" s="8" t="s">
        <v>707</v>
      </c>
      <c r="K1" s="121" t="s">
        <v>742</v>
      </c>
      <c r="L1" s="121"/>
      <c r="M1" s="122" t="s">
        <v>239</v>
      </c>
      <c r="N1" s="121" t="s">
        <v>768</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104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45974.864583333336</v>
      </c>
      <c r="C3" s="157"/>
      <c r="D3" s="39">
        <v>531</v>
      </c>
      <c r="E3" s="29"/>
      <c r="F3" s="26">
        <f>SUBTOTAL(3,I17:I106)</f>
        <v>10</v>
      </c>
      <c r="G3" s="27">
        <f>IF(OR(D3="",D3=0),"",F3/D3)</f>
        <v>1.8832391713747645E-2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Real Madrid</v>
      </c>
      <c r="E4" s="161"/>
      <c r="F4" s="161"/>
      <c r="G4" s="162"/>
      <c r="H4" s="118" t="str">
        <f>IF(ISERROR(VLOOKUP($B$2&amp;TEXT($C$2,"000"),GAMES!$A$3:$I$562,6,FALSE)),"LOC",VLOOKUP($B$2&amp;TEXT($C$2,"000"),GAMES!$A$3:$I$562,6,FALSE))</f>
        <v>MAD</v>
      </c>
      <c r="I4" s="5"/>
      <c r="J4" s="119" t="s">
        <v>714</v>
      </c>
      <c r="K4" s="54" t="s">
        <v>743</v>
      </c>
      <c r="L4" s="5"/>
      <c r="M4" s="167" t="s">
        <v>767</v>
      </c>
      <c r="N4" s="168"/>
      <c r="O4" s="2"/>
      <c r="P4" s="2"/>
      <c r="Q4" s="84" t="s">
        <v>175</v>
      </c>
      <c r="R4" s="94">
        <f>(IF(G3="",0,G3))</f>
        <v>1.8832391713747645E-2</v>
      </c>
      <c r="S4" s="61">
        <f>SUM(I13:M13)</f>
        <v>1</v>
      </c>
      <c r="T4" s="78"/>
      <c r="U4" s="61">
        <f>AC18</f>
        <v>7</v>
      </c>
      <c r="V4" s="61">
        <f>+AC22</f>
        <v>1</v>
      </c>
      <c r="W4" s="61">
        <f>AC24</f>
        <v>0</v>
      </c>
      <c r="X4" s="61">
        <f>AC29</f>
        <v>0</v>
      </c>
      <c r="Y4" s="61">
        <f>AC25</f>
        <v>0</v>
      </c>
      <c r="Z4" s="84">
        <f>AC23</f>
        <v>0</v>
      </c>
      <c r="AA4" s="61">
        <f>AC21</f>
        <v>0</v>
      </c>
      <c r="AB4" s="61">
        <f>AC27</f>
        <v>2</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Panathinaikos AKTOR Athens</v>
      </c>
      <c r="E5" s="174"/>
      <c r="F5" s="174"/>
      <c r="G5" s="175"/>
      <c r="H5" s="118" t="str">
        <f>IF(ISERROR(VLOOKUP($B$2&amp;TEXT($C$2,"000"),GAMES!$A$3:$I$562,7,FALSE)),"VIS",VLOOKUP($B$2&amp;TEXT($C$2,"000"),GAMES!$A$3:$I$562,7,FALSE))</f>
        <v>PAN</v>
      </c>
      <c r="I5" s="5"/>
      <c r="J5" s="5"/>
      <c r="K5" s="5"/>
      <c r="L5" s="5"/>
      <c r="M5" s="169"/>
      <c r="N5" s="170"/>
      <c r="O5" s="2"/>
      <c r="P5" s="2"/>
      <c r="Q5" s="89" t="s">
        <v>174</v>
      </c>
      <c r="R5" s="94">
        <f>R4*R3</f>
        <v>1.8832391713747645</v>
      </c>
      <c r="S5" s="70">
        <f t="shared" ref="S5" si="0">S4*S3</f>
        <v>1</v>
      </c>
      <c r="T5" s="92"/>
      <c r="U5" s="70">
        <f t="shared" ref="U5:AG5" si="1">U4*U3</f>
        <v>3.5</v>
      </c>
      <c r="V5" s="70">
        <f t="shared" si="1"/>
        <v>1</v>
      </c>
      <c r="W5" s="70">
        <f t="shared" si="1"/>
        <v>0</v>
      </c>
      <c r="X5" s="70">
        <f t="shared" si="1"/>
        <v>0</v>
      </c>
      <c r="Y5" s="70">
        <f t="shared" si="1"/>
        <v>0</v>
      </c>
      <c r="Z5" s="89">
        <f t="shared" si="1"/>
        <v>0</v>
      </c>
      <c r="AA5" s="70">
        <f t="shared" si="1"/>
        <v>0</v>
      </c>
      <c r="AB5" s="70">
        <f t="shared" si="1"/>
        <v>10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17.383239171374765</v>
      </c>
      <c r="N7" s="58"/>
      <c r="O7" s="2"/>
      <c r="P7" s="2"/>
      <c r="Q7" s="86">
        <f>SUM(R5,S5,AC16)</f>
        <v>17.383239171374765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17.383239171374765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104</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766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14.5</v>
      </c>
      <c r="AD16" s="75">
        <f>SUM(AD17:AD24)</f>
        <v>45</v>
      </c>
      <c r="AE16" s="76" t="s">
        <v>42</v>
      </c>
      <c r="AF16" s="75">
        <f>SUM(AF17:AF24)</f>
        <v>4</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104</v>
      </c>
      <c r="D17" s="32" t="s">
        <v>756</v>
      </c>
      <c r="E17" s="33">
        <v>1</v>
      </c>
      <c r="F17" s="36">
        <v>0</v>
      </c>
      <c r="G17" s="36">
        <v>2</v>
      </c>
      <c r="H17" s="38" t="str">
        <f>IF(I17="","",$I$14)</f>
        <v>SCOUTING</v>
      </c>
      <c r="I17" s="34">
        <v>4</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6</v>
      </c>
      <c r="AB17" s="66" t="s">
        <v>19</v>
      </c>
      <c r="AC17" s="61">
        <f t="shared" ref="AC17:AC29" si="5">COUNTIF($L$17:$L$106,AB17)</f>
        <v>0</v>
      </c>
      <c r="AD17" s="61">
        <f t="shared" ref="AD17:AD25" si="6">P17</f>
        <v>10</v>
      </c>
      <c r="AE17" s="66" t="s">
        <v>11</v>
      </c>
      <c r="AF17" s="65">
        <f t="shared" ref="AF17:AF48" si="7">COUNTIF($M$17:$M$106,AE17)</f>
        <v>4</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104</v>
      </c>
      <c r="D18" s="32" t="s">
        <v>757</v>
      </c>
      <c r="E18" s="33">
        <v>2</v>
      </c>
      <c r="F18" s="36">
        <v>23</v>
      </c>
      <c r="G18" s="36">
        <v>30</v>
      </c>
      <c r="H18" s="38" t="str">
        <f t="shared" ref="H18:H81" si="8">IF(I18="","",$I$14)</f>
        <v>SCOUTING</v>
      </c>
      <c r="I18" s="34">
        <v>139</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4</v>
      </c>
      <c r="AB18" s="66" t="s">
        <v>5</v>
      </c>
      <c r="AC18" s="61">
        <f t="shared" si="5"/>
        <v>7</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104</v>
      </c>
      <c r="D19" s="32" t="s">
        <v>758</v>
      </c>
      <c r="E19" s="33">
        <v>2</v>
      </c>
      <c r="F19" s="36">
        <v>29</v>
      </c>
      <c r="G19" s="36">
        <v>38</v>
      </c>
      <c r="H19" s="38" t="str">
        <f t="shared" si="8"/>
        <v>SCOUTING</v>
      </c>
      <c r="I19" s="34">
        <v>177</v>
      </c>
      <c r="J19" s="13" t="s">
        <v>4</v>
      </c>
      <c r="K19" s="13" t="s">
        <v>62</v>
      </c>
      <c r="L19" s="13" t="s">
        <v>5</v>
      </c>
      <c r="M19" s="13" t="s">
        <v>28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104</v>
      </c>
      <c r="D20" s="32" t="s">
        <v>759</v>
      </c>
      <c r="E20" s="33">
        <v>3</v>
      </c>
      <c r="F20" s="36">
        <v>39</v>
      </c>
      <c r="G20" s="36">
        <v>52</v>
      </c>
      <c r="H20" s="38" t="str">
        <f t="shared" si="8"/>
        <v>SCOUTING</v>
      </c>
      <c r="I20" s="34">
        <v>254</v>
      </c>
      <c r="J20" s="13" t="s">
        <v>4</v>
      </c>
      <c r="K20" s="13" t="s">
        <v>62</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104</v>
      </c>
      <c r="D21" s="32" t="s">
        <v>760</v>
      </c>
      <c r="E21" s="33">
        <v>3</v>
      </c>
      <c r="F21" s="36">
        <v>50</v>
      </c>
      <c r="G21" s="36">
        <v>61</v>
      </c>
      <c r="H21" s="38" t="str">
        <f t="shared" si="8"/>
        <v>SCOUTING</v>
      </c>
      <c r="I21" s="34">
        <v>318</v>
      </c>
      <c r="J21" s="13" t="s">
        <v>4</v>
      </c>
      <c r="K21" s="13" t="s">
        <v>63</v>
      </c>
      <c r="L21" s="13" t="s">
        <v>6</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104</v>
      </c>
      <c r="D22" s="32" t="s">
        <v>761</v>
      </c>
      <c r="E22" s="33">
        <v>3</v>
      </c>
      <c r="F22" s="36">
        <v>56</v>
      </c>
      <c r="G22" s="36">
        <v>67</v>
      </c>
      <c r="H22" s="38" t="str">
        <f t="shared" si="8"/>
        <v>SCOUTING</v>
      </c>
      <c r="I22" s="34">
        <v>355</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104</v>
      </c>
      <c r="D23" s="32" t="s">
        <v>762</v>
      </c>
      <c r="E23" s="33">
        <v>4</v>
      </c>
      <c r="F23" s="36">
        <v>64</v>
      </c>
      <c r="G23" s="36">
        <v>79</v>
      </c>
      <c r="H23" s="38" t="str">
        <f t="shared" si="8"/>
        <v>SCOUTING</v>
      </c>
      <c r="I23" s="34">
        <v>426</v>
      </c>
      <c r="J23" s="13" t="s">
        <v>4</v>
      </c>
      <c r="K23" s="13" t="s">
        <v>63</v>
      </c>
      <c r="L23" s="13" t="s">
        <v>5</v>
      </c>
      <c r="M23" s="13" t="s">
        <v>10</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104</v>
      </c>
      <c r="D24" s="32" t="s">
        <v>763</v>
      </c>
      <c r="E24" s="33">
        <v>4</v>
      </c>
      <c r="F24" s="36">
        <v>71</v>
      </c>
      <c r="G24" s="36">
        <v>82</v>
      </c>
      <c r="H24" s="38" t="str">
        <f t="shared" si="8"/>
        <v>SCOUTING</v>
      </c>
      <c r="I24" s="34">
        <v>485</v>
      </c>
      <c r="J24" s="13" t="s">
        <v>4</v>
      </c>
      <c r="K24" s="13" t="s">
        <v>63</v>
      </c>
      <c r="L24" s="13" t="s">
        <v>5</v>
      </c>
      <c r="M24" s="13" t="s">
        <v>9</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104</v>
      </c>
      <c r="D25" s="32" t="s">
        <v>764</v>
      </c>
      <c r="E25" s="33">
        <v>4</v>
      </c>
      <c r="F25" s="36">
        <v>70</v>
      </c>
      <c r="G25" s="36">
        <v>82</v>
      </c>
      <c r="H25" s="38" t="str">
        <f t="shared" si="8"/>
        <v>SCOUTING</v>
      </c>
      <c r="I25" s="34">
        <v>480</v>
      </c>
      <c r="J25" s="13" t="s">
        <v>3</v>
      </c>
      <c r="K25" s="13" t="s">
        <v>63</v>
      </c>
      <c r="L25" s="13" t="s">
        <v>78</v>
      </c>
      <c r="M25" s="13" t="s">
        <v>78</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104</v>
      </c>
      <c r="D26" s="32" t="s">
        <v>765</v>
      </c>
      <c r="E26" s="33">
        <v>4</v>
      </c>
      <c r="F26" s="36">
        <v>50</v>
      </c>
      <c r="G26" s="36">
        <v>61</v>
      </c>
      <c r="H26" s="38" t="str">
        <f t="shared" si="8"/>
        <v>SCOUTING</v>
      </c>
      <c r="I26" s="34">
        <v>312</v>
      </c>
      <c r="J26" s="13" t="s">
        <v>3</v>
      </c>
      <c r="K26" s="13" t="s">
        <v>63</v>
      </c>
      <c r="L26" s="13" t="s">
        <v>78</v>
      </c>
      <c r="M26" s="13" t="s">
        <v>78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2</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2</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REPORT_E2025104</v>
      </c>
    </row>
    <row r="2" spans="2:6" x14ac:dyDescent="0.25">
      <c r="F2" s="45" t="s">
        <v>157</v>
      </c>
    </row>
    <row r="3" spans="2:6" x14ac:dyDescent="0.25">
      <c r="B3" s="43" t="s">
        <v>156</v>
      </c>
      <c r="C3" s="43" t="str">
        <f>""""&amp;'SCOUT &amp; LOGISTICS'!B2&amp;TEXT('SCOUT &amp; LOGISTICS'!C2,"000")&amp;""""</f>
        <v>"E2025104"</v>
      </c>
      <c r="F3" s="45" t="str">
        <f t="shared" ref="F3:F16" si="0">""""&amp;B3&amp;"""" &amp; " : " &amp;C3&amp;","</f>
        <v>"name" : "E2025104",</v>
      </c>
    </row>
    <row r="4" spans="2:6" x14ac:dyDescent="0.25">
      <c r="B4" s="43" t="s">
        <v>119</v>
      </c>
      <c r="C4" s="43" t="str">
        <f>""""&amp;LEFT('SCOUT &amp; LOGISTICS'!B2,1) &amp; TEXT('SCOUT &amp; LOGISTICS'!C2,"000")&amp;""""</f>
        <v>"E104"</v>
      </c>
      <c r="F4" s="45" t="str">
        <f t="shared" si="0"/>
        <v>"cod" : "E104",</v>
      </c>
    </row>
    <row r="5" spans="2:6" x14ac:dyDescent="0.25">
      <c r="B5" s="43" t="s">
        <v>117</v>
      </c>
      <c r="C5" s="43" t="str">
        <f>""""&amp;LEFT('SCOUT &amp; LOGISTICS'!B2,1)&amp;""""</f>
        <v>"E"</v>
      </c>
      <c r="F5" s="45" t="str">
        <f t="shared" si="0"/>
        <v>"competition" : "E",</v>
      </c>
    </row>
    <row r="6" spans="2:6" x14ac:dyDescent="0.25">
      <c r="B6" s="43" t="s">
        <v>118</v>
      </c>
      <c r="C6" s="43" t="str">
        <f>TEXT('SCOUT &amp; LOGISTICS'!C2,"000")</f>
        <v>104</v>
      </c>
      <c r="F6" s="45" t="str">
        <f t="shared" si="0"/>
        <v>"number" : 104,</v>
      </c>
    </row>
    <row r="7" spans="2:6" x14ac:dyDescent="0.25">
      <c r="B7" s="43" t="s">
        <v>116</v>
      </c>
      <c r="C7" s="43" t="str">
        <f ca="1">""""&amp;TEXT('SCOUT &amp; LOGISTICS'!B3,"dd/mm/aaaa")&amp;""""</f>
        <v>"13/11/Thursday"</v>
      </c>
      <c r="F7" s="45" t="str">
        <f t="shared" ca="1" si="0"/>
        <v>"date" : "13/11/Thursday",</v>
      </c>
    </row>
    <row r="8" spans="2:6" x14ac:dyDescent="0.25">
      <c r="B8" s="43" t="s">
        <v>125</v>
      </c>
      <c r="C8" s="43" t="str">
        <f>""""&amp;'SCOUT &amp; LOGISTICS'!D4 &amp;""""</f>
        <v>"Real Madrid"</v>
      </c>
      <c r="F8" s="45" t="str">
        <f t="shared" si="0"/>
        <v>"home_team" : "Real Madrid",</v>
      </c>
    </row>
    <row r="9" spans="2:6" x14ac:dyDescent="0.25">
      <c r="B9" s="43" t="s">
        <v>126</v>
      </c>
      <c r="C9" s="43" t="str">
        <f>""""&amp;'SCOUT &amp; LOGISTICS'!D5&amp;""""</f>
        <v>"Panathinaikos AKTOR Athens"</v>
      </c>
      <c r="F9" s="45" t="str">
        <f t="shared" si="0"/>
        <v>"away_team" : "Panathinaikos AKTOR Athens",</v>
      </c>
    </row>
    <row r="10" spans="2:6" x14ac:dyDescent="0.25">
      <c r="B10" s="43" t="s">
        <v>127</v>
      </c>
      <c r="C10" s="43" t="str">
        <f>""""&amp;IF('SCOUT &amp; LOGISTICS'!D6="","",'SCOUT &amp; LOGISTICS'!D6)&amp;""""</f>
        <v>"LUIS CALLEJA"</v>
      </c>
      <c r="F10" s="45" t="str">
        <f t="shared" si="0"/>
        <v>"Data_entry" : "LUIS CALLEJA",</v>
      </c>
    </row>
    <row r="11" spans="2:6" x14ac:dyDescent="0.25">
      <c r="B11" s="43" t="s">
        <v>128</v>
      </c>
      <c r="C11" s="43" t="str">
        <f>""""&amp;IF('SCOUT &amp; LOGISTICS'!D7="","",'SCOUT &amp; LOGISTICS'!D7)&amp;""""</f>
        <v>"MARIA LUZ DEL PINO"</v>
      </c>
      <c r="F11" s="45" t="str">
        <f t="shared" si="0"/>
        <v>"Caller_1" : "MARIA LUZ DEL PINO",</v>
      </c>
    </row>
    <row r="12" spans="2:6" x14ac:dyDescent="0.25">
      <c r="B12" s="43" t="s">
        <v>129</v>
      </c>
      <c r="C12" s="43" t="str">
        <f>""""&amp;IF('SCOUT &amp; LOGISTICS'!D8="","",'SCOUT &amp; LOGISTICS'!D8)&amp;""""</f>
        <v>"MIGUEL PENALBA"</v>
      </c>
      <c r="F12" s="45" t="str">
        <f t="shared" si="0"/>
        <v>"Caller_2" : "MIGUEL PENALBA",</v>
      </c>
    </row>
    <row r="13" spans="2:6" x14ac:dyDescent="0.25">
      <c r="B13" s="43" t="s">
        <v>98</v>
      </c>
      <c r="C13" s="43" t="str">
        <f>""""&amp;IF('SCOUT &amp; LOGISTICS'!D9="","",'SCOUT &amp; LOGISTICS'!D9)&amp;""""</f>
        <v>"ANA MARTIN"</v>
      </c>
      <c r="F13" s="45" t="str">
        <f t="shared" si="0"/>
        <v>"Timerkeeper" : "ANA MARTIN",</v>
      </c>
    </row>
    <row r="14" spans="2:6" x14ac:dyDescent="0.25">
      <c r="B14" s="43" t="s">
        <v>99</v>
      </c>
      <c r="C14" s="43" t="str">
        <f>""""&amp;IF('SCOUT &amp; LOGISTICS'!D10="","",'SCOUT &amp; LOGISTICS'!D10)&amp;""""</f>
        <v>"ANDRES DE LA COBA"</v>
      </c>
      <c r="F14" s="45" t="str">
        <f t="shared" si="0"/>
        <v>"Shotclock" : "ANDRES DE LA COBA",</v>
      </c>
    </row>
    <row r="15" spans="2:6" x14ac:dyDescent="0.25">
      <c r="B15" s="43" t="s">
        <v>108</v>
      </c>
      <c r="C15" s="43" t="str">
        <f>""""&amp;IF('SCOUT &amp; LOGISTICS'!D11="","",'SCOUT &amp; LOGISTICS'!D11)&amp;""""</f>
        <v>"ALBERTO GONZALEZ"</v>
      </c>
      <c r="F15" s="45" t="str">
        <f t="shared" si="0"/>
        <v>"IRS" : "ALBERTO GONZALEZ",</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531</v>
      </c>
      <c r="F25" s="45" t="str">
        <f t="shared" ref="F25:F48" si="1">""""&amp;C25&amp;"""" &amp; " : " &amp;D25&amp;","</f>
        <v>"total_actions" : 531,</v>
      </c>
    </row>
    <row r="26" spans="2:6" x14ac:dyDescent="0.25">
      <c r="C26" s="43" t="s">
        <v>132</v>
      </c>
      <c r="D26" s="43">
        <f>'SCOUT &amp; LOGISTICS'!F3</f>
        <v>10</v>
      </c>
      <c r="F26" s="45" t="str">
        <f t="shared" si="1"/>
        <v>"total_correcions" : 10,</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4</v>
      </c>
      <c r="F29" s="45" t="str">
        <f t="shared" si="1"/>
        <v>"no_team" : 4,</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3</v>
      </c>
      <c r="F33" s="45" t="str">
        <f t="shared" si="1"/>
        <v>"q3" : 3,</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10</v>
      </c>
      <c r="F37" s="45" t="str">
        <f t="shared" si="1"/>
        <v>"scoresheet_corrections" : 10,</v>
      </c>
    </row>
    <row r="38" spans="3:6" x14ac:dyDescent="0.25">
      <c r="C38" s="43" t="s">
        <v>141</v>
      </c>
      <c r="D38" s="43">
        <f>'SCOUT &amp; LOGISTICS'!AC17</f>
        <v>0</v>
      </c>
      <c r="F38" s="45" t="str">
        <f t="shared" si="1"/>
        <v>"criteria" : 0,</v>
      </c>
    </row>
    <row r="39" spans="3:6" x14ac:dyDescent="0.25">
      <c r="C39" s="43" t="s">
        <v>142</v>
      </c>
      <c r="D39" s="43">
        <f>'SCOUT &amp; LOGISTICS'!AC18</f>
        <v>7</v>
      </c>
      <c r="F39" s="45" t="str">
        <f t="shared" si="1"/>
        <v>"missidentity" : 7,</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work throughout the entire game was very good, and most of the corrections were criteria-related regarding assists. However, stay alert to make sure the game clock in ebstats starts when it should, and that substitutions are recorded at the right time. In any case, when you notice that a player on the court was missing, let us know so we can check it properly. At the end of each quarter, also tell us the score on Discord."</v>
      </c>
      <c r="F51" s="45" t="str">
        <f>""""&amp;B51&amp;"""" &amp; " : " &amp;C51&amp;","</f>
        <v>"comments" : "The work throughout the entire game was very good, and most of the corrections were criteria-related regarding assists. However, stay alert to make sure the game clock in ebstats starts when it should, and that substitutions are recorded at the right time. In any case, when you notice that a player on the court was missing, let us know so we can check it properly. At the end of each quarter, also tell us the score on Discord.",</v>
      </c>
    </row>
    <row r="52" spans="2:6" x14ac:dyDescent="0.25">
      <c r="B52" s="43" t="s">
        <v>153</v>
      </c>
      <c r="C52" s="43" t="str">
        <f>TEXT('SCOUT &amp; LOGISTICS'!F1,"0,0")</f>
        <v>11_104_MAD_PAN_E2025</v>
      </c>
      <c r="F52" s="45" t="str">
        <f>""""&amp;B52&amp;"""" &amp; " : " &amp;C52</f>
        <v>"result" : 11_104_MAD_PAN_E2025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E104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13/11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Real Madrid</v>
      </c>
      <c r="C6" s="212"/>
      <c r="D6" s="212"/>
      <c r="E6" s="212"/>
      <c r="F6" s="212"/>
      <c r="G6" s="212"/>
      <c r="H6" s="212"/>
      <c r="I6" s="212"/>
      <c r="J6" s="212"/>
      <c r="K6" s="212"/>
      <c r="L6" s="212"/>
      <c r="M6" s="212"/>
      <c r="N6" s="212"/>
      <c r="O6" s="212"/>
      <c r="P6" s="212"/>
      <c r="Q6" s="212" t="str">
        <f>PROPER('SCOUT &amp; LOGISTICS'!D5)</f>
        <v>Panathinaikos Aktor Athens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LUIS CALLEJA</v>
      </c>
      <c r="C8" s="206"/>
      <c r="D8" s="206"/>
      <c r="E8" s="206"/>
      <c r="F8" s="206"/>
      <c r="G8" s="206" t="str">
        <f>IF('SCOUT &amp; LOGISTICS'!D7="","",'SCOUT &amp; LOGISTICS'!D7)</f>
        <v>MARIA LUZ DEL PINO</v>
      </c>
      <c r="H8" s="206"/>
      <c r="I8" s="206"/>
      <c r="J8" s="206"/>
      <c r="K8" s="206"/>
      <c r="L8" s="206" t="str">
        <f>IF('SCOUT &amp; LOGISTICS'!D8="","",'SCOUT &amp; LOGISTICS'!D8)</f>
        <v>MIGUEL PENALBA</v>
      </c>
      <c r="M8" s="206"/>
      <c r="N8" s="206"/>
      <c r="O8" s="206"/>
      <c r="P8" s="206"/>
      <c r="Q8" s="206" t="str">
        <f>IF('SCOUT &amp; LOGISTICS'!D9="","",'SCOUT &amp; LOGISTICS'!D9)</f>
        <v>ANA MARTIN</v>
      </c>
      <c r="R8" s="206"/>
      <c r="S8" s="206"/>
      <c r="T8" s="206"/>
      <c r="U8" s="206"/>
      <c r="V8" s="206" t="str">
        <f>IF('SCOUT &amp; LOGISTICS'!D10="","",'SCOUT &amp; LOGISTICS'!D10)</f>
        <v>ANDRES DE LA COBA</v>
      </c>
      <c r="W8" s="206"/>
      <c r="X8" s="206"/>
      <c r="Y8" s="206"/>
      <c r="Z8" s="206"/>
      <c r="AA8" s="206" t="str">
        <f>IF('SCOUT &amp; LOGISTICS'!D11="","",'SCOUT &amp; LOGISTICS'!D11)</f>
        <v>ALBERTO GONZALEZ</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531</v>
      </c>
      <c r="C17" s="204"/>
      <c r="D17" s="204"/>
      <c r="E17" s="204"/>
      <c r="F17" s="204"/>
      <c r="G17" s="204"/>
      <c r="H17" s="204"/>
      <c r="I17" s="204"/>
      <c r="J17" s="204"/>
      <c r="K17" s="204"/>
      <c r="L17" s="204">
        <f>'SCOUT &amp; LOGISTICS'!F3</f>
        <v>10</v>
      </c>
      <c r="M17" s="204"/>
      <c r="N17" s="204"/>
      <c r="O17" s="204"/>
      <c r="P17" s="204"/>
      <c r="Q17" s="204"/>
      <c r="R17" s="204"/>
      <c r="S17" s="204"/>
      <c r="T17" s="204"/>
      <c r="U17" s="204"/>
      <c r="V17" s="205">
        <f>IF(OR(B17="",B17=0),"",L17/B17)</f>
        <v>1.8832391713747645E-2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4</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2</v>
      </c>
      <c r="I22" s="197"/>
      <c r="J22" s="197"/>
      <c r="K22" s="197"/>
      <c r="L22" s="197"/>
      <c r="M22" s="197"/>
      <c r="N22" s="197">
        <f>'SCOUT &amp; LOGISTICS'!AG19</f>
        <v>3</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8</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7</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2</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work throughout the entire game was very good, and most of the corrections were criteria-related regarding assists. However, stay alert to make sure the game clock in ebstats starts when it should, and that substitutions are recorded at the right time. In any case, when you notice that a player on the court was missing, let us know so we can check it properly. At the end of each quarter, also tell us the score on Discord.</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17.383239171374765</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E2E4D7E3-0025-4BED-B7C8-455B0E81EBE3}"/>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2025-11-14T14:56:45Z</cp:lastPrinted>
  <dcterms:created xsi:type="dcterms:W3CDTF">2023-09-19T19:50:35Z</dcterms:created>
  <dcterms:modified xsi:type="dcterms:W3CDTF">2025-11-14T14:56:49Z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