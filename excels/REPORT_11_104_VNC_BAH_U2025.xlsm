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06" documentId="8_{CCA30E0A-A2DA-476A-904B-3107F8505757}" xr6:coauthVersionLast="47" xr6:coauthVersionMax="47" xr10:uidLastSave="{29CD0A1D-C5BE-4CAB-843A-32DB2F4B799B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<sst xmlns="http://schemas.openxmlformats.org/spreadsheetml/2006/main" count="3402" uniqueCount="848">
  <si>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</si>
  <si>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</si>
  <si>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</si>
  <si>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</si>
  <si>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</si>
  <si>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</si>
  <si>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</si>
  <si>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</si>
  <si>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</si>
  <si>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</si>
  <si>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</si>
  <si>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</si>
  <si>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</si>
  <si>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</si>
  <si>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</si>
  <si>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</si>
  <si>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</si>
  <si>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</si>
  <si>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</si>
  <si>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</si>
  <si>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</si>
  <si>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</si>
  <si>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</si>
  <si>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</si>
  <si>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</si>
  <si>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</si>
  <si>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</si>
  <si>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</si>
  <si>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</si>
  <si>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</si>
  <si>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</si>
  <si>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</si>
  <si>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</si>
  <si>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</si>
  <si>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</si>
  <si>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</si>
  <si>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</si>
  <si>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</si>
  <si>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</si>
  <si>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</si>
  <si>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</si>
  <si>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</si>
  <si>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</si>
  <si>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</si>
  <si>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</si>
  <si>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</si>
  <si>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</si>
  <si>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</si>
  <si>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</si>
  <si>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</si>
  <si>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</si>
  <si>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</si>
  <si>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</si>
  <si>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</si>
  <si>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</si>
  <si>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</si>
  <si>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</si>
  <si>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</si>
  <si>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</si>
  <si>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</si>
  <si>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</si>
  <si>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</si>
  <si>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</si>
  <si>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</si>
  <si>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</si>
  <si>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</si>
  <si>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</si>
  <si>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</si>
  <si>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</si>
  <si>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</si>
  <si>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</si>
  <si>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</si>
  <si>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</si>
  <si>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</si>
  <si>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</si>
  <si>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</si>
  <si>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</si>
  <si>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</si>
  <si>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</si>
  <si>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</si>
  <si>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</si>
  <si>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</si>
  <si>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</si>
  <si>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</si>
  <si>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</si>
  <si>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</si>
  <si>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</si>
  <si>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</si>
  <si>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</si>
  <si>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</si>
  <si>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</si>
  <si>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</si>
  <si>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</si>
  <si>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</si>
  <si>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</si>
  <si>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</si>
  <si>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</si>
  <si>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</si>
  <si>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</si>
  <si>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</si>
  <si>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</si>
  <si>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</si>
  <si>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</si>
  <si>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</si>
  <si>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</si>
  <si>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</si>
  <si>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</si>
  <si>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</si>
  <si>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</si>
  <si>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</si>
  <si>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</si>
  <si>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</si>
  <si>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</si>
  <si>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</si>
  <si>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</si>
  <si>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</si>
  <si>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</si>
  <si>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</si>
  <si>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</si>
  <si>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</si>
  <si>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</si>
  <si>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</si>
  <si>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</si>
  <si>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</si>
  <si>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</si>
  <si>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</si>
  <si>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</si>
  <si>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</si>
  <si>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</si>
  <si>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</si>
  <si>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</si>
  <si>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</si>
  <si>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</si>
  <si>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</si>
  <si>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</si>
  <si>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</si>
  <si>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</si>
  <si>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</si>
  <si>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</si>
  <si>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</si>
  <si>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</si>
  <si>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</si>
  <si>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</si>
  <si>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</si>
  <si>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</si>
  <si>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</si>
  <si>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</si>
  <si>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</si>
  <si>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</si>
  <si>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</si>
  <si>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</si>
  <si>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</si>
  <si>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</si>
  <si>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</si>
  <si>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</si>
  <si>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</si>
  <si>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</si>
  <si>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</si>
  <si>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</si>
  <si>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</si>
  <si>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</si>
  <si>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</si>
  <si>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</si>
  <si>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</si>
  <si>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</si>
  <si>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</si>
  <si>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</si>
  <si>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</si>
  <si>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</si>
  <si>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</si>
  <si>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</si>
  <si>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</si>
  <si>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</si>
  <si>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</si>
  <si>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</si>
  <si>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</si>
  <si>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</si>
  <si>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</si>
  <si>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</si>
  <si>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</si>
  <si>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</si>
  <si>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</si>
  <si>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</si>
  <si>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</si>
  <si>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</si>
  <si>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</si>
  <si>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</si>
  <si>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</si>
  <si>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</si>
  <si>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</si>
  <si>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</si>
  <si>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</si>
  <si>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</si>
  <si>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</si>
  <si>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</si>
  <si>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</si>
  <si>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</si>
  <si>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</si>
  <si>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</si>
  <si>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</si>
  <si>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</si>
  <si>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</si>
  <si>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</si>
  <si>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</si>
  <si>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</si>
  <si>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</si>
  <si>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</si>
  <si>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</si>
  <si>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</si>
  <si>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</si>
  <si>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</si>
  <si>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</si>
  <si>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</si>
  <si>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</si>
  <si>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</si>
  <si>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</si>
  <si>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</si>
  <si>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</si>
  <si>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</si>
  <si>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</si>
  <si>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</si>
  <si>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</si>
  <si>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</si>
  <si>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</si>
  <si>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</si>
  <si>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</si>
  <si>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</si>
  <si>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</si>
  <si>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</si>
  <si>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</si>
  <si>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</si>
  <si>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</si>
  <si>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</si>
  <si>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</si>
  <si>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</si>
  <si>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</si>
  <si>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</si>
  <si>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</si>
  <si>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</si>
  <si>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</si>
  <si>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</si>
  <si>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</si>
  <si>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</si>
  <si>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</si>
  <si>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</si>
  <si>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</si>
  <si>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</si>
  <si>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</si>
  <si>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</si>
  <si>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</si>
  <si>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</si>
  <si>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</si>
  <si>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</si>
  <si>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</si>
  <si>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</si>
  <si>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</si>
  <si>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</si>
  <si>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</si>
  <si>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</si>
  <si>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</si>
  <si>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</si>
  <si>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</si>
  <si>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</si>
  <si>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</si>
  <si>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</si>
  <si>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</si>
  <si>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</si>
  <si>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</si>
  <si>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</si>
  <si>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</si>
  <si>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</si>
  <si>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</si>
  <si>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</si>
  <si>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</si>
  <si>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</si>
  <si>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</si>
  <si>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</si>
  <si>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</si>
  <si>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</si>
  <si>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</si>
  <si>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</si>
  <si>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</si>
  <si>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</si>
  <si>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</si>
  <si>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</si>
  <si>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</si>
  <si>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</si>
  <si>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</si>
  <si>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</si>
  <si>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</si>
  <si>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</si>
  <si>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</si>
  <si>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</si>
  <si>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</si>
  <si>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</si>
  <si>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</si>
  <si>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</si>
  <si>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</si>
  <si>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</si>
  <si>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</si>
  <si>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</si>
  <si>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</si>
  <si>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</si>
  <si>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</si>
  <si>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</si>
  <si>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</si>
  <si>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</si>
  <si>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</si>
  <si>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</si>
  <si>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</si>
  <si>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</si>
  <si>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</si>
  <si>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</si>
  <si>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</si>
  <si>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</si>
  <si>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</si>
  <si>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</si>
  <si>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</si>
  <si>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</si>
  <si>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</si>
  <si>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</si>
  <si>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</si>
  <si>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</si>
  <si>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</si>
  <si>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</si>
  <si>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</si>
  <si>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</si>
  <si>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</si>
  <si>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</si>
  <si>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</si>
  <si>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</si>
  <si>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</si>
  <si>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</si>
  <si>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</si>
  <si>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</si>
  <si>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</si>
  <si>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</si>
  <si>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</si>
  <si>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</si>
  <si>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</si>
  <si>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</si>
  <si>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</si>
  <si>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</si>
  <si>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</si>
  <si>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</si>
  <si>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</si>
  <si>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</si>
  <si>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</si>
  <si>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</si>
  <si>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</si>
  <si>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</si>
  <si>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</si>
  <si>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</si>
  <si>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</si>
  <si>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</si>
  <si>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</si>
  <si>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</si>
  <si>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</si>
  <si>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</si>
  <si>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</si>
  <si>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</si>
  <si>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</si>
  <si>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</si>
  <si>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</si>
  <si>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</si>
  <si>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</si>
  <si>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</si>
  <si>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</si>
  <si>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</si>
  <si>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</si>
  <si>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</si>
  <si>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</si>
  <si>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</si>
  <si>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</si>
  <si>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</si>
  <si>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</si>
  <si>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</si>
  <si>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</si>
  <si>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</si>
  <si>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</si>
  <si>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</si>
  <si>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</si>
  <si>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</si>
  <si>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</si>
  <si>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</si>
  <si>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</si>
  <si>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</si>
  <si>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</si>
  <si>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</si>
  <si>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</si>
  <si>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</si>
  <si>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</si>
  <si>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</si>
  <si>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</si>
  <si>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</si>
  <si>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</si>
  <si>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</si>
  <si>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</si>
  <si>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</si>
  <si>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</si>
  <si>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</si>
  <si>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</si>
  <si>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</si>
  <si>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</si>
  <si>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</si>
  <si>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</si>
  <si>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</si>
  <si>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</si>
  <si>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</si>
  <si>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</si>
  <si>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</si>
  <si>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</si>
  <si>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</si>
  <si>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</si>
  <si>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</si>
  <si>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</si>
  <si>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</si>
  <si>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</si>
  <si>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</si>
  <si>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</si>
  <si>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</si>
  <si>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</si>
  <si>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</si>
  <si>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</si>
  <si>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</si>
  <si>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</si>
  <si>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</si>
  <si>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</si>
  <si>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</si>
  <si>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</si>
  <si>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</si>
  <si>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</si>
  <si>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</si>
  <si>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</si>
  <si>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</si>
  <si>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</si>
  <si>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</si>
  <si>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</si>
  <si>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</si>
  <si>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</si>
  <si>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</si>
  <si>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</si>
  <si>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</si>
  <si>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</si>
  <si>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</si>
  <si>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</si>
  <si>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</si>
  <si>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</si>
  <si>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</si>
  <si>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</si>
  <si>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</si>
  <si>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</si>
  <si>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</si>
  <si>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</si>
  <si>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</si>
  <si>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</si>
  <si>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</si>
  <si>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</si>
  <si>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</si>
  <si>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</si>
  <si>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</si>
  <si>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</si>
  <si>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</si>
  <si>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</si>
  <si>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</si>
  <si>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</si>
  <si>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</si>
  <si>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</si>
  <si>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</si>
  <si>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</si>
  <si>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</si>
  <si>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</si>
  <si>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</si>
  <si>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</si>
  <si>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</si>
  <si>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</si>
  <si>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</si>
  <si>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</si>
  <si>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</si>
  <si>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</si>
  <si>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</si>
  <si>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</si>
  <si>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</si>
  <si>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</si>
  <si>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</si>
  <si>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</si>
  <si>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</si>
  <si>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</si>
  <si>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</si>
  <si>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</si>
  <si>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</si>
  <si>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</si>
  <si>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</si>
  <si>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</si>
  <si>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</si>
  <si>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</si>
  <si>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</si>
  <si>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</si>
  <si>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</si>
  <si>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</si>
  <si>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</si>
  <si>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</si>
  <si>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</si>
  <si>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</si>
  <si>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</si>
  <si>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</si>
  <si>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</si>
  <si>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</si>
  <si>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</si>
  <si>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</si>
  <si>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</si>
  <si>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</si>
  <si>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</si>
  <si>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</si>
  <si>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</si>
  <si>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</si>
  <si>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</si>
  <si>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</si>
  <si>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</si>
  <si>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</si>
  <si>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</si>
  <si>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</si>
  <si>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</si>
  <si>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</si>
  <si>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</si>
  <si>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</si>
  <si>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</si>
  <si>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</si>
  <si>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</si>
  <si>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</si>
  <si>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</si>
  <si>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</si>
  <si>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</si>
  <si>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</si>
  <si>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</si>
  <si>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</si>
  <si>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</si>
  <si>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</si>
  <si>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</si>
  <si>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</si>
  <si>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</si>
  <si>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</si>
  <si>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</si>
  <si>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</si>
  <si>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</si>
  <si>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</si>
  <si>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</si>
  <si>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</si>
  <si>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</si>
  <si>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</si>
  <si>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</si>
  <si>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</si>
  <si>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</si>
  <si>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</si>
  <si>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</si>
  <si>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</si>
  <si>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</si>
  <si>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</si>
  <si>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</si>
  <si>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</si>
  <si>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</si>
  <si>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</si>
  <si>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</si>
  <si>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</si>
  <si>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</si>
  <si>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</si>
  <si>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</si>
  <si>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</si>
  <si>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</si>
  <si>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</si>
  <si>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</si>
  <si>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</si>
  <si>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</si>
  <si>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</si>
  <si>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</si>
  <si>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</si>
  <si>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</si>
  <si>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</si>
  <si>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</si>
  <si>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</si>
  <si>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</si>
  <si>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</si>
  <si>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</si>
  <si>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</si>
  <si>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</si>
  <si>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</si>
  <si>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</si>
  <si>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</si>
  <si>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</si>
  <si>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</si>
  <si>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</si>
  <si>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</si>
  <si>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</si>
  <si>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</si>
  <si>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</si>
  <si>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</si>
  <si>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</si>
  <si>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</si>
  <si>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</si>
  <si>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</si>
  <si>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</si>
  <si>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</si>
  <si>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</si>
  <si>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</si>
  <si>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</si>
  <si>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</si>
  <si>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</si>
  <si>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</si>
  <si>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</si>
  <si>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</si>
  <si>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</si>
  <si>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</si>
  <si>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</si>
  <si>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</si>
  <si>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</si>
  <si>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</si>
  <si>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</si>
  <si>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</si>
  <si>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</si>
  <si>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</si>
  <si>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</si>
  <si>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</si>
  <si>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</si>
  <si>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</si>
  <si>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</si>
  <si>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</si>
  <si>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</si>
  <si>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</si>
  <si>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</si>
  <si>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</si>
  <si>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</si>
  <si>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</si>
  <si>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</si>
  <si>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</si>
  <si>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</si>
  <si>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</si>
  <si>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</si>
  <si>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</si>
  <si>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</si>
  <si>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</si>
  <si>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</si>
  <si>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</si>
  <si>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</si>
  <si>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</si>
  <si>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</si>
  <si>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</si>
  <si>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</si>
  <si>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</si>
  <si>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</si>
  <si>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</si>
  <si>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</si>
  <si>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</si>
  <si>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</si>
  <si>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</si>
  <si>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</si>
  <si>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</si>
  <si>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</si>
  <si>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</si>
  <si>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</si>
  <si>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</si>
  <si>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</si>
  <si>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</si>
  <si>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</si>
  <si>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</si>
  <si>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</si>
  <si>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</si>
  <si>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</si>
  <si>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</si>
  <si>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</si>
  <si>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</si>
  <si>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</si>
  <si>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</si>
  <si>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</si>
  <si>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</si>
  <si>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</si>
  <si>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</si>
  <si>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</si>
  <si>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</si>
  <si>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</si>
  <si>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</si>
  <si>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</si>
  <si>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</si>
  <si>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</si>
  <si>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</si>
  <si>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</si>
  <si>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</si>
  <si>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</si>
  <si>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</si>
  <si>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</si>
  <si>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</si>
  <si>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</si>
  <si>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</si>
  <si>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</si>
  <si>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</si>
  <si>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</si>
  <si>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</si>
  <si>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</si>
  <si>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</si>
  <si>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</si>
  <si>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</si>
  <si>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</si>
  <si>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</si>
  <si>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</si>
  <si>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</si>
  <si>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</si>
  <si>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</si>
  <si>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</si>
  <si>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</si>
  <si>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</si>
  <si>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</si>
  <si>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</si>
  <si>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</si>
  <si>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</si>
  <si>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</si>
  <si>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</si>
  <si>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</si>
  <si>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</si>
  <si>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</si>
  <si>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</si>
  <si>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</si>
  <si>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</si>
  <si>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</si>
  <si>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</si>
  <si>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</si>
  <si>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</si>
  <si>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</si>
  <si>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</si>
  <si>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</si>
  <si>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</si>
  <si>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</si>
  <si>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</si>
  <si>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</si>
  <si>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</si>
  <si>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</si>
  <si>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</si>
  <si>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</si>
  <si>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</si>
  <si>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</si>
  <si>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</si>
  <si>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</si>
  <si>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</si>
  <si>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</si>
  <si>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</si>
  <si>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</si>
  <si>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</si>
  <si>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</si>
  <si>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</si>
  <si>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</si>
  <si>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</si>
  <si>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</si>
  <si>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</si>
  <si>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</si>
  <si>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</si>
  <si>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</si>
  <si>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</si>
  <si>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</si>
  <si>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</si>
  <si>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</si>
  <si>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</si>
  <si>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</si>
  <si>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</si>
  <si>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</si>
  <si>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</si>
  <si>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</si>
  <si>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</si>
  <si>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</si>
  <si>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</si>
  <si>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</si>
  <si>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</si>
  <si>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</si>
  <si>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</si>
  <si>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</si>
  <si>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</si>
  <si>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</si>
  <si>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</si>
  <si>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</si>
  <si>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</si>
  <si>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</si>
  <si>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</si>
  <si>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</si>
  <si>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</si>
  <si>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</si>
  <si>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</si>
  <si>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</si>
  <si>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</si>
  <si>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</si>
  <si>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</si>
  <si>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</si>
  <si>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</si>
  <si>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</si>
  <si>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</si>
  <si>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</si>
  <si>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</si>
  <si>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</si>
  <si>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</si>
  <si>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</si>
  <si>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</si>
  <si>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</si>
  <si>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</si>
  <si>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</si>
  <si>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</si>
  <si>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</si>
  <si>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</si>
  <si>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</si>
  <si>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</si>
  <si>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</si>
  <si>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</si>
  <si>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</si>
  <si>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</si>
  <si>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</si>
  <si>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</si>
  <si>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</si>
  <si>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</si>
  <si>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</si>
  <si>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</si>
  <si>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</si>
  <si>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</si>
  <si>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</si>
  <si>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</si>
  <si>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</si>
  <si>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</si>
  <si>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</si>
  <si>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</si>
  <si>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</si>
  <si>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</si>
  <si>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C:\Users\hector.guillen\EUROLEAGUE\EB STATS - Documents\General\SEASON 2025-26\Reports\Eurocup</t>
  </si>
  <si>
    <t>XAVI MATEU</t>
  </si>
  <si>
    <t>MARCO CONCINA</t>
  </si>
  <si>
    <t>LEONARDO BOSCARATO</t>
  </si>
  <si>
    <t>RICCARDO PILUTTI</t>
  </si>
  <si>
    <t>DANIELE POSENATO</t>
  </si>
  <si>
    <t>SILVIA GAGNO</t>
  </si>
  <si>
    <t>09:15</t>
  </si>
  <si>
    <t>07:25</t>
  </si>
  <si>
    <t>05:34</t>
  </si>
  <si>
    <t>03:30</t>
  </si>
  <si>
    <t>03:25</t>
  </si>
  <si>
    <t>06:05</t>
  </si>
  <si>
    <t>04:01</t>
  </si>
  <si>
    <t>01:25</t>
  </si>
  <si>
    <t>08:25</t>
  </si>
  <si>
    <t>07:24</t>
  </si>
  <si>
    <t>04:50</t>
  </si>
  <si>
    <t>01:48</t>
  </si>
  <si>
    <t>08:18</t>
  </si>
  <si>
    <t>06:51</t>
  </si>
  <si>
    <t>If you have identified that the problem in this match has been the interruptions caused by members of the teams, please let us know. We cannot prevent a consultation by the delegates, but if they make constant and absurd consultations, we can try to contact the EC delegate, or you can speak directly with the referees.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</si>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</sst>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11_104_VNC_BAH_U2025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847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104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46008.833333333336</v>
      </c>
      <c r="C3" s="157"/>
      <c r="D3" s="39">
        <v>661</v>
      </c>
      <c r="E3" s="29"/>
      <c r="F3" s="26">
        <f>SUBTOTAL(3,I17:I106)</f>
        <v>14</v>
      </c>
      <c r="G3" s="27">
        <f>IF(OR(D3="",D3=0),"",F3/D3)</f>
        <v>2.118003025718608E-2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Umana Reyer Venice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VNC</v>
      </c>
      <c r="I4" s="5"/>
      <c r="J4" s="119" t="s">
        <v>714</v>
      </c>
      <c r="K4" s="54" t="s">
        <v>742</v>
      </c>
      <c r="L4" s="5"/>
      <c r="M4" s="167" t="s">
        <v>846</v>
      </c>
      <c r="N4" s="168"/>
      <c r="O4" s="2"/>
      <c r="P4" s="2"/>
      <c r="Q4" s="84" t="s">
        <v>175</v>
      </c>
      <c r="R4" s="94">
        <f>(IF(G3="",0,G3))</f>
        <v>2.118003025718608E-2</v>
      </c>
      <c r="S4" s="61">
        <f>SUM(I13:M13)</f>
        <v>3</v>
      </c>
      <c r="T4" s="78"/>
      <c r="U4" s="61">
        <f>AC18</f>
        <v>9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Bahcesehir College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BAH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2.118003025718608</v>
      </c>
      <c r="S5" s="70">
        <f t="shared" ref="S5" si="0">S4*S3</f>
        <v>3</v>
      </c>
      <c r="T5" s="92"/>
      <c r="U5" s="70">
        <f t="shared" ref="U5:AG5" si="1">U4*U3</f>
        <v>4.5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35.118003025718608</v>
      </c>
      <c r="N7" s="58"/>
      <c r="O7" s="2"/>
      <c r="P7" s="2"/>
      <c r="Q7" s="86">
        <f>SUM(R5,S5,AC16)</f>
        <v>35.118003025718608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15.118003025718608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104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16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14</v>
      </c>
      <c r="J15" s="24">
        <f>SUBTOTAL(3,J17:J106)</f>
        <v>14</v>
      </c>
      <c r="K15" s="24">
        <f>SUBTOTAL(3,K17:K106)</f>
        <v>14</v>
      </c>
      <c r="L15" s="24">
        <f>SUBTOTAL(3,L17:L106)</f>
        <v>14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14</v>
      </c>
      <c r="Z16" s="90" t="s">
        <v>110</v>
      </c>
      <c r="AA16" s="75">
        <f>SUM(AA17:AA24)</f>
        <v>14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30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14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104</v>
      </c>
      <c r="D17" s="32" t="s">
        <v>832</v>
      </c>
      <c r="E17" s="33">
        <v>1</v>
      </c>
      <c r="F17" s="36">
        <v>2</v>
      </c>
      <c r="G17" s="36">
        <v>0</v>
      </c>
      <c r="H17" s="38" t="str">
        <f>IF(I17="","",$I$14)</f>
        <v>SCOUTING</v>
      </c>
      <c r="I17" s="34">
        <v>6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104</v>
      </c>
      <c r="D18" s="32" t="s">
        <v>833</v>
      </c>
      <c r="E18" s="33">
        <v>1</v>
      </c>
      <c r="F18" s="36">
        <v>4</v>
      </c>
      <c r="G18" s="36">
        <v>0</v>
      </c>
      <c r="H18" s="38" t="str">
        <f t="shared" ref="H18:H81" si="8">IF(I18="","",$I$14)</f>
        <v>SCOUTING</v>
      </c>
      <c r="I18" s="34">
        <v>30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8</v>
      </c>
      <c r="AB18" s="66" t="s">
        <v>5</v>
      </c>
      <c r="AC18" s="61">
        <f t="shared" si="5"/>
        <v>9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104</v>
      </c>
      <c r="D19" s="32" t="s">
        <v>834</v>
      </c>
      <c r="E19" s="33">
        <v>1</v>
      </c>
      <c r="F19" s="36">
        <v>7</v>
      </c>
      <c r="G19" s="36">
        <v>0</v>
      </c>
      <c r="H19" s="38" t="str">
        <f t="shared" si="8"/>
        <v>SCOUTING</v>
      </c>
      <c r="I19" s="34">
        <v>49</v>
      </c>
      <c r="J19" s="13" t="s">
        <v>4</v>
      </c>
      <c r="K19" s="13" t="s">
        <v>63</v>
      </c>
      <c r="L19" s="13" t="s">
        <v>5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104</v>
      </c>
      <c r="D20" s="32" t="s">
        <v>835</v>
      </c>
      <c r="E20" s="33">
        <v>1</v>
      </c>
      <c r="F20" s="36">
        <v>7</v>
      </c>
      <c r="G20" s="36">
        <v>5</v>
      </c>
      <c r="H20" s="38" t="str">
        <f t="shared" si="8"/>
        <v>SCOUTING</v>
      </c>
      <c r="I20" s="34">
        <v>80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104</v>
      </c>
      <c r="D21" s="32" t="s">
        <v>836</v>
      </c>
      <c r="E21" s="33">
        <v>1</v>
      </c>
      <c r="F21" s="36">
        <v>9</v>
      </c>
      <c r="G21" s="36">
        <v>5</v>
      </c>
      <c r="H21" s="38" t="str">
        <f t="shared" si="8"/>
        <v>SCOUTING</v>
      </c>
      <c r="I21" s="34">
        <v>81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104</v>
      </c>
      <c r="D22" s="32" t="s">
        <v>837</v>
      </c>
      <c r="E22" s="33">
        <v>2</v>
      </c>
      <c r="F22" s="36">
        <v>20</v>
      </c>
      <c r="G22" s="36">
        <v>29</v>
      </c>
      <c r="H22" s="38" t="str">
        <f t="shared" si="8"/>
        <v>SCOUTING</v>
      </c>
      <c r="I22" s="34">
        <v>205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104</v>
      </c>
      <c r="D23" s="32" t="s">
        <v>838</v>
      </c>
      <c r="E23" s="33">
        <v>2</v>
      </c>
      <c r="F23" s="36">
        <v>25</v>
      </c>
      <c r="G23" s="36">
        <v>37</v>
      </c>
      <c r="H23" s="38" t="str">
        <f t="shared" si="8"/>
        <v>SCOUTING</v>
      </c>
      <c r="I23" s="34">
        <v>228</v>
      </c>
      <c r="J23" s="13" t="s">
        <v>3</v>
      </c>
      <c r="K23" s="13" t="s">
        <v>62</v>
      </c>
      <c r="L23" s="13" t="s">
        <v>77</v>
      </c>
      <c r="M23" s="13" t="s">
        <v>39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104</v>
      </c>
      <c r="D24" s="32" t="s">
        <v>839</v>
      </c>
      <c r="E24" s="33">
        <v>2</v>
      </c>
      <c r="F24" s="36">
        <v>25</v>
      </c>
      <c r="G24" s="36">
        <v>39</v>
      </c>
      <c r="H24" s="38" t="str">
        <f t="shared" si="8"/>
        <v>SCOUTING</v>
      </c>
      <c r="I24" s="34">
        <v>267</v>
      </c>
      <c r="J24" s="13" t="s">
        <v>4</v>
      </c>
      <c r="K24" s="13" t="s">
        <v>63</v>
      </c>
      <c r="L24" s="13" t="s">
        <v>5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104</v>
      </c>
      <c r="D25" s="32" t="s">
        <v>840</v>
      </c>
      <c r="E25" s="33">
        <v>3</v>
      </c>
      <c r="F25" s="36">
        <v>33</v>
      </c>
      <c r="G25" s="36">
        <v>42</v>
      </c>
      <c r="H25" s="38" t="str">
        <f t="shared" si="8"/>
        <v>SCOUTING</v>
      </c>
      <c r="I25" s="34">
        <v>334</v>
      </c>
      <c r="J25" s="13" t="s">
        <v>4</v>
      </c>
      <c r="K25" s="13" t="s">
        <v>62</v>
      </c>
      <c r="L25" s="13" t="s">
        <v>5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104</v>
      </c>
      <c r="D26" s="32" t="s">
        <v>841</v>
      </c>
      <c r="E26" s="33">
        <v>3</v>
      </c>
      <c r="F26" s="36">
        <v>33</v>
      </c>
      <c r="G26" s="36">
        <v>42</v>
      </c>
      <c r="H26" s="38" t="str">
        <f t="shared" si="8"/>
        <v>SCOUTING</v>
      </c>
      <c r="I26" s="34">
        <v>352</v>
      </c>
      <c r="J26" s="13" t="s">
        <v>4</v>
      </c>
      <c r="K26" s="13" t="s">
        <v>63</v>
      </c>
      <c r="L26" s="13" t="s">
        <v>6</v>
      </c>
      <c r="M26" s="13" t="s">
        <v>22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104</v>
      </c>
      <c r="D27" s="32" t="s">
        <v>842</v>
      </c>
      <c r="E27" s="33">
        <v>3</v>
      </c>
      <c r="F27" s="36">
        <v>42</v>
      </c>
      <c r="G27" s="36">
        <v>45</v>
      </c>
      <c r="H27" s="38" t="str">
        <f t="shared" si="8"/>
        <v>SCOUTING</v>
      </c>
      <c r="I27" s="34">
        <v>384</v>
      </c>
      <c r="J27" s="13" t="s">
        <v>4</v>
      </c>
      <c r="K27" s="13" t="s">
        <v>63</v>
      </c>
      <c r="L27" s="13" t="s">
        <v>6</v>
      </c>
      <c r="M27" s="13" t="s">
        <v>28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104</v>
      </c>
      <c r="D28" s="32" t="s">
        <v>843</v>
      </c>
      <c r="E28" s="33">
        <v>3</v>
      </c>
      <c r="F28" s="36">
        <v>53</v>
      </c>
      <c r="G28" s="36">
        <v>51</v>
      </c>
      <c r="H28" s="38" t="str">
        <f t="shared" si="8"/>
        <v>SCOUTING</v>
      </c>
      <c r="I28" s="34">
        <v>438</v>
      </c>
      <c r="J28" s="13" t="s">
        <v>4</v>
      </c>
      <c r="K28" s="13" t="s">
        <v>63</v>
      </c>
      <c r="L28" s="13" t="s">
        <v>5</v>
      </c>
      <c r="M28" s="13" t="s">
        <v>28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104</v>
      </c>
      <c r="D29" s="32" t="s">
        <v>844</v>
      </c>
      <c r="E29" s="33">
        <v>4</v>
      </c>
      <c r="F29" s="36">
        <v>65</v>
      </c>
      <c r="G29" s="36">
        <v>63</v>
      </c>
      <c r="H29" s="38" t="str">
        <f t="shared" si="8"/>
        <v>SCOUTING</v>
      </c>
      <c r="I29" s="34">
        <v>486</v>
      </c>
      <c r="J29" s="13" t="s">
        <v>4</v>
      </c>
      <c r="K29" s="13" t="s">
        <v>62</v>
      </c>
      <c r="L29" s="13" t="s">
        <v>5</v>
      </c>
      <c r="M29" s="13" t="s">
        <v>10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104</v>
      </c>
      <c r="D30" s="32" t="s">
        <v>845</v>
      </c>
      <c r="E30" s="33">
        <v>4</v>
      </c>
      <c r="F30" s="36">
        <v>70</v>
      </c>
      <c r="G30" s="36">
        <v>66</v>
      </c>
      <c r="H30" s="38" t="str">
        <f t="shared" si="8"/>
        <v>SCOUTING</v>
      </c>
      <c r="I30" s="34">
        <v>509</v>
      </c>
      <c r="J30" s="13" t="s">
        <v>4</v>
      </c>
      <c r="K30" s="13" t="s">
        <v>62</v>
      </c>
      <c r="L30" s="13" t="s">
        <v>5</v>
      </c>
      <c r="M30" s="13" t="s">
        <v>10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5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REPORT_U2025104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"U2025104"</v>
      </c>
      <c r="F3" s="45" t="str">
        <f t="shared" ref="F3:F16" si="0">""""&amp;B3&amp;"""" &amp; " : " &amp;C3&amp;","</f>
        <v>"name" : "U2025104",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"U104"</v>
      </c>
      <c r="F4" s="45" t="str">
        <f t="shared" si="0"/>
        <v>"cod" : "U104",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104</v>
      </c>
      <c r="F6" s="45" t="str">
        <f t="shared" si="0"/>
        <v>"number" : 104,</v>
      </c>
    </row>
    <row r="7" spans="2:6" x14ac:dyDescent="0.25">
      <c r="B7" s="43" t="s">
        <v>116</v>
      </c>
      <c r="C7" s="43" t="str">
        <f ca="1">""""&amp;TEXT('SCOUT &amp; LOGISTICS'!B3,"dd/mm/aaaa")&amp;""""</f>
        <v>"17/12/Wednesday"</v>
      </c>
      <c r="F7" s="45" t="str">
        <f t="shared" ca="1" si="0"/>
        <v>"date" : "17/12/Wednesday",</v>
      </c>
    </row>
    <row r="8" spans="2:6" x14ac:dyDescent="0.25">
      <c r="B8" s="43" t="s">
        <v>125</v>
      </c>
      <c r="C8" s="43" t="str">
        <f>""""&amp;'SCOUT &amp; LOGISTICS'!D4 &amp;""""</f>
        <v>"Umana Reyer Venice"</v>
      </c>
      <c r="F8" s="45" t="str">
        <f t="shared" si="0"/>
        <v>"home_team" : "Umana Reyer Venice",</v>
      </c>
    </row>
    <row r="9" spans="2:6" x14ac:dyDescent="0.25">
      <c r="B9" s="43" t="s">
        <v>126</v>
      </c>
      <c r="C9" s="43" t="str">
        <f>""""&amp;'SCOUT &amp; LOGISTICS'!D5&amp;""""</f>
        <v>"Bahcesehir College Istanbul"</v>
      </c>
      <c r="F9" s="45" t="str">
        <f t="shared" si="0"/>
        <v>"away_team" : "Bahcesehir College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"MARCO CONCINA"</v>
      </c>
      <c r="F10" s="45" t="str">
        <f t="shared" si="0"/>
        <v>"Data_entry" : "MARCO CONCINA",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"LEONARDO BOSCARATO"</v>
      </c>
      <c r="F11" s="45" t="str">
        <f t="shared" si="0"/>
        <v>"Caller_1" : "LEONARDO BOSCARATO",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"RICCARDO PILUTTI"</v>
      </c>
      <c r="F12" s="45" t="str">
        <f t="shared" si="0"/>
        <v>"Caller_2" : "RICCARDO PILUTTI",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"DANIELE POSENATO"</v>
      </c>
      <c r="F13" s="45" t="str">
        <f t="shared" si="0"/>
        <v>"Timerkeeper" : "DANIELE POSENATO",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"SILVIA GAGNO"</v>
      </c>
      <c r="F14" s="45" t="str">
        <f t="shared" si="0"/>
        <v>"Shotclock" : "SILVIA GAGNO",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"SLOW"</v>
      </c>
      <c r="F21" s="45" t="str">
        <f>""""&amp;C21&amp;"""" &amp; " : " &amp;D21&amp;","</f>
        <v>"corrections" : "SLOW",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661</v>
      </c>
      <c r="F25" s="45" t="str">
        <f t="shared" ref="F25:F48" si="1">""""&amp;C25&amp;"""" &amp; " : " &amp;D25&amp;","</f>
        <v>"total_actions" : 661,</v>
      </c>
    </row>
    <row r="26" spans="2:6" x14ac:dyDescent="0.25">
      <c r="C26" s="43" t="s">
        <v>132</v>
      </c>
      <c r="D26" s="43">
        <f>'SCOUT &amp; LOGISTICS'!F3</f>
        <v>14</v>
      </c>
      <c r="F26" s="45" t="str">
        <f t="shared" si="1"/>
        <v>"total_correcions" : 14,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8</v>
      </c>
      <c r="F29" s="45" t="str">
        <f t="shared" si="1"/>
        <v>"no_team" : 8,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14</v>
      </c>
      <c r="F37" s="45" t="str">
        <f t="shared" si="1"/>
        <v>"scoresheet_corrections" : 14,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9</v>
      </c>
      <c r="F39" s="45" t="str">
        <f t="shared" si="1"/>
        <v>"missidentity" : 9,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"If you have identified that the problem in this match has been the interruptions caused by members of the teams, please let us know. We cannot prevent a consultation by the delegates, but if they make constant and absurd consultations, we can try to contact the EC delegate, or you can speak directly with the referees."</v>
      </c>
      <c r="F51" s="45" t="str">
        <f>""""&amp;B51&amp;"""" &amp; " : " &amp;C51&amp;","</f>
        <v>"comments" : "If you have identified that the problem in this match has been the interruptions caused by members of the teams, please let us know. We cannot prevent a consultation by the delegates, but if they make constant and absurd consultations, we can try to contact the EC delegate, or you can speak directly with the referees.",</v>
      </c>
    </row>
    <row r="52" spans="2:6" x14ac:dyDescent="0.25">
      <c r="B52" s="43" t="s">
        <v>153</v>
      </c>
      <c r="C52" s="43" t="str">
        <f>TEXT('SCOUT &amp; LOGISTICS'!F1,"0,0")</f>
        <v>11_104_VNC_BAH_U2025</v>
      </c>
      <c r="F52" s="45" t="str">
        <f>""""&amp;B52&amp;"""" &amp; " : " &amp;C52</f>
        <v>"result" : 11_104_VNC_BAH_U2025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U104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17/12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Umana Reyer Venice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Bahcesehir College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MARCO CONCINA</v>
      </c>
      <c r="C8" s="206"/>
      <c r="D8" s="206"/>
      <c r="E8" s="206"/>
      <c r="F8" s="206"/>
      <c r="G8" s="206" t="str">
        <f>IF('SCOUT &amp; LOGISTICS'!D7="","",'SCOUT &amp; LOGISTICS'!D7)</f>
        <v>LEONARDO BOSCARATO</v>
      </c>
      <c r="H8" s="206"/>
      <c r="I8" s="206"/>
      <c r="J8" s="206"/>
      <c r="K8" s="206"/>
      <c r="L8" s="206" t="str">
        <f>IF('SCOUT &amp; LOGISTICS'!D8="","",'SCOUT &amp; LOGISTICS'!D8)</f>
        <v>RICCARDO PILUTTI</v>
      </c>
      <c r="M8" s="206"/>
      <c r="N8" s="206"/>
      <c r="O8" s="206"/>
      <c r="P8" s="206"/>
      <c r="Q8" s="206" t="str">
        <f>IF('SCOUT &amp; LOGISTICS'!D9="","",'SCOUT &amp; LOGISTICS'!D9)</f>
        <v>DANIELE POSENATO</v>
      </c>
      <c r="R8" s="206"/>
      <c r="S8" s="206"/>
      <c r="T8" s="206"/>
      <c r="U8" s="206"/>
      <c r="V8" s="206" t="str">
        <f>IF('SCOUT &amp; LOGISTICS'!D10="","",'SCOUT &amp; LOGISTICS'!D10)</f>
        <v>SILVIA GAGNO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SLOW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661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2.118003025718608E-2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8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5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9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1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If you have identified that the problem in this match has been the interruptions caused by members of the teams, please let us know. We cannot prevent a consultation by the delegates, but if they make constant and absurd consultations, we can try to contact the EC delegate, or you can speak directly with the referees.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35.118003025718608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BB7C5A-884D-4829-A341-F131A348A796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2025-12-19T16:52:37Z</cp:lastPrinted>
  <dcterms:created xsi:type="dcterms:W3CDTF">2023-09-19T19:50:35Z</dcterms:created>
  <dcterms:modified xsi:type="dcterms:W3CDTF">2025-12-19T16:52:40Z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