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1" documentId="8_{CCA30E0A-A2DA-476A-904B-3107F8505757}" xr6:coauthVersionLast="47" xr6:coauthVersionMax="47" xr10:uidLastSave="{8241F4CC-A473-41AC-9742-6359040D8F43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<sst xmlns="http://schemas.openxmlformats.org/spreadsheetml/2006/main" count="3377" uniqueCount="843">
  <si>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</si>
  <si>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</si>
  <si>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</si>
  <si>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</si>
  <si>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</si>
  <si>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</si>
  <si>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</si>
  <si>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</si>
  <si>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</si>
  <si>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</si>
  <si>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</si>
  <si>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</si>
  <si>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</si>
  <si>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</si>
  <si>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</si>
  <si>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</si>
  <si>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</si>
  <si>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</si>
  <si>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</si>
  <si>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</si>
  <si>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</si>
  <si>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</si>
  <si>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</si>
  <si>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</si>
  <si>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</si>
  <si>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</si>
  <si>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</si>
  <si>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</si>
  <si>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</si>
  <si>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</si>
  <si>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</si>
  <si>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</si>
  <si>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</si>
  <si>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</si>
  <si>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</si>
  <si>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</si>
  <si>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</si>
  <si>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</si>
  <si>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</si>
  <si>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</si>
  <si>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</si>
  <si>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</si>
  <si>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</si>
  <si>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</si>
  <si>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</si>
  <si>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</si>
  <si>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</si>
  <si>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</si>
  <si>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</si>
  <si>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</si>
  <si>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</si>
  <si>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</si>
  <si>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</si>
  <si>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</si>
  <si>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</si>
  <si>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</si>
  <si>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</si>
  <si>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</si>
  <si>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</si>
  <si>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</si>
  <si>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</si>
  <si>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</si>
  <si>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</si>
  <si>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</si>
  <si>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</si>
  <si>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</si>
  <si>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</si>
  <si>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</si>
  <si>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</si>
  <si>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</si>
  <si>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</si>
  <si>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</si>
  <si>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</si>
  <si>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</si>
  <si>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</si>
  <si>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</si>
  <si>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</si>
  <si>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</si>
  <si>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</si>
  <si>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</si>
  <si>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</si>
  <si>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</si>
  <si>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</si>
  <si>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</si>
  <si>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</si>
  <si>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</si>
  <si>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</si>
  <si>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</si>
  <si>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</si>
  <si>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</si>
  <si>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</si>
  <si>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</si>
  <si>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</si>
  <si>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</si>
  <si>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</si>
  <si>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</si>
  <si>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</si>
  <si>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</si>
  <si>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</si>
  <si>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</si>
  <si>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</si>
  <si>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</si>
  <si>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</si>
  <si>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</si>
  <si>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</si>
  <si>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</si>
  <si>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</si>
  <si>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</si>
  <si>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</si>
  <si>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</si>
  <si>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</si>
  <si>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</si>
  <si>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</si>
  <si>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</si>
  <si>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</si>
  <si>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</si>
  <si>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</si>
  <si>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</si>
  <si>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</si>
  <si>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</si>
  <si>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</si>
  <si>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</si>
  <si>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</si>
  <si>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</si>
  <si>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</si>
  <si>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</si>
  <si>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</si>
  <si>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</si>
  <si>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</si>
  <si>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</si>
  <si>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</si>
  <si>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</si>
  <si>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</si>
  <si>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</si>
  <si>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</si>
  <si>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</si>
  <si>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</si>
  <si>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</si>
  <si>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</si>
  <si>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</si>
  <si>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</si>
  <si>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</si>
  <si>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</si>
  <si>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</si>
  <si>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</si>
  <si>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</si>
  <si>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</si>
  <si>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</si>
  <si>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</si>
  <si>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</si>
  <si>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</si>
  <si>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</si>
  <si>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</si>
  <si>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</si>
  <si>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</si>
  <si>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</si>
  <si>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</si>
  <si>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</si>
  <si>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</si>
  <si>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</si>
  <si>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</si>
  <si>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</si>
  <si>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</si>
  <si>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</si>
  <si>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</si>
  <si>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</si>
  <si>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</si>
  <si>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</si>
  <si>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</si>
  <si>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</si>
  <si>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</si>
  <si>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</si>
  <si>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</si>
  <si>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</si>
  <si>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</si>
  <si>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</si>
  <si>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</si>
  <si>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</si>
  <si>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</si>
  <si>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</si>
  <si>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</si>
  <si>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</si>
  <si>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</si>
  <si>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</si>
  <si>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</si>
  <si>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</si>
  <si>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</si>
  <si>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</si>
  <si>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</si>
  <si>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</si>
  <si>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</si>
  <si>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</si>
  <si>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</si>
  <si>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</si>
  <si>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</si>
  <si>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</si>
  <si>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</si>
  <si>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</si>
  <si>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</si>
  <si>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</si>
  <si>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</si>
  <si>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</si>
  <si>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</si>
  <si>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</si>
  <si>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</si>
  <si>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</si>
  <si>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</si>
  <si>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</si>
  <si>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</si>
  <si>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</si>
  <si>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</si>
  <si>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</si>
  <si>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</si>
  <si>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</si>
  <si>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</si>
  <si>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</si>
  <si>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</si>
  <si>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</si>
  <si>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</si>
  <si>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</si>
  <si>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</si>
  <si>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</si>
  <si>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</si>
  <si>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</si>
  <si>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</si>
  <si>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</si>
  <si>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</si>
  <si>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</si>
  <si>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</si>
  <si>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</si>
  <si>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</si>
  <si>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</si>
  <si>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</si>
  <si>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</si>
  <si>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</si>
  <si>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</si>
  <si>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</si>
  <si>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</si>
  <si>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</si>
  <si>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</si>
  <si>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</si>
  <si>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</si>
  <si>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</si>
  <si>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</si>
  <si>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</si>
  <si>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</si>
  <si>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</si>
  <si>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</si>
  <si>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</si>
  <si>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</si>
  <si>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</si>
  <si>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</si>
  <si>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</si>
  <si>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</si>
  <si>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</si>
  <si>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</si>
  <si>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</si>
  <si>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</si>
  <si>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</si>
  <si>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</si>
  <si>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</si>
  <si>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</si>
  <si>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</si>
  <si>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</si>
  <si>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</si>
  <si>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</si>
  <si>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</si>
  <si>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</si>
  <si>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</si>
  <si>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</si>
  <si>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</si>
  <si>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</si>
  <si>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</si>
  <si>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</si>
  <si>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</si>
  <si>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</si>
  <si>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</si>
  <si>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</si>
  <si>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</si>
  <si>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</si>
  <si>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</si>
  <si>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</si>
  <si>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</si>
  <si>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</si>
  <si>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</si>
  <si>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</si>
  <si>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</si>
  <si>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</si>
  <si>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</si>
  <si>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</si>
  <si>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</si>
  <si>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</si>
  <si>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</si>
  <si>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</si>
  <si>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</si>
  <si>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</si>
  <si>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</si>
  <si>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</si>
  <si>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</si>
  <si>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</si>
  <si>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</si>
  <si>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</si>
  <si>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</si>
  <si>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</si>
  <si>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</si>
  <si>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</si>
  <si>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</si>
  <si>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</si>
  <si>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</si>
  <si>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</si>
  <si>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</si>
  <si>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</si>
  <si>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</si>
  <si>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</si>
  <si>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</si>
  <si>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</si>
  <si>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</si>
  <si>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</si>
  <si>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</si>
  <si>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</si>
  <si>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</si>
  <si>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</si>
  <si>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</si>
  <si>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</si>
  <si>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</si>
  <si>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</si>
  <si>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</si>
  <si>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</si>
  <si>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</si>
  <si>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</si>
  <si>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</si>
  <si>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</si>
  <si>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</si>
  <si>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</si>
  <si>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</si>
  <si>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</si>
  <si>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</si>
  <si>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</si>
  <si>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</si>
  <si>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</si>
  <si>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</si>
  <si>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</si>
  <si>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</si>
  <si>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</si>
  <si>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</si>
  <si>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</si>
  <si>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</si>
  <si>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</si>
  <si>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</si>
  <si>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</si>
  <si>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</si>
  <si>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</si>
  <si>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</si>
  <si>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</si>
  <si>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</si>
  <si>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</si>
  <si>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</si>
  <si>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</si>
  <si>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</si>
  <si>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</si>
  <si>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</si>
  <si>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</si>
  <si>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</si>
  <si>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</si>
  <si>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</si>
  <si>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</si>
  <si>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</si>
  <si>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</si>
  <si>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</si>
  <si>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</si>
  <si>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</si>
  <si>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</si>
  <si>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</si>
  <si>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</si>
  <si>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</si>
  <si>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</si>
  <si>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</si>
  <si>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</si>
  <si>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</si>
  <si>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</si>
  <si>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</si>
  <si>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</si>
  <si>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</si>
  <si>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</si>
  <si>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</si>
  <si>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</si>
  <si>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</si>
  <si>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</si>
  <si>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</si>
  <si>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</si>
  <si>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</si>
  <si>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</si>
  <si>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</si>
  <si>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</si>
  <si>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</si>
  <si>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</si>
  <si>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</si>
  <si>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</si>
  <si>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</si>
  <si>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</si>
  <si>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</si>
  <si>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</si>
  <si>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</si>
  <si>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</si>
  <si>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</si>
  <si>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</si>
  <si>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</si>
  <si>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</si>
  <si>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</si>
  <si>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</si>
  <si>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</si>
  <si>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</si>
  <si>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</si>
  <si>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</si>
  <si>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</si>
  <si>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</si>
  <si>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</si>
  <si>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</si>
  <si>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</si>
  <si>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</si>
  <si>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</si>
  <si>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</si>
  <si>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</si>
  <si>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</si>
  <si>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</si>
  <si>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</si>
  <si>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</si>
  <si>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</si>
  <si>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</si>
  <si>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</si>
  <si>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</si>
  <si>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</si>
  <si>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</si>
  <si>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</si>
  <si>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</si>
  <si>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</si>
  <si>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</si>
  <si>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</si>
  <si>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</si>
  <si>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</si>
  <si>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</si>
  <si>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</si>
  <si>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</si>
  <si>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</si>
  <si>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</si>
  <si>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</si>
  <si>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</si>
  <si>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</si>
  <si>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</si>
  <si>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</si>
  <si>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</si>
  <si>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</si>
  <si>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</si>
  <si>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</si>
  <si>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</si>
  <si>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</si>
  <si>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</si>
  <si>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</si>
  <si>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</si>
  <si>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</si>
  <si>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</si>
  <si>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</si>
  <si>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</si>
  <si>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</si>
  <si>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</si>
  <si>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</si>
  <si>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</si>
  <si>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</si>
  <si>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</si>
  <si>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</si>
  <si>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</si>
  <si>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</si>
  <si>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</si>
  <si>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</si>
  <si>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</si>
  <si>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</si>
  <si>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</si>
  <si>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</si>
  <si>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</si>
  <si>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</si>
  <si>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</si>
  <si>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</si>
  <si>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</si>
  <si>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</si>
  <si>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</si>
  <si>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</si>
  <si>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</si>
  <si>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</si>
  <si>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</si>
  <si>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</si>
  <si>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</si>
  <si>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</si>
  <si>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</si>
  <si>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</si>
  <si>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</si>
  <si>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</si>
  <si>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</si>
  <si>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</si>
  <si>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</si>
  <si>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</si>
  <si>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</si>
  <si>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</si>
  <si>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</si>
  <si>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</si>
  <si>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</si>
  <si>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</si>
  <si>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</si>
  <si>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</si>
  <si>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</si>
  <si>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</si>
  <si>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</si>
  <si>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</si>
  <si>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</si>
  <si>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</si>
  <si>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</si>
  <si>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</si>
  <si>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</si>
  <si>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</si>
  <si>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</si>
  <si>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</si>
  <si>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</si>
  <si>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</si>
  <si>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</si>
  <si>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</si>
  <si>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</si>
  <si>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</si>
  <si>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</si>
  <si>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</si>
  <si>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</si>
  <si>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</si>
  <si>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</si>
  <si>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</si>
  <si>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</si>
  <si>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</si>
  <si>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</si>
  <si>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</si>
  <si>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</si>
  <si>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</si>
  <si>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</si>
  <si>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</si>
  <si>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</si>
  <si>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</si>
  <si>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</si>
  <si>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</si>
  <si>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</si>
  <si>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</si>
  <si>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</si>
  <si>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</si>
  <si>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</si>
  <si>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</si>
  <si>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</si>
  <si>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</si>
  <si>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</si>
  <si>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</si>
  <si>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</si>
  <si>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</si>
  <si>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</si>
  <si>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</si>
  <si>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</si>
  <si>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</si>
  <si>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</si>
  <si>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</si>
  <si>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</si>
  <si>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</si>
  <si>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</si>
  <si>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</si>
  <si>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</si>
  <si>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</si>
  <si>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</si>
  <si>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</si>
  <si>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</si>
  <si>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</si>
  <si>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</si>
  <si>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</si>
  <si>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</si>
  <si>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</si>
  <si>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</si>
  <si>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</si>
  <si>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</si>
  <si>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</si>
  <si>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</si>
  <si>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</si>
  <si>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</si>
  <si>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</si>
  <si>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</si>
  <si>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</si>
  <si>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</si>
  <si>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</si>
  <si>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</si>
  <si>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</si>
  <si>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</si>
  <si>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</si>
  <si>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</si>
  <si>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</si>
  <si>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</si>
  <si>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</si>
  <si>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</si>
  <si>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</si>
  <si>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</si>
  <si>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</si>
  <si>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</si>
  <si>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</si>
  <si>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</si>
  <si>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</si>
  <si>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</si>
  <si>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</si>
  <si>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</si>
  <si>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</si>
  <si>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</si>
  <si>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</si>
  <si>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</si>
  <si>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</si>
  <si>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</si>
  <si>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</si>
  <si>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</si>
  <si>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</si>
  <si>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</si>
  <si>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</si>
  <si>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</si>
  <si>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</si>
  <si>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</si>
  <si>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</si>
  <si>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</si>
  <si>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</si>
  <si>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</si>
  <si>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</si>
  <si>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</si>
  <si>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</si>
  <si>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</si>
  <si>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</si>
  <si>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</si>
  <si>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</si>
  <si>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</si>
  <si>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</si>
  <si>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</si>
  <si>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</si>
  <si>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</si>
  <si>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</si>
  <si>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</si>
  <si>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</si>
  <si>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</si>
  <si>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</si>
  <si>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</si>
  <si>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</si>
  <si>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</si>
  <si>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</si>
  <si>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</si>
  <si>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</si>
  <si>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</si>
  <si>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</si>
  <si>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</si>
  <si>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</si>
  <si>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</si>
  <si>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</si>
  <si>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</si>
  <si>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</si>
  <si>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</si>
  <si>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</si>
  <si>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</si>
  <si>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</si>
  <si>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</si>
  <si>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</si>
  <si>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</si>
  <si>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</si>
  <si>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</si>
  <si>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</si>
  <si>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</si>
  <si>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</si>
  <si>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</si>
  <si>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</si>
  <si>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</si>
  <si>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</si>
  <si>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</si>
  <si>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</si>
  <si>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</si>
  <si>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</si>
  <si>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</si>
  <si>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</si>
  <si>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</si>
  <si>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</si>
  <si>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</si>
  <si>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</si>
  <si>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</si>
  <si>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</si>
  <si>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</si>
  <si>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</si>
  <si>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</si>
  <si>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</si>
  <si>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</si>
  <si>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</si>
  <si>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</si>
  <si>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</si>
  <si>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</si>
  <si>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</si>
  <si>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</si>
  <si>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</si>
  <si>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</si>
  <si>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</si>
  <si>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</si>
  <si>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</si>
  <si>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</si>
  <si>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</si>
  <si>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</si>
  <si>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</si>
  <si>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</si>
  <si>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</si>
  <si>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</si>
  <si>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</si>
  <si>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</si>
  <si>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</si>
  <si>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</si>
  <si>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</si>
  <si>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</si>
  <si>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</si>
  <si>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</si>
  <si>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</si>
  <si>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</si>
  <si>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</si>
  <si>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</si>
  <si>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</si>
  <si>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</si>
  <si>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</si>
  <si>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</si>
  <si>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</si>
  <si>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</si>
  <si>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</si>
  <si>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</si>
  <si>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</si>
  <si>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</si>
  <si>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</si>
  <si>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</si>
  <si>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</si>
  <si>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</si>
  <si>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</si>
  <si>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</si>
  <si>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</si>
  <si>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</si>
  <si>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</si>
  <si>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</si>
  <si>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</si>
  <si>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</si>
  <si>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</si>
  <si>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</si>
  <si>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</si>
  <si>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</si>
  <si>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</si>
  <si>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</si>
  <si>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</si>
  <si>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</si>
  <si>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</si>
  <si>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</si>
  <si>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</si>
  <si>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</si>
  <si>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</si>
  <si>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</si>
  <si>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</si>
  <si>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</si>
  <si>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</si>
  <si>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</si>
  <si>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</si>
  <si>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</si>
  <si>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</si>
  <si>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</si>
  <si>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</si>
  <si>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</si>
  <si>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</si>
  <si>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</si>
  <si>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</si>
  <si>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</si>
  <si>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</si>
  <si>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</si>
  <si>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</si>
  <si>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</si>
  <si>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</si>
  <si>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</si>
  <si>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</si>
  <si>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</si>
  <si>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</si>
  <si>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</si>
  <si>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</si>
  <si>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</si>
  <si>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</si>
  <si>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</si>
  <si>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</si>
  <si>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</si>
  <si>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</si>
  <si>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</si>
  <si>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</si>
  <si>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</si>
  <si>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</si>
  <si>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</si>
  <si>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</si>
  <si>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</si>
  <si>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</si>
  <si>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</si>
  <si>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</si>
  <si>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</si>
  <si>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</si>
  <si>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</si>
  <si>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</si>
  <si>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</si>
  <si>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</si>
  <si>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</si>
  <si>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</si>
  <si>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</si>
  <si>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</si>
  <si>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</si>
  <si>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</si>
  <si>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</si>
  <si>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</si>
  <si>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</si>
  <si>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</si>
  <si>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</si>
  <si>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</si>
  <si>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</si>
  <si>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</si>
  <si>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</si>
  <si>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</si>
  <si>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</si>
  <si>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</si>
  <si>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</si>
  <si>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</si>
  <si>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</si>
  <si>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</si>
  <si>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</si>
  <si>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C:\Users\hector.guillen\EUROLEAGUE\EB STATS - Documents\General\SEASON 2025-26\Reports\Eurocup</t>
  </si>
  <si>
    <t>C:\Users\hector.guillen\EUROLEAGUE\EB STATS - Documents\General\SEASON 2025-26\Reports\Eurocup\PDF</t>
  </si>
  <si>
    <t>DALIA UTIU</t>
  </si>
  <si>
    <t>ZSOLT CSIKI</t>
  </si>
  <si>
    <t>GEORGE PRIDEA</t>
  </si>
  <si>
    <t>ANGEL CRISAN</t>
  </si>
  <si>
    <t>IULIA ARMANICA</t>
  </si>
  <si>
    <t>HECTOR GUILLEN</t>
  </si>
  <si>
    <t>10:00</t>
  </si>
  <si>
    <t>9:01</t>
  </si>
  <si>
    <t>7:51</t>
  </si>
  <si>
    <t>7:49</t>
  </si>
  <si>
    <t>6:24</t>
  </si>
  <si>
    <t>8:18</t>
  </si>
  <si>
    <t>5:39</t>
  </si>
  <si>
    <t>6:19</t>
  </si>
  <si>
    <t>3:37</t>
  </si>
  <si>
    <t>The major corrections were made in the first five minutes of the game. Taking that into account, the following 35 minutes were a very good performance.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</si>
</sst>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11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11_105_CLU_KLA_U2025</v>
      </c>
      <c r="G1" s="5"/>
      <c r="H1" s="5"/>
      <c r="I1" s="5"/>
      <c r="J1" s="8" t="s">
        <v>707</v>
      </c>
      <c r="K1" s="121" t="s">
        <v>825</v>
      </c>
      <c r="L1" s="121"/>
      <c r="M1" s="122" t="s">
        <v>239</v>
      </c>
      <c r="N1" s="121" t="s">
        <v>826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105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46008.75</v>
      </c>
      <c r="C3" s="178"/>
      <c r="D3" s="39">
        <v>661</v>
      </c>
      <c r="E3" s="29"/>
      <c r="F3" s="26">
        <f>SUBTOTAL(3,I17:I106)</f>
        <v>9</v>
      </c>
      <c r="G3" s="27">
        <f>IF(OR(D3="",D3=0),"",F3/D3)</f>
        <v>1.3615733736762481E-2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U-BT Cluj-Napoca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CLU</v>
      </c>
      <c r="I4" s="5"/>
      <c r="J4" s="119" t="s">
        <v>714</v>
      </c>
      <c r="K4" s="54" t="s">
        <v>742</v>
      </c>
      <c r="L4" s="5"/>
      <c r="M4" s="185" t="s">
        <v>842</v>
      </c>
      <c r="N4" s="186"/>
      <c r="O4" s="2"/>
      <c r="P4" s="2"/>
      <c r="Q4" s="84" t="s">
        <v>175</v>
      </c>
      <c r="R4" s="94">
        <f>(IF(G3="",0,G3))</f>
        <v>1.3615733736762481E-2</v>
      </c>
      <c r="S4" s="61">
        <f>SUM(I13:M13)</f>
        <v>0</v>
      </c>
      <c r="T4" s="78"/>
      <c r="U4" s="61">
        <f>AC18</f>
        <v>4</v>
      </c>
      <c r="V4" s="61">
        <f>+AC22</f>
        <v>2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1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1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Neptunas Klaipeda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KLA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1.3615733736762481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2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5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10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827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828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22.861573373676247</v>
      </c>
      <c r="N7" s="58"/>
      <c r="O7" s="2"/>
      <c r="P7" s="2"/>
      <c r="Q7" s="86">
        <f>SUM(R5,S5,AC16)</f>
        <v>22.861573373676247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829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22.861573373676247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830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831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/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105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832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9</v>
      </c>
      <c r="J15" s="24">
        <f>SUBTOTAL(3,J17:J106)</f>
        <v>9</v>
      </c>
      <c r="K15" s="24">
        <f>SUBTOTAL(3,K17:K106)</f>
        <v>9</v>
      </c>
      <c r="L15" s="24">
        <f>SUBTOTAL(3,L17:L106)</f>
        <v>9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9</v>
      </c>
      <c r="Z16" s="90" t="s">
        <v>110</v>
      </c>
      <c r="AA16" s="75">
        <f>SUM(AA17:AA24)</f>
        <v>9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21.5</v>
      </c>
      <c r="AD16" s="75">
        <f>SUM(AD17:AD24)</f>
        <v>45</v>
      </c>
      <c r="AE16" s="76" t="s">
        <v>42</v>
      </c>
      <c r="AF16" s="75">
        <f>SUM(AF17:AF24)</f>
        <v>4</v>
      </c>
      <c r="AG16" s="75">
        <f>SUM(AG17:AG21)</f>
        <v>9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105</v>
      </c>
      <c r="D17" s="32" t="s">
        <v>833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0</v>
      </c>
      <c r="J17" s="13" t="s">
        <v>4</v>
      </c>
      <c r="K17" s="13" t="s">
        <v>61</v>
      </c>
      <c r="L17" s="13" t="s">
        <v>46</v>
      </c>
      <c r="M17" s="13" t="s">
        <v>46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8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6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105</v>
      </c>
      <c r="D18" s="32" t="s">
        <v>834</v>
      </c>
      <c r="E18" s="33">
        <v>1</v>
      </c>
      <c r="F18" s="36">
        <v>5</v>
      </c>
      <c r="G18" s="36">
        <v>0</v>
      </c>
      <c r="H18" s="38" t="str">
        <f t="shared" ref="H18:H81" si="8">IF(I18="","",$I$14)</f>
        <v>SCOUTING</v>
      </c>
      <c r="I18" s="34">
        <v>13</v>
      </c>
      <c r="J18" s="13" t="s">
        <v>4</v>
      </c>
      <c r="K18" s="13" t="s">
        <v>62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105</v>
      </c>
      <c r="D19" s="32" t="s">
        <v>835</v>
      </c>
      <c r="E19" s="33">
        <v>1</v>
      </c>
      <c r="F19" s="36">
        <v>10</v>
      </c>
      <c r="G19" s="36">
        <v>2</v>
      </c>
      <c r="H19" s="38" t="str">
        <f t="shared" si="8"/>
        <v>SCOUTING</v>
      </c>
      <c r="I19" s="34">
        <v>27</v>
      </c>
      <c r="J19" s="13" t="s">
        <v>4</v>
      </c>
      <c r="K19" s="13" t="s">
        <v>62</v>
      </c>
      <c r="L19" s="13" t="s">
        <v>7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105</v>
      </c>
      <c r="D20" s="32" t="s">
        <v>836</v>
      </c>
      <c r="E20" s="33">
        <v>1</v>
      </c>
      <c r="F20" s="36">
        <v>12</v>
      </c>
      <c r="G20" s="36">
        <v>2</v>
      </c>
      <c r="H20" s="38" t="str">
        <f t="shared" si="8"/>
        <v>SCOUTING</v>
      </c>
      <c r="I20" s="34">
        <v>30</v>
      </c>
      <c r="J20" s="13" t="s">
        <v>4</v>
      </c>
      <c r="K20" s="13" t="s">
        <v>62</v>
      </c>
      <c r="L20" s="13" t="s">
        <v>6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105</v>
      </c>
      <c r="D21" s="32" t="s">
        <v>837</v>
      </c>
      <c r="E21" s="33">
        <v>1</v>
      </c>
      <c r="F21" s="36">
        <v>15</v>
      </c>
      <c r="G21" s="36">
        <v>4</v>
      </c>
      <c r="H21" s="38" t="str">
        <f t="shared" si="8"/>
        <v>SCOUTING</v>
      </c>
      <c r="I21" s="34">
        <v>58</v>
      </c>
      <c r="J21" s="13" t="s">
        <v>4</v>
      </c>
      <c r="K21" s="13" t="s">
        <v>63</v>
      </c>
      <c r="L21" s="13" t="s">
        <v>5</v>
      </c>
      <c r="M21" s="13" t="s">
        <v>168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1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105</v>
      </c>
      <c r="D22" s="32" t="s">
        <v>838</v>
      </c>
      <c r="E22" s="33">
        <v>1</v>
      </c>
      <c r="F22" s="36">
        <v>10</v>
      </c>
      <c r="G22" s="36">
        <v>2</v>
      </c>
      <c r="H22" s="38" t="str">
        <f t="shared" si="8"/>
        <v>SCOUTING</v>
      </c>
      <c r="I22" s="34">
        <v>19</v>
      </c>
      <c r="J22" s="13" t="s">
        <v>3</v>
      </c>
      <c r="K22" s="13" t="s">
        <v>63</v>
      </c>
      <c r="L22" s="13" t="s">
        <v>36</v>
      </c>
      <c r="M22" s="13" t="s">
        <v>36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105</v>
      </c>
      <c r="D23" s="32" t="s">
        <v>839</v>
      </c>
      <c r="E23" s="33">
        <v>2</v>
      </c>
      <c r="F23" s="36">
        <v>52</v>
      </c>
      <c r="G23" s="36">
        <v>28</v>
      </c>
      <c r="H23" s="38" t="str">
        <f t="shared" si="8"/>
        <v>SCOUTING</v>
      </c>
      <c r="I23" s="34">
        <v>242</v>
      </c>
      <c r="J23" s="13" t="s">
        <v>4</v>
      </c>
      <c r="K23" s="13" t="s">
        <v>62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105</v>
      </c>
      <c r="D24" s="32" t="s">
        <v>840</v>
      </c>
      <c r="E24" s="33">
        <v>4</v>
      </c>
      <c r="F24" s="36">
        <v>99</v>
      </c>
      <c r="G24" s="36">
        <v>86</v>
      </c>
      <c r="H24" s="38" t="str">
        <f t="shared" si="8"/>
        <v>SCOUTING</v>
      </c>
      <c r="I24" s="34">
        <v>565</v>
      </c>
      <c r="J24" s="13" t="s">
        <v>4</v>
      </c>
      <c r="K24" s="13" t="s">
        <v>63</v>
      </c>
      <c r="L24" s="13" t="s">
        <v>5</v>
      </c>
      <c r="M24" s="13" t="s">
        <v>10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105</v>
      </c>
      <c r="D25" s="32" t="s">
        <v>841</v>
      </c>
      <c r="E25" s="33">
        <v>4</v>
      </c>
      <c r="F25" s="36">
        <v>107</v>
      </c>
      <c r="G25" s="36">
        <v>88</v>
      </c>
      <c r="H25" s="38" t="str">
        <f t="shared" si="8"/>
        <v>SCOUTING</v>
      </c>
      <c r="I25" s="34">
        <v>607</v>
      </c>
      <c r="J25" s="13" t="s">
        <v>4</v>
      </c>
      <c r="K25" s="13" t="s">
        <v>62</v>
      </c>
      <c r="L25" s="13" t="s">
        <v>5</v>
      </c>
      <c r="M25" s="13" t="s">
        <v>10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1</v>
      </c>
      <c r="AD28" s="61">
        <f>P28</f>
        <v>10</v>
      </c>
      <c r="AE28" s="66" t="s">
        <v>46</v>
      </c>
      <c r="AF28" s="65">
        <f t="shared" si="7"/>
        <v>1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1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803</v>
      </c>
      <c r="E3" s="133" t="s">
        <v>804</v>
      </c>
      <c r="F3" s="133" t="s">
        <v>805</v>
      </c>
      <c r="G3" s="133" t="s">
        <v>806</v>
      </c>
      <c r="H3" s="133" t="s">
        <v>807</v>
      </c>
      <c r="I3" s="134" t="s">
        <v>808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764</v>
      </c>
      <c r="E4" s="137" t="s">
        <v>765</v>
      </c>
      <c r="F4" s="137" t="s">
        <v>766</v>
      </c>
      <c r="G4" s="137" t="s">
        <v>767</v>
      </c>
      <c r="H4" s="137" t="s">
        <v>768</v>
      </c>
      <c r="I4" s="138" t="s">
        <v>769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787</v>
      </c>
      <c r="E6" s="137" t="s">
        <v>788</v>
      </c>
      <c r="F6" s="137" t="s">
        <v>789</v>
      </c>
      <c r="G6" s="137" t="s">
        <v>780</v>
      </c>
      <c r="H6" s="137" t="s">
        <v>779</v>
      </c>
      <c r="I6" s="138" t="s">
        <v>790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754</v>
      </c>
      <c r="F7" s="137" t="s">
        <v>755</v>
      </c>
      <c r="G7" s="137" t="s">
        <v>756</v>
      </c>
      <c r="H7" s="137" t="s">
        <v>757</v>
      </c>
      <c r="I7" s="137" t="s">
        <v>824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770</v>
      </c>
      <c r="F8" s="137" t="s">
        <v>771</v>
      </c>
      <c r="G8" s="137" t="s">
        <v>772</v>
      </c>
      <c r="H8" s="137" t="s">
        <v>773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818</v>
      </c>
      <c r="E9" s="137" t="s">
        <v>819</v>
      </c>
      <c r="F9" s="137" t="s">
        <v>820</v>
      </c>
      <c r="G9" s="137" t="s">
        <v>821</v>
      </c>
      <c r="H9" s="137" t="s">
        <v>822</v>
      </c>
      <c r="I9" s="138" t="s">
        <v>823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809</v>
      </c>
      <c r="E10" s="137" t="s">
        <v>810</v>
      </c>
      <c r="F10" s="137" t="s">
        <v>811</v>
      </c>
      <c r="G10" s="137" t="s">
        <v>812</v>
      </c>
      <c r="H10" s="137" t="s">
        <v>813</v>
      </c>
      <c r="I10" s="138" t="s">
        <v>814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758</v>
      </c>
      <c r="E13" s="137" t="s">
        <v>759</v>
      </c>
      <c r="F13" s="137" t="s">
        <v>760</v>
      </c>
      <c r="G13" s="137" t="s">
        <v>761</v>
      </c>
      <c r="H13" s="137" t="s">
        <v>762</v>
      </c>
      <c r="I13" s="138" t="s">
        <v>763</v>
      </c>
      <c r="J13" s="139"/>
      <c r="K13" s="137" t="s">
        <v>774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781</v>
      </c>
      <c r="E14" s="137" t="s">
        <v>782</v>
      </c>
      <c r="F14" s="137" t="s">
        <v>783</v>
      </c>
      <c r="G14" s="137" t="s">
        <v>784</v>
      </c>
      <c r="H14" s="137" t="s">
        <v>785</v>
      </c>
      <c r="I14" s="138" t="s">
        <v>786</v>
      </c>
      <c r="J14" s="139"/>
      <c r="K14" s="137" t="s">
        <v>775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776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7" t="s">
        <v>780</v>
      </c>
      <c r="J16" s="139"/>
      <c r="K16" s="137" t="s">
        <v>777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749</v>
      </c>
      <c r="E17" s="137" t="s">
        <v>750</v>
      </c>
      <c r="F17" s="137" t="s">
        <v>751</v>
      </c>
      <c r="G17" s="137" t="s">
        <v>752</v>
      </c>
      <c r="H17" s="137" t="s">
        <v>753</v>
      </c>
      <c r="I17" s="138"/>
      <c r="J17" s="139"/>
      <c r="K17" s="137" t="s">
        <v>778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791</v>
      </c>
      <c r="E18" s="137" t="s">
        <v>792</v>
      </c>
      <c r="F18" s="137" t="s">
        <v>793</v>
      </c>
      <c r="G18" s="137" t="s">
        <v>794</v>
      </c>
      <c r="H18" s="137" t="s">
        <v>795</v>
      </c>
      <c r="I18" s="138" t="s">
        <v>796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815</v>
      </c>
      <c r="E19" s="137" t="s">
        <v>792</v>
      </c>
      <c r="F19" s="137" t="s">
        <v>816</v>
      </c>
      <c r="G19" s="137" t="s">
        <v>817</v>
      </c>
      <c r="H19" s="137" t="s">
        <v>795</v>
      </c>
      <c r="I19" s="138" t="s">
        <v>796</v>
      </c>
      <c r="J19" s="139" t="s">
        <v>774</v>
      </c>
      <c r="K19" s="137" t="s">
        <v>775</v>
      </c>
      <c r="L19" s="137" t="s">
        <v>776</v>
      </c>
      <c r="M19" s="137" t="s">
        <v>777</v>
      </c>
      <c r="N19" s="140" t="s">
        <v>778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797</v>
      </c>
      <c r="E22" s="142" t="s">
        <v>798</v>
      </c>
      <c r="F22" s="142" t="s">
        <v>799</v>
      </c>
      <c r="G22" s="142" t="s">
        <v>800</v>
      </c>
      <c r="H22" s="142" t="s">
        <v>801</v>
      </c>
      <c r="I22" s="143" t="s">
        <v>802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REPORT_U2025105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"U2025105"</v>
      </c>
      <c r="F3" s="45" t="str">
        <f t="shared" ref="F3:F16" si="0">""""&amp;B3&amp;"""" &amp; " : " &amp;C3&amp;","</f>
        <v>"name" : "U2025105",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"U105"</v>
      </c>
      <c r="F4" s="45" t="str">
        <f t="shared" si="0"/>
        <v>"cod" : "U105",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105</v>
      </c>
      <c r="F6" s="45" t="str">
        <f t="shared" si="0"/>
        <v>"number" : 105,</v>
      </c>
    </row>
    <row r="7" spans="2:6" x14ac:dyDescent="0.25">
      <c r="B7" s="43" t="s">
        <v>116</v>
      </c>
      <c r="C7" s="43" t="str">
        <f ca="1">""""&amp;TEXT('SCOUT &amp; LOGISTICS'!B3,"dd/mm/aaaa")&amp;""""</f>
        <v>"17/12/Wednesday"</v>
      </c>
      <c r="F7" s="45" t="str">
        <f t="shared" ca="1" si="0"/>
        <v>"date" : "17/12/Wednesday",</v>
      </c>
    </row>
    <row r="8" spans="2:6" x14ac:dyDescent="0.25">
      <c r="B8" s="43" t="s">
        <v>125</v>
      </c>
      <c r="C8" s="43" t="str">
        <f>""""&amp;'SCOUT &amp; LOGISTICS'!D4 &amp;""""</f>
        <v>"U-BT Cluj-Napoca"</v>
      </c>
      <c r="F8" s="45" t="str">
        <f t="shared" si="0"/>
        <v>"home_team" : "U-BT Cluj-Napoca",</v>
      </c>
    </row>
    <row r="9" spans="2:6" x14ac:dyDescent="0.25">
      <c r="B9" s="43" t="s">
        <v>126</v>
      </c>
      <c r="C9" s="43" t="str">
        <f>""""&amp;'SCOUT &amp; LOGISTICS'!D5&amp;""""</f>
        <v>"Neptunas Klaipeda"</v>
      </c>
      <c r="F9" s="45" t="str">
        <f t="shared" si="0"/>
        <v>"away_team" : "Neptunas Klaipeda",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"DALIA UTIU"</v>
      </c>
      <c r="F10" s="45" t="str">
        <f t="shared" si="0"/>
        <v>"Data_entry" : "DALIA UTIU",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"ZSOLT CSIKI"</v>
      </c>
      <c r="F11" s="45" t="str">
        <f t="shared" si="0"/>
        <v>"Caller_1" : "ZSOLT CSIKI",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"GEORGE PRIDEA"</v>
      </c>
      <c r="F12" s="45" t="str">
        <f t="shared" si="0"/>
        <v>"Caller_2" : "GEORGE PRIDEA",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"ANGEL CRISAN"</v>
      </c>
      <c r="F13" s="45" t="str">
        <f t="shared" si="0"/>
        <v>"Timerkeeper" : "ANGEL CRISAN",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"IULIA ARMANICA"</v>
      </c>
      <c r="F14" s="45" t="str">
        <f t="shared" si="0"/>
        <v>"Shotclock" : "IULIA ARMANICA",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661</v>
      </c>
      <c r="F25" s="45" t="str">
        <f t="shared" ref="F25:F48" si="1">""""&amp;C25&amp;"""" &amp; " : " &amp;D25&amp;","</f>
        <v>"total_actions" : 661,</v>
      </c>
    </row>
    <row r="26" spans="2:6" x14ac:dyDescent="0.25">
      <c r="C26" s="43" t="s">
        <v>132</v>
      </c>
      <c r="D26" s="43">
        <f>'SCOUT &amp; LOGISTICS'!F3</f>
        <v>9</v>
      </c>
      <c r="F26" s="45" t="str">
        <f t="shared" si="1"/>
        <v>"total_correcions" : 9,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6</v>
      </c>
      <c r="F31" s="45" t="str">
        <f t="shared" si="1"/>
        <v>"q1" : 6,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9</v>
      </c>
      <c r="F37" s="45" t="str">
        <f t="shared" si="1"/>
        <v>"scoresheet_corrections" : 9,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1</v>
      </c>
      <c r="F45" s="45" t="str">
        <f t="shared" si="1"/>
        <v>"missplaced" : 1,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major corrections were made in the first five minutes of the game. Taking that into account, the following 35 minutes were a very good performance. Keep it up!"</v>
      </c>
      <c r="F51" s="45" t="str">
        <f>""""&amp;B51&amp;"""" &amp; " : " &amp;C51&amp;","</f>
        <v>"comments" : "The major corrections were made in the first five minutes of the game. Taking that into account, the following 35 minutes were a very good performance. Keep it up!",</v>
      </c>
    </row>
    <row r="52" spans="2:6" x14ac:dyDescent="0.25">
      <c r="B52" s="43" t="s">
        <v>153</v>
      </c>
      <c r="C52" s="43" t="str">
        <f>TEXT('SCOUT &amp; LOGISTICS'!F1,"0,0")</f>
        <v>11_105_CLU_KLA_U2025</v>
      </c>
      <c r="F52" s="45" t="str">
        <f>""""&amp;B52&amp;"""" &amp; " : " &amp;C52</f>
        <v>"result" : 11_105_CLU_KLA_U2025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U105 (EUROCUP)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17/12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U-Bt Cluj-Napoca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Neptunas Klaipeda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DALIA UTIU</v>
      </c>
      <c r="C8" s="201"/>
      <c r="D8" s="201"/>
      <c r="E8" s="201"/>
      <c r="F8" s="201"/>
      <c r="G8" s="201" t="str">
        <f>IF('SCOUT &amp; LOGISTICS'!D7="","",'SCOUT &amp; LOGISTICS'!D7)</f>
        <v>ZSOLT CSIKI</v>
      </c>
      <c r="H8" s="201"/>
      <c r="I8" s="201"/>
      <c r="J8" s="201"/>
      <c r="K8" s="201"/>
      <c r="L8" s="201" t="str">
        <f>IF('SCOUT &amp; LOGISTICS'!D8="","",'SCOUT &amp; LOGISTICS'!D8)</f>
        <v>GEORGE PRIDEA</v>
      </c>
      <c r="M8" s="201"/>
      <c r="N8" s="201"/>
      <c r="O8" s="201"/>
      <c r="P8" s="201"/>
      <c r="Q8" s="201" t="str">
        <f>IF('SCOUT &amp; LOGISTICS'!D9="","",'SCOUT &amp; LOGISTICS'!D9)</f>
        <v>ANGEL CRISAN</v>
      </c>
      <c r="R8" s="201"/>
      <c r="S8" s="201"/>
      <c r="T8" s="201"/>
      <c r="U8" s="201"/>
      <c r="V8" s="201" t="str">
        <f>IF('SCOUT &amp; LOGISTICS'!D10="","",'SCOUT &amp; LOGISTICS'!D10)</f>
        <v>IULIA ARMANICA</v>
      </c>
      <c r="W8" s="201"/>
      <c r="X8" s="201"/>
      <c r="Y8" s="201"/>
      <c r="Z8" s="201"/>
      <c r="AA8" s="201" t="str">
        <f>IF('SCOUT &amp; LOGISTICS'!D11="","",'SCOUT &amp; LOGISTICS'!D11)</f>
        <v/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661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9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1.3615733736762481E-2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5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1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6</v>
      </c>
      <c r="C22" s="199"/>
      <c r="D22" s="199"/>
      <c r="E22" s="199"/>
      <c r="F22" s="199"/>
      <c r="G22" s="199"/>
      <c r="H22" s="199">
        <f>'SCOUT &amp; LOGISTICS'!AG18</f>
        <v>1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8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1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4</v>
      </c>
      <c r="C27" s="199"/>
      <c r="D27" s="199"/>
      <c r="E27" s="199"/>
      <c r="F27" s="199"/>
      <c r="G27" s="199">
        <f>'SCOUT &amp; LOGISTICS'!AC22</f>
        <v>2</v>
      </c>
      <c r="H27" s="199"/>
      <c r="I27" s="199"/>
      <c r="J27" s="199"/>
      <c r="K27" s="199"/>
      <c r="L27" s="199">
        <f>'SCOUT &amp; LOGISTICS'!AC23</f>
        <v>1</v>
      </c>
      <c r="M27" s="199"/>
      <c r="N27" s="199"/>
      <c r="O27" s="199"/>
      <c r="P27" s="199"/>
      <c r="Q27" s="199">
        <f>'SCOUT &amp; LOGISTICS'!AC21</f>
        <v>1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1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The major corrections were made in the first five minutes of the game. Taking that into account, the following 35 minutes were a very good performance. Keep it up!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22.861573373676247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FB288ECB-8960-410E-BC1E-D42FBF7D2F25}"/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2025-12-23T16:19:32Z</cp:lastPrinted>
  <dcterms:created xsi:type="dcterms:W3CDTF">2023-09-19T19:50:35Z</dcterms:created>
  <dcterms:modified xsi:type="dcterms:W3CDTF">2025-12-23T16:19:36Z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