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45" documentId="8_{44ED7C38-43B7-4257-8044-2654B68B6B50}" xr6:coauthVersionLast="47" xr6:coauthVersionMax="47" xr10:uidLastSave="{D3AA18BF-2354-4DA2-8F79-112E82B7EA1A}"/>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<sst xmlns="http://schemas.openxmlformats.org/spreadsheetml/2006/main" count="3315" uniqueCount="772">
  <si>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</si>
  <si>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</si>
  <si>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</si>
  <si>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</si>
  <si>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</si>
  <si>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</si>
  <si>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</si>
  <si>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</si>
  <si>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</si>
  <si>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</si>
  <si>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</si>
  <si>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</si>
  <si>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</si>
  <si>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</si>
  <si>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</si>
  <si>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</si>
  <si>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</si>
  <si>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</si>
  <si>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</si>
  <si>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</si>
  <si>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</si>
  <si>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</si>
  <si>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</si>
  <si>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</si>
  <si>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</si>
  <si>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</si>
  <si>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</si>
  <si>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</si>
  <si>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</si>
  <si>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</si>
  <si>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</si>
  <si>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</si>
  <si>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</si>
  <si>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</si>
  <si>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</si>
  <si>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</si>
  <si>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</si>
  <si>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</si>
  <si>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</si>
  <si>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</si>
  <si>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</si>
  <si>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</si>
  <si>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</si>
  <si>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</si>
  <si>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</si>
  <si>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</si>
  <si>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</si>
  <si>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</si>
  <si>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</si>
  <si>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</si>
  <si>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</si>
  <si>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</si>
  <si>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</si>
  <si>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</si>
  <si>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</si>
  <si>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</si>
  <si>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</si>
  <si>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</si>
  <si>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</si>
  <si>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</si>
  <si>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</si>
  <si>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</si>
  <si>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</si>
  <si>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</si>
  <si>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</si>
  <si>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</si>
  <si>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</si>
  <si>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</si>
  <si>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</si>
  <si>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</si>
  <si>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</si>
  <si>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</si>
  <si>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</si>
  <si>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</si>
  <si>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</si>
  <si>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</si>
  <si>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</si>
  <si>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</si>
  <si>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</si>
  <si>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</si>
  <si>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</si>
  <si>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</si>
  <si>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</si>
  <si>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</si>
  <si>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</si>
  <si>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</si>
  <si>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</si>
  <si>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</si>
  <si>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</si>
  <si>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</si>
  <si>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</si>
  <si>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</si>
  <si>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</si>
  <si>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</si>
  <si>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</si>
  <si>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</si>
  <si>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</si>
  <si>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</si>
  <si>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</si>
  <si>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</si>
  <si>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</si>
  <si>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</si>
  <si>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</si>
  <si>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</si>
  <si>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</si>
  <si>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</si>
  <si>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</si>
  <si>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</si>
  <si>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</si>
  <si>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</si>
  <si>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</si>
  <si>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</si>
  <si>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</si>
  <si>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</si>
  <si>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</si>
  <si>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</si>
  <si>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</si>
  <si>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</si>
  <si>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</si>
  <si>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</si>
  <si>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</si>
  <si>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</si>
  <si>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</si>
  <si>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</si>
  <si>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</si>
  <si>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</si>
  <si>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</si>
  <si>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</si>
  <si>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</si>
  <si>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</si>
  <si>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</si>
  <si>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</si>
  <si>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</si>
  <si>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</si>
  <si>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</si>
  <si>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</si>
  <si>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</si>
  <si>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</si>
  <si>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</si>
  <si>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</si>
  <si>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</si>
  <si>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</si>
  <si>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</si>
  <si>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</si>
  <si>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</si>
  <si>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</si>
  <si>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</si>
  <si>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</si>
  <si>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</si>
  <si>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</si>
  <si>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</si>
  <si>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</si>
  <si>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</si>
  <si>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</si>
  <si>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</si>
  <si>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</si>
  <si>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</si>
  <si>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</si>
  <si>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</si>
  <si>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</si>
  <si>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</si>
  <si>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</si>
  <si>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</si>
  <si>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</si>
  <si>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</si>
  <si>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</si>
  <si>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</si>
  <si>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</si>
  <si>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</si>
  <si>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</si>
  <si>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</si>
  <si>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</si>
  <si>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</si>
  <si>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</si>
  <si>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</si>
  <si>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</si>
  <si>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</si>
  <si>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</si>
  <si>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</si>
  <si>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</si>
  <si>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</si>
  <si>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</si>
  <si>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</si>
  <si>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</si>
  <si>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</si>
  <si>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</si>
  <si>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</si>
  <si>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</si>
  <si>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</si>
  <si>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</si>
  <si>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</si>
  <si>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</si>
  <si>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</si>
  <si>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</si>
  <si>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</si>
  <si>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</si>
  <si>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</si>
  <si>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</si>
  <si>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</si>
  <si>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</si>
  <si>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</si>
  <si>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</si>
  <si>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</si>
  <si>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</si>
  <si>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</si>
  <si>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</si>
  <si>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</si>
  <si>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</si>
  <si>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</si>
  <si>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</si>
  <si>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</si>
  <si>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</si>
  <si>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</si>
  <si>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</si>
  <si>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</si>
  <si>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</si>
  <si>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</si>
  <si>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</si>
  <si>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</si>
  <si>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</si>
  <si>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</si>
  <si>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</si>
  <si>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</si>
  <si>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</si>
  <si>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</si>
  <si>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</si>
  <si>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</si>
  <si>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</si>
  <si>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</si>
  <si>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</si>
  <si>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</si>
  <si>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</si>
  <si>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</si>
  <si>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</si>
  <si>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</si>
  <si>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</si>
  <si>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</si>
  <si>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</si>
  <si>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</si>
  <si>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</si>
  <si>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</si>
  <si>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</si>
  <si>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</si>
  <si>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</si>
  <si>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</si>
  <si>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</si>
  <si>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</si>
  <si>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</si>
  <si>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</si>
  <si>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</si>
  <si>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</si>
  <si>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</si>
  <si>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</si>
  <si>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</si>
  <si>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</si>
  <si>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</si>
  <si>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</si>
  <si>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</si>
  <si>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</si>
  <si>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</si>
  <si>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</si>
  <si>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</si>
  <si>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</si>
  <si>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</si>
  <si>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</si>
  <si>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</si>
  <si>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</si>
  <si>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</si>
  <si>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</si>
  <si>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</si>
  <si>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</si>
  <si>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</si>
  <si>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</si>
  <si>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</si>
  <si>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</si>
  <si>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</si>
  <si>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</si>
  <si>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</si>
  <si>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</si>
  <si>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</si>
  <si>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</si>
  <si>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</si>
  <si>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</si>
  <si>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</si>
  <si>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</si>
  <si>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</si>
  <si>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</si>
  <si>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</si>
  <si>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</si>
  <si>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</si>
  <si>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</si>
  <si>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</si>
  <si>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</si>
  <si>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</si>
  <si>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</si>
  <si>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</si>
  <si>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</si>
  <si>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</si>
  <si>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</si>
  <si>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</si>
  <si>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</si>
  <si>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</si>
  <si>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</si>
  <si>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</si>
  <si>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</si>
  <si>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</si>
  <si>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</si>
  <si>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</si>
  <si>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</si>
  <si>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</si>
  <si>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</si>
  <si>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</si>
  <si>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</si>
  <si>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</si>
  <si>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</si>
  <si>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</si>
  <si>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</si>
  <si>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</si>
  <si>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</si>
  <si>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</si>
  <si>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</si>
  <si>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</si>
  <si>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</si>
  <si>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</si>
  <si>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</si>
  <si>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</si>
  <si>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</si>
  <si>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</si>
  <si>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</si>
  <si>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</si>
  <si>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</si>
  <si>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</si>
  <si>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</si>
  <si>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</si>
  <si>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</si>
  <si>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</si>
  <si>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</si>
  <si>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</si>
  <si>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</si>
  <si>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</si>
  <si>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</si>
  <si>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</si>
  <si>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</si>
  <si>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</si>
  <si>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</si>
  <si>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</si>
  <si>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</si>
  <si>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</si>
  <si>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</si>
  <si>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</si>
  <si>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</si>
  <si>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</si>
  <si>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</si>
  <si>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</si>
  <si>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</si>
  <si>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</si>
  <si>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</si>
  <si>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</si>
  <si>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</si>
  <si>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</si>
  <si>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</si>
  <si>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</si>
  <si>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</si>
  <si>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</si>
  <si>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</si>
  <si>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</si>
  <si>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</si>
  <si>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</si>
  <si>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</si>
  <si>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</si>
  <si>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</si>
  <si>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</si>
  <si>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</si>
  <si>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</si>
  <si>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</si>
  <si>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</si>
  <si>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</si>
  <si>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</si>
  <si>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</si>
  <si>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</si>
  <si>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</si>
  <si>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</si>
  <si>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</si>
  <si>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</si>
  <si>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</si>
  <si>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</si>
  <si>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</si>
  <si>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</si>
  <si>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</si>
  <si>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</si>
  <si>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</si>
  <si>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</si>
  <si>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</si>
  <si>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</si>
  <si>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</si>
  <si>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</si>
  <si>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</si>
  <si>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</si>
  <si>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</si>
  <si>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</si>
  <si>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</si>
  <si>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</si>
  <si>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</si>
  <si>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</si>
  <si>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</si>
  <si>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</si>
  <si>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</si>
  <si>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</si>
  <si>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</si>
  <si>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</si>
  <si>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</si>
  <si>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</si>
  <si>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</si>
  <si>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</si>
  <si>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</si>
  <si>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</si>
  <si>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</si>
  <si>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</si>
  <si>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</si>
  <si>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</si>
  <si>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</si>
  <si>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</si>
  <si>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</si>
  <si>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</si>
  <si>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</si>
  <si>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</si>
  <si>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</si>
  <si>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</si>
  <si>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</si>
  <si>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</si>
  <si>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</si>
  <si>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</si>
  <si>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</si>
  <si>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</si>
  <si>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</si>
  <si>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</si>
  <si>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</si>
  <si>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</si>
  <si>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</si>
  <si>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</si>
  <si>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</si>
  <si>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</si>
  <si>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</si>
  <si>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</si>
  <si>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</si>
  <si>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</si>
  <si>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</si>
  <si>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</si>
  <si>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</si>
  <si>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</si>
  <si>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</si>
  <si>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</si>
  <si>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</si>
  <si>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</si>
  <si>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</si>
  <si>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</si>
  <si>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</si>
  <si>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</si>
  <si>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</si>
  <si>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</si>
  <si>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</si>
  <si>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</si>
  <si>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</si>
  <si>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</si>
  <si>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</si>
  <si>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</si>
  <si>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</si>
  <si>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</si>
  <si>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</si>
  <si>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</si>
  <si>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</si>
  <si>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</si>
  <si>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</si>
  <si>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</si>
  <si>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</si>
  <si>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</si>
  <si>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</si>
  <si>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</si>
  <si>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</si>
  <si>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</si>
  <si>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</si>
  <si>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</si>
  <si>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</si>
  <si>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</si>
  <si>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</si>
  <si>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</si>
  <si>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</si>
  <si>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</si>
  <si>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</si>
  <si>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</si>
  <si>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</si>
  <si>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</si>
  <si>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</si>
  <si>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</si>
  <si>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</si>
  <si>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</si>
  <si>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</si>
  <si>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</si>
  <si>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</si>
  <si>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</si>
  <si>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</si>
  <si>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</si>
  <si>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</si>
  <si>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</si>
  <si>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</si>
  <si>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</si>
  <si>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</si>
  <si>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</si>
  <si>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</si>
  <si>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</si>
  <si>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</si>
  <si>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</si>
  <si>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</si>
  <si>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</si>
  <si>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</si>
  <si>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</si>
  <si>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</si>
  <si>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</si>
  <si>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</si>
  <si>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</si>
  <si>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</si>
  <si>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</si>
  <si>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</si>
  <si>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</si>
  <si>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</si>
  <si>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</si>
  <si>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</si>
  <si>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</si>
  <si>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</si>
  <si>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</si>
  <si>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</si>
  <si>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</si>
  <si>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</si>
  <si>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</si>
  <si>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</si>
  <si>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</si>
  <si>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</si>
  <si>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</si>
  <si>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</si>
  <si>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</si>
  <si>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</si>
  <si>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</si>
  <si>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</si>
  <si>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</si>
  <si>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</si>
  <si>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</si>
  <si>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</si>
  <si>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</si>
  <si>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</si>
  <si>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</si>
  <si>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</si>
  <si>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</si>
  <si>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</si>
  <si>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</si>
  <si>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</si>
  <si>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</si>
  <si>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</si>
  <si>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</si>
  <si>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</si>
  <si>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</si>
  <si>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</si>
  <si>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</si>
  <si>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</si>
  <si>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</si>
  <si>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</si>
  <si>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</si>
  <si>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</si>
  <si>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</si>
  <si>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</si>
  <si>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</si>
  <si>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</si>
  <si>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</si>
  <si>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</si>
  <si>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</si>
  <si>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</si>
  <si>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</si>
  <si>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</si>
  <si>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</si>
  <si>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</si>
  <si>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</si>
  <si>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</si>
  <si>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</si>
  <si>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</si>
  <si>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</si>
  <si>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</si>
  <si>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</si>
  <si>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</si>
  <si>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</si>
  <si>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</si>
  <si>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</si>
  <si>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</si>
  <si>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</si>
  <si>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</si>
  <si>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</si>
  <si>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</si>
  <si>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</si>
  <si>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</si>
  <si>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</si>
  <si>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</si>
  <si>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</si>
  <si>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</si>
  <si>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</si>
  <si>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</si>
  <si>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</si>
  <si>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</si>
  <si>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</si>
  <si>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</si>
  <si>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</si>
  <si>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</si>
  <si>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</si>
  <si>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</si>
  <si>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</si>
  <si>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</si>
  <si>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</si>
  <si>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</si>
  <si>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</si>
  <si>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</si>
  <si>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</si>
  <si>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</si>
  <si>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</si>
  <si>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</si>
  <si>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</si>
  <si>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</si>
  <si>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</si>
  <si>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</si>
  <si>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</si>
  <si>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</si>
  <si>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</si>
  <si>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</si>
  <si>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</si>
  <si>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</si>
  <si>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</si>
  <si>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</si>
  <si>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</si>
  <si>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</si>
  <si>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</si>
  <si>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</si>
  <si>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</si>
  <si>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</si>
  <si>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</si>
  <si>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</si>
  <si>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</si>
  <si>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</si>
  <si>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</si>
  <si>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</si>
  <si>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</si>
  <si>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</si>
  <si>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</si>
  <si>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</si>
  <si>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</si>
  <si>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</si>
  <si>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</si>
  <si>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</si>
  <si>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</si>
  <si>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</si>
  <si>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</si>
  <si>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</si>
  <si>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</si>
  <si>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</si>
  <si>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</si>
  <si>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</si>
  <si>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</si>
  <si>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</si>
  <si>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</si>
  <si>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</si>
  <si>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</si>
  <si>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</si>
  <si>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</si>
  <si>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</si>
  <si>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</si>
  <si>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</si>
  <si>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</si>
  <si>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</si>
  <si>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</si>
  <si>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</si>
  <si>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</si>
  <si>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</si>
  <si>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</si>
  <si>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</si>
  <si>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</si>
  <si>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</si>
  <si>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</si>
  <si>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</si>
  <si>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</si>
  <si>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</si>
  <si>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</si>
  <si>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</si>
  <si>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</si>
  <si>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</si>
  <si>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</si>
  <si>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</si>
  <si>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</si>
  <si>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</si>
  <si>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</si>
  <si>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</si>
  <si>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</si>
  <si>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</si>
  <si>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</si>
  <si>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</si>
  <si>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</si>
  <si>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</si>
  <si>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</si>
  <si>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</si>
  <si>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</si>
  <si>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</si>
  <si>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</si>
  <si>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</si>
  <si>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</si>
  <si>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</si>
  <si>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</si>
  <si>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</si>
  <si>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</si>
  <si>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</si>
  <si>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</si>
  <si>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</si>
  <si>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</si>
  <si>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</si>
  <si>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</si>
  <si>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</si>
  <si>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</si>
  <si>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</si>
  <si>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</si>
  <si>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</si>
  <si>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</si>
  <si>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</si>
  <si>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</si>
  <si>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</si>
  <si>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</si>
  <si>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</si>
  <si>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</si>
  <si>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</si>
  <si>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</si>
  <si>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</si>
  <si>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</si>
  <si>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</si>
  <si>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</si>
  <si>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</si>
  <si>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</si>
  <si>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</si>
  <si>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</si>
  <si>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</si>
  <si>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</si>
  <si>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</si>
  <si>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</si>
  <si>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</si>
  <si>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</si>
  <si>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</si>
  <si>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</si>
  <si>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</si>
  <si>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C:\Users\eloi.verge\OneDrive - EUROLEAGUE\Desktop\GAME REPORTS\25-26</t>
  </si>
  <si>
    <t>IVAN MOSIC</t>
  </si>
  <si>
    <t>MIODRAG STOJANOVIC</t>
  </si>
  <si>
    <t>MILOS MOSIC</t>
  </si>
  <si>
    <t>IVANA KRSTIC</t>
  </si>
  <si>
    <t>MIROSLAVA DERIKONJIC</t>
  </si>
  <si>
    <t>JOVANA DOJCINOVIC</t>
  </si>
  <si>
    <t>ELOI VERGÉ</t>
  </si>
  <si>
    <t>03:43</t>
  </si>
  <si>
    <t>08:54</t>
  </si>
  <si>
    <t>08:47</t>
  </si>
  <si>
    <t>06:56</t>
  </si>
  <si>
    <t>03:31</t>
  </si>
  <si>
    <t>02:58</t>
  </si>
  <si>
    <t>02:53</t>
  </si>
  <si>
    <t>07:12</t>
  </si>
  <si>
    <t>06:58</t>
  </si>
  <si>
    <t>06:15</t>
  </si>
  <si>
    <t>06:44</t>
  </si>
  <si>
    <t>06:06</t>
  </si>
  <si>
    <t>06:03</t>
  </si>
  <si>
    <t>04:04</t>
  </si>
  <si>
    <t>Not a bad job, but the corrections were very concentrated in short period of times. If you keep the focus that you reach at some moments during all the game, your performance will improve a lot. Keep it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</si>
</sst>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38" sqref="K38"/>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11</v>
      </c>
      <c r="D1" s="124" t="s">
        <v>748</v>
      </c>
      <c r="E1" s="125">
        <v>2025</v>
      </c>
      <c r="F1" s="120" t="str">
        <f>TEXT(C1,"00") &amp; "_" &amp; TEXT(C2,"000")&amp; "_" &amp; H4 &amp; "_" &amp; H5 &amp; "_" &amp; B2</f>
        <v>11_105_RED_MCO_E2025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105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45974.833333333336</v>
      </c>
      <c r="C3" s="157"/>
      <c r="D3" s="39">
        <v>551</v>
      </c>
      <c r="E3" s="29"/>
      <c r="F3" s="26">
        <f>SUBTOTAL(3,I17:I106)</f>
        <v>14</v>
      </c>
      <c r="G3" s="27">
        <f>IF(OR(D3="",D3=0),"",F3/D3)</f>
        <v>2.5408348457350273E-2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Crvena Zvezda Meridianbet Belgrade</v>
      </c>
      <c r="E4" s="161"/>
      <c r="F4" s="161"/>
      <c r="G4" s="162"/>
      <c r="H4" s="118" t="str">
        <f>IF(ISERROR(VLOOKUP($B$2&amp;TEXT($C$2,"000"),GAMES!$A$3:$I$562,6,FALSE)),"LOC",VLOOKUP($B$2&amp;TEXT($C$2,"000"),GAMES!$A$3:$I$562,6,FALSE))</f>
        <v>RED</v>
      </c>
      <c r="I4" s="5"/>
      <c r="J4" s="119" t="s">
        <v>714</v>
      </c>
      <c r="K4" s="54" t="s">
        <v>742</v>
      </c>
      <c r="L4" s="5"/>
      <c r="M4" s="167" t="s">
        <v>771</v>
      </c>
      <c r="N4" s="168"/>
      <c r="O4" s="2"/>
      <c r="P4" s="2"/>
      <c r="Q4" s="84" t="s">
        <v>175</v>
      </c>
      <c r="R4" s="94">
        <f>(IF(G3="",0,G3))</f>
        <v>2.5408348457350273E-2</v>
      </c>
      <c r="S4" s="61">
        <f>SUM(I13:M13)</f>
        <v>0</v>
      </c>
      <c r="T4" s="78"/>
      <c r="U4" s="61">
        <f>AC18</f>
        <v>1</v>
      </c>
      <c r="V4" s="61">
        <f>+AC22</f>
        <v>4</v>
      </c>
      <c r="W4" s="61">
        <f>AC24</f>
        <v>0</v>
      </c>
      <c r="X4" s="61">
        <f>AC29</f>
        <v>3</v>
      </c>
      <c r="Y4" s="61">
        <f>AC25</f>
        <v>1</v>
      </c>
      <c r="Z4" s="84">
        <f>AC23</f>
        <v>5</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AS Monaco</v>
      </c>
      <c r="E5" s="174"/>
      <c r="F5" s="174"/>
      <c r="G5" s="175"/>
      <c r="H5" s="118" t="str">
        <f>IF(ISERROR(VLOOKUP($B$2&amp;TEXT($C$2,"000"),GAMES!$A$3:$I$562,7,FALSE)),"VIS",VLOOKUP($B$2&amp;TEXT($C$2,"000"),GAMES!$A$3:$I$562,7,FALSE))</f>
        <v>MCO</v>
      </c>
      <c r="I5" s="5"/>
      <c r="J5" s="5"/>
      <c r="K5" s="5"/>
      <c r="L5" s="5"/>
      <c r="M5" s="169"/>
      <c r="N5" s="170"/>
      <c r="O5" s="2"/>
      <c r="P5" s="2"/>
      <c r="Q5" s="89" t="s">
        <v>174</v>
      </c>
      <c r="R5" s="94">
        <f>R4*R3</f>
        <v>2.5408348457350272</v>
      </c>
      <c r="S5" s="70">
        <f t="shared" ref="S5" si="0">S4*S3</f>
        <v>0</v>
      </c>
      <c r="T5" s="92"/>
      <c r="U5" s="70">
        <f t="shared" ref="U5:AG5" si="1">U4*U3</f>
        <v>0.5</v>
      </c>
      <c r="V5" s="70">
        <f t="shared" si="1"/>
        <v>4</v>
      </c>
      <c r="W5" s="70">
        <f t="shared" si="1"/>
        <v>0</v>
      </c>
      <c r="X5" s="70">
        <f t="shared" si="1"/>
        <v>3</v>
      </c>
      <c r="Y5" s="70">
        <f t="shared" si="1"/>
        <v>2</v>
      </c>
      <c r="Z5" s="89">
        <f t="shared" si="1"/>
        <v>12.5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24.540834845735027</v>
      </c>
      <c r="N7" s="58"/>
      <c r="O7" s="2"/>
      <c r="P7" s="2"/>
      <c r="Q7" s="86">
        <f>SUM(R5,S5,AC16)</f>
        <v>24.540834845735027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746</v>
      </c>
      <c r="I8" s="129" t="s">
        <v>746</v>
      </c>
      <c r="J8" s="129" t="s">
        <v>747</v>
      </c>
      <c r="K8" s="129" t="s">
        <v>743</v>
      </c>
      <c r="L8" s="129" t="s">
        <v>744</v>
      </c>
      <c r="M8" s="129" t="s">
        <v>108</v>
      </c>
      <c r="N8" s="2"/>
      <c r="O8" s="2"/>
      <c r="P8" s="2"/>
      <c r="Q8" s="85">
        <f>SUM(R5:BA5)</f>
        <v>24.540834845735027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105</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14</v>
      </c>
      <c r="J15" s="24">
        <f>SUBTOTAL(3,J17:J106)</f>
        <v>14</v>
      </c>
      <c r="K15" s="24">
        <f>SUBTOTAL(3,K17:K106)</f>
        <v>14</v>
      </c>
      <c r="L15" s="24">
        <f>SUBTOTAL(3,L17:L106)</f>
        <v>14</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1</v>
      </c>
      <c r="U16" s="76" t="s">
        <v>76</v>
      </c>
      <c r="V16" s="75">
        <f>SUM(V17:V24)</f>
        <v>2</v>
      </c>
      <c r="X16" s="67" t="s">
        <v>58</v>
      </c>
      <c r="Y16" s="75">
        <f>SUM(Y17:Y24)</f>
        <v>14</v>
      </c>
      <c r="Z16" s="90" t="s">
        <v>110</v>
      </c>
      <c r="AA16" s="75">
        <f>SUM(AA17:AA24)</f>
        <v>14</v>
      </c>
      <c r="AB16" s="76" t="s">
        <v>54</v>
      </c>
      <c r="AC16" s="75">
        <f>SUM(AC17*AD17,AC18*AD18,AC19*AD19,AC20*AD20,AC21*AD21,AC22*AD22,AC23*AD23,AC24*AD24,AC25*AD25,AC26*AD26,AC27*AD27,AC28*AD28,AC29*AD29,AC30*AD30,AC30*AD30,AC31*AD31,AC32*AD32,AC33*AD33,AC34*AD34,AC35*AD35,AC36*AD36)</f>
        <v>22</v>
      </c>
      <c r="AD16" s="75">
        <f>SUM(AD17:AD24)</f>
        <v>45</v>
      </c>
      <c r="AE16" s="76" t="s">
        <v>42</v>
      </c>
      <c r="AF16" s="75">
        <f>SUM(AF17:AF24)</f>
        <v>7</v>
      </c>
      <c r="AG16" s="75">
        <f>SUM(AG17:AG21)</f>
        <v>14</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105</v>
      </c>
      <c r="D17" s="32" t="s">
        <v>757</v>
      </c>
      <c r="E17" s="33">
        <v>1</v>
      </c>
      <c r="F17" s="36">
        <v>13</v>
      </c>
      <c r="G17" s="36">
        <v>14</v>
      </c>
      <c r="H17" s="38" t="str">
        <f>IF(I17="","",$I$14)</f>
        <v>SCOUTING</v>
      </c>
      <c r="I17" s="34">
        <v>68</v>
      </c>
      <c r="J17" s="13" t="s">
        <v>4</v>
      </c>
      <c r="K17" s="13" t="s">
        <v>62</v>
      </c>
      <c r="L17" s="13" t="s">
        <v>7</v>
      </c>
      <c r="M17" s="13" t="s">
        <v>30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14</v>
      </c>
      <c r="Z17" s="105" t="s">
        <v>63</v>
      </c>
      <c r="AA17" s="62">
        <f>COUNTIF($K$17:$K$106,Z17)</f>
        <v>8</v>
      </c>
      <c r="AB17" s="66" t="s">
        <v>19</v>
      </c>
      <c r="AC17" s="61">
        <f t="shared" ref="AC17:AC29" si="5">COUNTIF($L$17:$L$106,AB17)</f>
        <v>0</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105</v>
      </c>
      <c r="D18" s="32" t="s">
        <v>758</v>
      </c>
      <c r="E18" s="33">
        <v>2</v>
      </c>
      <c r="F18" s="36">
        <v>23</v>
      </c>
      <c r="G18" s="36">
        <v>27</v>
      </c>
      <c r="H18" s="38" t="str">
        <f t="shared" ref="H18:H81" si="8">IF(I18="","",$I$14)</f>
        <v>SCOUTING</v>
      </c>
      <c r="I18" s="34">
        <v>124</v>
      </c>
      <c r="J18" s="13" t="s">
        <v>4</v>
      </c>
      <c r="K18" s="13" t="s">
        <v>63</v>
      </c>
      <c r="L18" s="13" t="s">
        <v>7</v>
      </c>
      <c r="M18" s="13" t="s">
        <v>12</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6</v>
      </c>
      <c r="AB18" s="66" t="s">
        <v>5</v>
      </c>
      <c r="AC18" s="61">
        <f t="shared" si="5"/>
        <v>1</v>
      </c>
      <c r="AD18" s="61">
        <f t="shared" si="6"/>
        <v>0.5</v>
      </c>
      <c r="AE18" s="66" t="s">
        <v>12</v>
      </c>
      <c r="AF18" s="65">
        <f t="shared" si="7"/>
        <v>1</v>
      </c>
      <c r="AG18" s="62">
        <f>COUNTIF($E$17:$E$106,$AK18)</f>
        <v>6</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105</v>
      </c>
      <c r="D19" s="32" t="s">
        <v>759</v>
      </c>
      <c r="E19" s="33">
        <v>2</v>
      </c>
      <c r="F19" s="36">
        <v>23</v>
      </c>
      <c r="G19" s="36">
        <v>27</v>
      </c>
      <c r="H19" s="38" t="str">
        <f t="shared" si="8"/>
        <v>SCOUTING</v>
      </c>
      <c r="I19" s="34">
        <v>126</v>
      </c>
      <c r="J19" s="13" t="s">
        <v>4</v>
      </c>
      <c r="K19" s="13" t="s">
        <v>62</v>
      </c>
      <c r="L19" s="13" t="s">
        <v>7</v>
      </c>
      <c r="M19" s="13" t="s">
        <v>10</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0</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105</v>
      </c>
      <c r="D20" s="32" t="s">
        <v>760</v>
      </c>
      <c r="E20" s="33">
        <v>2</v>
      </c>
      <c r="F20" s="36">
        <v>26</v>
      </c>
      <c r="G20" s="36">
        <v>31</v>
      </c>
      <c r="H20" s="38" t="str">
        <f t="shared" si="8"/>
        <v>SCOUTING</v>
      </c>
      <c r="I20" s="34">
        <v>154</v>
      </c>
      <c r="J20" s="13" t="s">
        <v>4</v>
      </c>
      <c r="K20" s="13" t="s">
        <v>63</v>
      </c>
      <c r="L20" s="13" t="s">
        <v>48</v>
      </c>
      <c r="M20" s="13" t="s">
        <v>168</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3</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105</v>
      </c>
      <c r="D21" s="32" t="s">
        <v>761</v>
      </c>
      <c r="E21" s="33">
        <v>2</v>
      </c>
      <c r="F21" s="36">
        <v>31</v>
      </c>
      <c r="G21" s="36">
        <v>37</v>
      </c>
      <c r="H21" s="38" t="str">
        <f t="shared" si="8"/>
        <v>SCOUTING</v>
      </c>
      <c r="I21" s="34">
        <v>197</v>
      </c>
      <c r="J21" s="13" t="s">
        <v>4</v>
      </c>
      <c r="K21" s="13" t="s">
        <v>63</v>
      </c>
      <c r="L21" s="13" t="s">
        <v>7</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1</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105</v>
      </c>
      <c r="D22" s="32" t="s">
        <v>762</v>
      </c>
      <c r="E22" s="33">
        <v>2</v>
      </c>
      <c r="F22" s="36">
        <v>34</v>
      </c>
      <c r="G22" s="36">
        <v>37</v>
      </c>
      <c r="H22" s="38" t="str">
        <f t="shared" si="8"/>
        <v>SCOUTING</v>
      </c>
      <c r="I22" s="34">
        <v>213</v>
      </c>
      <c r="J22" s="13" t="s">
        <v>4</v>
      </c>
      <c r="K22" s="13" t="s">
        <v>63</v>
      </c>
      <c r="L22" s="13" t="s">
        <v>7</v>
      </c>
      <c r="M22" s="13" t="s">
        <v>30</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105</v>
      </c>
      <c r="D23" s="32" t="s">
        <v>763</v>
      </c>
      <c r="E23" s="33">
        <v>2</v>
      </c>
      <c r="F23" s="36">
        <v>34</v>
      </c>
      <c r="G23" s="36">
        <v>37</v>
      </c>
      <c r="H23" s="38" t="str">
        <f t="shared" si="8"/>
        <v>SCOUTING</v>
      </c>
      <c r="I23" s="34">
        <v>215</v>
      </c>
      <c r="J23" s="13" t="s">
        <v>4</v>
      </c>
      <c r="K23" s="13" t="s">
        <v>62</v>
      </c>
      <c r="L23" s="13" t="s">
        <v>6</v>
      </c>
      <c r="M23" s="13" t="s">
        <v>168</v>
      </c>
      <c r="N23" s="35"/>
      <c r="O23" s="5" t="s">
        <v>7</v>
      </c>
      <c r="P23" s="5">
        <v>2.5</v>
      </c>
      <c r="Q23" s="84">
        <f t="shared" si="4"/>
        <v>0</v>
      </c>
      <c r="R23" s="5"/>
      <c r="U23" s="66" t="s">
        <v>33</v>
      </c>
      <c r="V23" s="65">
        <f t="shared" si="9"/>
        <v>0</v>
      </c>
      <c r="X23" s="82"/>
      <c r="Y23" s="83"/>
      <c r="Z23" s="105"/>
      <c r="AA23" s="65"/>
      <c r="AB23" s="66" t="s">
        <v>7</v>
      </c>
      <c r="AC23" s="61">
        <f t="shared" si="5"/>
        <v>5</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105</v>
      </c>
      <c r="D24" s="32" t="s">
        <v>764</v>
      </c>
      <c r="E24" s="33">
        <v>3</v>
      </c>
      <c r="F24" s="36">
        <v>53</v>
      </c>
      <c r="G24" s="36">
        <v>55</v>
      </c>
      <c r="H24" s="38" t="str">
        <f t="shared" si="8"/>
        <v>SCOUTING</v>
      </c>
      <c r="I24" s="34">
        <v>305</v>
      </c>
      <c r="J24" s="13" t="s">
        <v>4</v>
      </c>
      <c r="K24" s="13" t="s">
        <v>63</v>
      </c>
      <c r="L24" s="13" t="s">
        <v>75</v>
      </c>
      <c r="M24" s="13" t="s">
        <v>29</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105</v>
      </c>
      <c r="D25" s="32" t="s">
        <v>765</v>
      </c>
      <c r="E25" s="33">
        <v>3</v>
      </c>
      <c r="F25" s="36">
        <v>53</v>
      </c>
      <c r="G25" s="36">
        <v>55</v>
      </c>
      <c r="H25" s="38" t="str">
        <f t="shared" si="8"/>
        <v>SCOUTING</v>
      </c>
      <c r="I25" s="34">
        <v>309</v>
      </c>
      <c r="J25" s="13" t="s">
        <v>4</v>
      </c>
      <c r="K25" s="13" t="s">
        <v>63</v>
      </c>
      <c r="L25" s="13" t="s">
        <v>75</v>
      </c>
      <c r="M25" s="13" t="s">
        <v>8</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105</v>
      </c>
      <c r="D26" s="32" t="s">
        <v>766</v>
      </c>
      <c r="E26" s="33">
        <v>3</v>
      </c>
      <c r="F26" s="36">
        <v>54</v>
      </c>
      <c r="G26" s="36">
        <v>55</v>
      </c>
      <c r="H26" s="38" t="str">
        <f t="shared" si="8"/>
        <v>SCOUTING</v>
      </c>
      <c r="I26" s="34">
        <v>319</v>
      </c>
      <c r="J26" s="13" t="s">
        <v>4</v>
      </c>
      <c r="K26" s="13" t="s">
        <v>63</v>
      </c>
      <c r="L26" s="13" t="s">
        <v>6</v>
      </c>
      <c r="M26" s="13" t="s">
        <v>22</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1</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105</v>
      </c>
      <c r="D27" s="32" t="s">
        <v>767</v>
      </c>
      <c r="E27" s="33">
        <v>4</v>
      </c>
      <c r="F27" s="36">
        <v>72</v>
      </c>
      <c r="G27" s="36">
        <v>68</v>
      </c>
      <c r="H27" s="38" t="str">
        <f t="shared" si="8"/>
        <v>SCOUTING</v>
      </c>
      <c r="I27" s="34">
        <v>454</v>
      </c>
      <c r="J27" s="13" t="s">
        <v>4</v>
      </c>
      <c r="K27" s="13" t="s">
        <v>62</v>
      </c>
      <c r="L27" s="13" t="s">
        <v>6</v>
      </c>
      <c r="M27" s="13" t="s">
        <v>11</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105</v>
      </c>
      <c r="D28" s="32" t="s">
        <v>768</v>
      </c>
      <c r="E28" s="33">
        <v>4</v>
      </c>
      <c r="F28" s="36">
        <v>73</v>
      </c>
      <c r="G28" s="36">
        <v>70</v>
      </c>
      <c r="H28" s="38" t="str">
        <f t="shared" si="8"/>
        <v>SCOUTING</v>
      </c>
      <c r="I28" s="34">
        <v>472</v>
      </c>
      <c r="J28" s="13" t="s">
        <v>4</v>
      </c>
      <c r="K28" s="13" t="s">
        <v>63</v>
      </c>
      <c r="L28" s="13" t="s">
        <v>5</v>
      </c>
      <c r="M28" s="13" t="s">
        <v>11</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105</v>
      </c>
      <c r="D29" s="32" t="s">
        <v>769</v>
      </c>
      <c r="E29" s="33">
        <v>4</v>
      </c>
      <c r="F29" s="36">
        <v>74</v>
      </c>
      <c r="G29" s="36">
        <v>70</v>
      </c>
      <c r="H29" s="38" t="str">
        <f t="shared" si="8"/>
        <v>SCOUTING</v>
      </c>
      <c r="I29" s="34">
        <v>473</v>
      </c>
      <c r="J29" s="13" t="s">
        <v>4</v>
      </c>
      <c r="K29" s="13" t="s">
        <v>62</v>
      </c>
      <c r="L29" s="13" t="s">
        <v>75</v>
      </c>
      <c r="M29" s="13" t="s">
        <v>23</v>
      </c>
      <c r="N29" s="35"/>
      <c r="O29" s="5" t="s">
        <v>75</v>
      </c>
      <c r="P29" s="5">
        <v>1</v>
      </c>
      <c r="Q29" s="84">
        <f t="shared" si="4"/>
        <v>0</v>
      </c>
      <c r="R29" s="5" t="s">
        <v>171</v>
      </c>
      <c r="U29" s="73"/>
      <c r="X29" s="82"/>
      <c r="Y29" s="83"/>
      <c r="Z29" s="105"/>
      <c r="AA29" s="65"/>
      <c r="AB29" s="66" t="s">
        <v>75</v>
      </c>
      <c r="AC29" s="61">
        <f t="shared" si="5"/>
        <v>3</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105</v>
      </c>
      <c r="D30" s="32" t="s">
        <v>770</v>
      </c>
      <c r="E30" s="33">
        <v>4</v>
      </c>
      <c r="F30" s="36">
        <v>76</v>
      </c>
      <c r="G30" s="36">
        <v>75</v>
      </c>
      <c r="H30" s="38" t="str">
        <f t="shared" si="8"/>
        <v>SCOUTING</v>
      </c>
      <c r="I30" s="34">
        <v>492</v>
      </c>
      <c r="J30" s="13" t="s">
        <v>4</v>
      </c>
      <c r="K30" s="13" t="s">
        <v>62</v>
      </c>
      <c r="L30" s="13" t="s">
        <v>6</v>
      </c>
      <c r="M30" s="13" t="s">
        <v>22</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2</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REPORT_E2025105</v>
      </c>
    </row>
    <row r="2" spans="2:6" x14ac:dyDescent="0.25">
      <c r="F2" s="45" t="s">
        <v>157</v>
      </c>
    </row>
    <row r="3" spans="2:6" x14ac:dyDescent="0.25">
      <c r="B3" s="43" t="s">
        <v>156</v>
      </c>
      <c r="C3" s="43" t="str">
        <f>""""&amp;'SCOUT &amp; LOGISTICS'!B2&amp;TEXT('SCOUT &amp; LOGISTICS'!C2,"000")&amp;""""</f>
        <v>"E2025105"</v>
      </c>
      <c r="F3" s="45" t="str">
        <f t="shared" ref="F3:F16" si="0">""""&amp;B3&amp;"""" &amp; " : " &amp;C3&amp;","</f>
        <v>"name" : "E2025105",</v>
      </c>
    </row>
    <row r="4" spans="2:6" x14ac:dyDescent="0.25">
      <c r="B4" s="43" t="s">
        <v>119</v>
      </c>
      <c r="C4" s="43" t="str">
        <f>""""&amp;LEFT('SCOUT &amp; LOGISTICS'!B2,1) &amp; TEXT('SCOUT &amp; LOGISTICS'!C2,"000")&amp;""""</f>
        <v>"E105"</v>
      </c>
      <c r="F4" s="45" t="str">
        <f t="shared" si="0"/>
        <v>"cod" : "E105",</v>
      </c>
    </row>
    <row r="5" spans="2:6" x14ac:dyDescent="0.25">
      <c r="B5" s="43" t="s">
        <v>117</v>
      </c>
      <c r="C5" s="43" t="str">
        <f>""""&amp;LEFT('SCOUT &amp; LOGISTICS'!B2,1)&amp;""""</f>
        <v>"E"</v>
      </c>
      <c r="F5" s="45" t="str">
        <f t="shared" si="0"/>
        <v>"competition" : "E",</v>
      </c>
    </row>
    <row r="6" spans="2:6" x14ac:dyDescent="0.25">
      <c r="B6" s="43" t="s">
        <v>118</v>
      </c>
      <c r="C6" s="43" t="str">
        <f>TEXT('SCOUT &amp; LOGISTICS'!C2,"000")</f>
        <v>105</v>
      </c>
      <c r="F6" s="45" t="str">
        <f t="shared" si="0"/>
        <v>"number" : 105,</v>
      </c>
    </row>
    <row r="7" spans="2:6" x14ac:dyDescent="0.25">
      <c r="B7" s="43" t="s">
        <v>116</v>
      </c>
      <c r="C7" s="43" t="str">
        <f ca="1">""""&amp;TEXT('SCOUT &amp; LOGISTICS'!B3,"dd/mm/aaaa")&amp;""""</f>
        <v>"13/11/2025"</v>
      </c>
      <c r="F7" s="45" t="str">
        <f t="shared" ca="1" si="0"/>
        <v>"date" : "13/11/2025",</v>
      </c>
    </row>
    <row r="8" spans="2:6" x14ac:dyDescent="0.25">
      <c r="B8" s="43" t="s">
        <v>125</v>
      </c>
      <c r="C8" s="43" t="str">
        <f>""""&amp;'SCOUT &amp; LOGISTICS'!D4 &amp;""""</f>
        <v>"Crvena Zvezda Meridianbet Belgrade"</v>
      </c>
      <c r="F8" s="45" t="str">
        <f t="shared" si="0"/>
        <v>"home_team" : "Crvena Zvezda Meridianbet Belgrade",</v>
      </c>
    </row>
    <row r="9" spans="2:6" x14ac:dyDescent="0.25">
      <c r="B9" s="43" t="s">
        <v>126</v>
      </c>
      <c r="C9" s="43" t="str">
        <f>""""&amp;'SCOUT &amp; LOGISTICS'!D5&amp;""""</f>
        <v>"AS Monaco"</v>
      </c>
      <c r="F9" s="45" t="str">
        <f t="shared" si="0"/>
        <v>"away_team" : "AS Monaco",</v>
      </c>
    </row>
    <row r="10" spans="2:6" x14ac:dyDescent="0.25">
      <c r="B10" s="43" t="s">
        <v>127</v>
      </c>
      <c r="C10" s="43" t="str">
        <f>""""&amp;IF('SCOUT &amp; LOGISTICS'!D6="","",'SCOUT &amp; LOGISTICS'!D6)&amp;""""</f>
        <v>"IVAN MOSIC"</v>
      </c>
      <c r="F10" s="45" t="str">
        <f t="shared" si="0"/>
        <v>"Data_entry" : "IVAN MOSIC",</v>
      </c>
    </row>
    <row r="11" spans="2:6" x14ac:dyDescent="0.25">
      <c r="B11" s="43" t="s">
        <v>128</v>
      </c>
      <c r="C11" s="43" t="str">
        <f>""""&amp;IF('SCOUT &amp; LOGISTICS'!D7="","",'SCOUT &amp; LOGISTICS'!D7)&amp;""""</f>
        <v>"MIODRAG STOJANOVIC"</v>
      </c>
      <c r="F11" s="45" t="str">
        <f t="shared" si="0"/>
        <v>"Caller_1" : "MIODRAG STOJANOVIC",</v>
      </c>
    </row>
    <row r="12" spans="2:6" x14ac:dyDescent="0.25">
      <c r="B12" s="43" t="s">
        <v>129</v>
      </c>
      <c r="C12" s="43" t="str">
        <f>""""&amp;IF('SCOUT &amp; LOGISTICS'!D8="","",'SCOUT &amp; LOGISTICS'!D8)&amp;""""</f>
        <v>"MILOS MOSIC"</v>
      </c>
      <c r="F12" s="45" t="str">
        <f t="shared" si="0"/>
        <v>"Caller_2" : "MILOS MOSIC",</v>
      </c>
    </row>
    <row r="13" spans="2:6" x14ac:dyDescent="0.25">
      <c r="B13" s="43" t="s">
        <v>98</v>
      </c>
      <c r="C13" s="43" t="str">
        <f>""""&amp;IF('SCOUT &amp; LOGISTICS'!D9="","",'SCOUT &amp; LOGISTICS'!D9)&amp;""""</f>
        <v>"IVANA KRSTIC"</v>
      </c>
      <c r="F13" s="45" t="str">
        <f t="shared" si="0"/>
        <v>"Timerkeeper" : "IVANA KRSTIC",</v>
      </c>
    </row>
    <row r="14" spans="2:6" x14ac:dyDescent="0.25">
      <c r="B14" s="43" t="s">
        <v>99</v>
      </c>
      <c r="C14" s="43" t="str">
        <f>""""&amp;IF('SCOUT &amp; LOGISTICS'!D10="","",'SCOUT &amp; LOGISTICS'!D10)&amp;""""</f>
        <v>"MIROSLAVA DERIKONJIC"</v>
      </c>
      <c r="F14" s="45" t="str">
        <f t="shared" si="0"/>
        <v>"Shotclock" : "MIROSLAVA DERIKONJIC",</v>
      </c>
    </row>
    <row r="15" spans="2:6" x14ac:dyDescent="0.25">
      <c r="B15" s="43" t="s">
        <v>108</v>
      </c>
      <c r="C15" s="43" t="str">
        <f>""""&amp;IF('SCOUT &amp; LOGISTICS'!D11="","",'SCOUT &amp; LOGISTICS'!D11)&amp;""""</f>
        <v>"JOVANA DOJCINOVIC"</v>
      </c>
      <c r="F15" s="45" t="str">
        <f t="shared" si="0"/>
        <v>"IRS" : "JOVANA DOJCINOVIC",</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551</v>
      </c>
      <c r="F25" s="45" t="str">
        <f t="shared" ref="F25:F48" si="1">""""&amp;C25&amp;"""" &amp; " : " &amp;D25&amp;","</f>
        <v>"total_actions" : 551,</v>
      </c>
    </row>
    <row r="26" spans="2:6" x14ac:dyDescent="0.25">
      <c r="C26" s="43" t="s">
        <v>132</v>
      </c>
      <c r="D26" s="43">
        <f>'SCOUT &amp; LOGISTICS'!F3</f>
        <v>14</v>
      </c>
      <c r="F26" s="45" t="str">
        <f t="shared" si="1"/>
        <v>"total_correcions" : 14,</v>
      </c>
    </row>
    <row r="27" spans="2:6" x14ac:dyDescent="0.25">
      <c r="C27" s="43" t="s">
        <v>133</v>
      </c>
      <c r="D27" s="43" t="str">
        <f>""""&amp;IF(OR(D25="",D25=0),"",TEXT(D26/D25,"0,0%"))&amp;""""</f>
        <v>"2,5%"</v>
      </c>
      <c r="F27" s="45" t="str">
        <f t="shared" si="1"/>
        <v>"%_corrections" : "2,5%",</v>
      </c>
    </row>
    <row r="28" spans="2:6" x14ac:dyDescent="0.25">
      <c r="C28" s="43" t="s">
        <v>125</v>
      </c>
      <c r="D28" s="43">
        <f>IF('SCOUT &amp; LOGISTICS'!AA17="","",'SCOUT &amp; LOGISTICS'!AA17)</f>
        <v>8</v>
      </c>
      <c r="F28" s="45" t="str">
        <f t="shared" si="1"/>
        <v>"home_team" : 8,</v>
      </c>
    </row>
    <row r="29" spans="2:6" x14ac:dyDescent="0.25">
      <c r="C29" s="43" t="s">
        <v>134</v>
      </c>
      <c r="D29" s="43">
        <f>IF('SCOUT &amp; LOGISTICS'!AA18="","",'SCOUT &amp; LOGISTICS'!AA18)</f>
        <v>6</v>
      </c>
      <c r="F29" s="45" t="str">
        <f t="shared" si="1"/>
        <v>"no_team" : 6,</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6</v>
      </c>
      <c r="F32" s="45" t="str">
        <f t="shared" si="1"/>
        <v>"q2" : 6,</v>
      </c>
    </row>
    <row r="33" spans="3:6" x14ac:dyDescent="0.25">
      <c r="C33" s="43" t="s">
        <v>137</v>
      </c>
      <c r="D33" s="43">
        <f>'SCOUT &amp; LOGISTICS'!AG19</f>
        <v>3</v>
      </c>
      <c r="F33" s="45" t="str">
        <f t="shared" si="1"/>
        <v>"q3" : 3,</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14</v>
      </c>
      <c r="F37" s="45" t="str">
        <f t="shared" si="1"/>
        <v>"scoresheet_corrections" : 14,</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0</v>
      </c>
      <c r="F40" s="45" t="str">
        <f t="shared" si="1"/>
        <v>"missing" : 0,</v>
      </c>
    </row>
    <row r="41" spans="3:6" x14ac:dyDescent="0.25">
      <c r="C41" s="43" t="s">
        <v>144</v>
      </c>
      <c r="D41" s="43">
        <f>'SCOUT &amp; LOGISTICS'!AF26</f>
        <v>1</v>
      </c>
      <c r="F41" s="45" t="str">
        <f t="shared" si="1"/>
        <v>"irs" : 1,</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5</v>
      </c>
      <c r="F46" s="45" t="str">
        <f t="shared" si="1"/>
        <v>"part_of_a_sequence" : 5,</v>
      </c>
    </row>
    <row r="47" spans="3:6" x14ac:dyDescent="0.25">
      <c r="C47" s="43" t="s">
        <v>149</v>
      </c>
      <c r="D47" s="43">
        <f>'SCOUT &amp; LOGISTICS'!AF39</f>
        <v>0</v>
      </c>
      <c r="F47" s="45" t="str">
        <f t="shared" si="1"/>
        <v>"time_out" : 0,</v>
      </c>
    </row>
    <row r="48" spans="3:6" x14ac:dyDescent="0.25">
      <c r="C48" s="43" t="s">
        <v>150</v>
      </c>
      <c r="D48" s="43">
        <f>'SCOUT &amp; LOGISTICS'!V16</f>
        <v>2</v>
      </c>
      <c r="F48" s="45" t="str">
        <f t="shared" si="1"/>
        <v>"fouls" : 2,</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"Not a bad job, but the corrections were very concentrated in short period of times. If you keep the focus that you reach at some moments during all the game, your performance will improve a lot. Keep it up!"</v>
      </c>
      <c r="F51" s="45" t="str">
        <f>""""&amp;B51&amp;"""" &amp; " : " &amp;C51&amp;","</f>
        <v>"comments" : "Not a bad job, but the corrections were very concentrated in short period of times. If you keep the focus that you reach at some moments during all the game, your performance will improve a lot. Keep it up!",</v>
      </c>
    </row>
    <row r="52" spans="2:6" x14ac:dyDescent="0.25">
      <c r="B52" s="43" t="s">
        <v>153</v>
      </c>
      <c r="C52" s="43" t="str">
        <f>TEXT('SCOUT &amp; LOGISTICS'!F1,"0,0")</f>
        <v>11_105_RED_MCO_E2025</v>
      </c>
      <c r="F52" s="45" t="str">
        <f>""""&amp;B52&amp;"""" &amp; " : " &amp;C52</f>
        <v>"result" : 11_105_RED_MCO_E2025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E105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13/11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Crvena Zvezda Meridianbet Belgrade</v>
      </c>
      <c r="C6" s="212"/>
      <c r="D6" s="212"/>
      <c r="E6" s="212"/>
      <c r="F6" s="212"/>
      <c r="G6" s="212"/>
      <c r="H6" s="212"/>
      <c r="I6" s="212"/>
      <c r="J6" s="212"/>
      <c r="K6" s="212"/>
      <c r="L6" s="212"/>
      <c r="M6" s="212"/>
      <c r="N6" s="212"/>
      <c r="O6" s="212"/>
      <c r="P6" s="212"/>
      <c r="Q6" s="212" t="str">
        <f>PROPER('SCOUT &amp; LOGISTICS'!D5)</f>
        <v>As Monaco</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IVAN MOSIC</v>
      </c>
      <c r="C8" s="206"/>
      <c r="D8" s="206"/>
      <c r="E8" s="206"/>
      <c r="F8" s="206"/>
      <c r="G8" s="206" t="str">
        <f>IF('SCOUT &amp; LOGISTICS'!D7="","",'SCOUT &amp; LOGISTICS'!D7)</f>
        <v>MIODRAG STOJANOVIC</v>
      </c>
      <c r="H8" s="206"/>
      <c r="I8" s="206"/>
      <c r="J8" s="206"/>
      <c r="K8" s="206"/>
      <c r="L8" s="206" t="str">
        <f>IF('SCOUT &amp; LOGISTICS'!D8="","",'SCOUT &amp; LOGISTICS'!D8)</f>
        <v>MILOS MOSIC</v>
      </c>
      <c r="M8" s="206"/>
      <c r="N8" s="206"/>
      <c r="O8" s="206"/>
      <c r="P8" s="206"/>
      <c r="Q8" s="206" t="str">
        <f>IF('SCOUT &amp; LOGISTICS'!D9="","",'SCOUT &amp; LOGISTICS'!D9)</f>
        <v>IVANA KRSTIC</v>
      </c>
      <c r="R8" s="206"/>
      <c r="S8" s="206"/>
      <c r="T8" s="206"/>
      <c r="U8" s="206"/>
      <c r="V8" s="206" t="str">
        <f>IF('SCOUT &amp; LOGISTICS'!D10="","",'SCOUT &amp; LOGISTICS'!D10)</f>
        <v>MIROSLAVA DERIKONJIC</v>
      </c>
      <c r="W8" s="206"/>
      <c r="X8" s="206"/>
      <c r="Y8" s="206"/>
      <c r="Z8" s="206"/>
      <c r="AA8" s="206" t="str">
        <f>IF('SCOUT &amp; LOGISTICS'!D11="","",'SCOUT &amp; LOGISTICS'!D11)</f>
        <v>JOVANA DOJCINOVIC</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VERGÉ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551</v>
      </c>
      <c r="C17" s="204"/>
      <c r="D17" s="204"/>
      <c r="E17" s="204"/>
      <c r="F17" s="204"/>
      <c r="G17" s="204"/>
      <c r="H17" s="204"/>
      <c r="I17" s="204"/>
      <c r="J17" s="204"/>
      <c r="K17" s="204"/>
      <c r="L17" s="204">
        <f>'SCOUT &amp; LOGISTICS'!F3</f>
        <v>14</v>
      </c>
      <c r="M17" s="204"/>
      <c r="N17" s="204"/>
      <c r="O17" s="204"/>
      <c r="P17" s="204"/>
      <c r="Q17" s="204"/>
      <c r="R17" s="204"/>
      <c r="S17" s="204"/>
      <c r="T17" s="204"/>
      <c r="U17" s="204"/>
      <c r="V17" s="205">
        <f>IF(OR(B17="",B17=0),"",L17/B17)</f>
        <v>2.5408348457350273E-2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8</v>
      </c>
      <c r="C20" s="197"/>
      <c r="D20" s="197"/>
      <c r="E20" s="197"/>
      <c r="F20" s="197"/>
      <c r="G20" s="197"/>
      <c r="H20" s="197"/>
      <c r="I20" s="197"/>
      <c r="J20" s="197"/>
      <c r="K20" s="197"/>
      <c r="L20" s="197">
        <f>IF('SCOUT &amp; LOGISTICS'!AA18="","",'SCOUT &amp; LOGISTICS'!AA18)</f>
        <v>6</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1</v>
      </c>
      <c r="C22" s="197"/>
      <c r="D22" s="197"/>
      <c r="E22" s="197"/>
      <c r="F22" s="197"/>
      <c r="G22" s="197"/>
      <c r="H22" s="197">
        <f>'SCOUT &amp; LOGISTICS'!AG18</f>
        <v>6</v>
      </c>
      <c r="I22" s="197"/>
      <c r="J22" s="197"/>
      <c r="K22" s="197"/>
      <c r="L22" s="197"/>
      <c r="M22" s="197"/>
      <c r="N22" s="197">
        <f>'SCOUT &amp; LOGISTICS'!AG19</f>
        <v>3</v>
      </c>
      <c r="O22" s="197"/>
      <c r="P22" s="197"/>
      <c r="Q22" s="197"/>
      <c r="R22" s="197"/>
      <c r="S22" s="197"/>
      <c r="T22" s="197">
        <f>'SCOUT &amp; LOGISTICS'!AG20</f>
        <v>4</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14</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1</v>
      </c>
      <c r="C27" s="197"/>
      <c r="D27" s="197"/>
      <c r="E27" s="197"/>
      <c r="F27" s="197"/>
      <c r="G27" s="197">
        <f>'SCOUT &amp; LOGISTICS'!AC22</f>
        <v>4</v>
      </c>
      <c r="H27" s="197"/>
      <c r="I27" s="197"/>
      <c r="J27" s="197"/>
      <c r="K27" s="197"/>
      <c r="L27" s="197">
        <f>'SCOUT &amp; LOGISTICS'!AC23</f>
        <v>5</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1</v>
      </c>
      <c r="C29" s="197"/>
      <c r="D29" s="197"/>
      <c r="E29" s="197"/>
      <c r="F29" s="197"/>
      <c r="G29" s="197">
        <f>'SCOUT &amp; LOGISTICS'!AC24</f>
        <v>0</v>
      </c>
      <c r="H29" s="197"/>
      <c r="I29" s="197"/>
      <c r="J29" s="197"/>
      <c r="K29" s="197"/>
      <c r="L29" s="197">
        <f>'SCOUT &amp; LOGISTICS'!$AC$29</f>
        <v>3</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Not a bad job, but the corrections were very concentrated in short period of times. If you keep the focus that you reach at some moments during all the game, your performance will improve a lot. Keep it up!</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24.540834845735027</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D8BA44F3-BBF1-422C-B541-3E7D4CA2C686}"/>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2025-11-14T19:57:38Z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