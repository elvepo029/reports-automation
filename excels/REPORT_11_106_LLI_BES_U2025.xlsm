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1" documentId="8_{9EF4A367-F7BF-4B60-9FBF-F7072EA16015}" xr6:coauthVersionLast="47" xr6:coauthVersionMax="47" xr10:uidLastSave="{3607F1C3-5624-4756-8B1C-60EC874AE41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<sst xmlns="http://schemas.openxmlformats.org/spreadsheetml/2006/main" count="3358" uniqueCount="838">
  <si>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</si>
  <si>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</si>
  <si>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</si>
  <si>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</si>
  <si>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</si>
  <si>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</si>
  <si>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</si>
  <si>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</si>
  <si>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</si>
  <si>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</si>
  <si>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</si>
  <si>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</si>
  <si>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</si>
  <si>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</si>
  <si>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</si>
  <si>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</si>
  <si>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</si>
  <si>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</si>
  <si>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</si>
  <si>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</si>
  <si>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</si>
  <si>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</si>
  <si>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</si>
  <si>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</si>
  <si>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</si>
  <si>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</si>
  <si>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</si>
  <si>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</si>
  <si>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</si>
  <si>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</si>
  <si>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</si>
  <si>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</si>
  <si>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</si>
  <si>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</si>
  <si>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</si>
  <si>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</si>
  <si>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</si>
  <si>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</si>
  <si>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</si>
  <si>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</si>
  <si>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</si>
  <si>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</si>
  <si>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</si>
  <si>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</si>
  <si>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</si>
  <si>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</si>
  <si>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</si>
  <si>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</si>
  <si>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</si>
  <si>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</si>
  <si>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</si>
  <si>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</si>
  <si>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</si>
  <si>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</si>
  <si>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</si>
  <si>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</si>
  <si>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</si>
  <si>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</si>
  <si>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</si>
  <si>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</si>
  <si>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</si>
  <si>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</si>
  <si>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</si>
  <si>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</si>
  <si>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</si>
  <si>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</si>
  <si>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</si>
  <si>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</si>
  <si>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</si>
  <si>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</si>
  <si>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</si>
  <si>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</si>
  <si>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</si>
  <si>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</si>
  <si>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</si>
  <si>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</si>
  <si>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</si>
  <si>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</si>
  <si>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</si>
  <si>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</si>
  <si>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</si>
  <si>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</si>
  <si>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</si>
  <si>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</si>
  <si>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</si>
  <si>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</si>
  <si>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</si>
  <si>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</si>
  <si>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</si>
  <si>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</si>
  <si>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</si>
  <si>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</si>
  <si>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</si>
  <si>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</si>
  <si>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</si>
  <si>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</si>
  <si>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</si>
  <si>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</si>
  <si>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</si>
  <si>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</si>
  <si>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</si>
  <si>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</si>
  <si>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</si>
  <si>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</si>
  <si>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</si>
  <si>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</si>
  <si>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</si>
  <si>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</si>
  <si>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</si>
  <si>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</si>
  <si>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</si>
  <si>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</si>
  <si>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</si>
  <si>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</si>
  <si>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</si>
  <si>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</si>
  <si>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</si>
  <si>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</si>
  <si>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</si>
  <si>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</si>
  <si>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</si>
  <si>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</si>
  <si>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</si>
  <si>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</si>
  <si>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</si>
  <si>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</si>
  <si>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</si>
  <si>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</si>
  <si>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</si>
  <si>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</si>
  <si>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</si>
  <si>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</si>
  <si>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</si>
  <si>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</si>
  <si>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</si>
  <si>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</si>
  <si>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</si>
  <si>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</si>
  <si>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</si>
  <si>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</si>
  <si>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</si>
  <si>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</si>
  <si>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</si>
  <si>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</si>
  <si>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</si>
  <si>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</si>
  <si>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</si>
  <si>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</si>
  <si>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</si>
  <si>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</si>
  <si>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</si>
  <si>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</si>
  <si>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</si>
  <si>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</si>
  <si>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</si>
  <si>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</si>
  <si>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</si>
  <si>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</si>
  <si>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</si>
  <si>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</si>
  <si>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</si>
  <si>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</si>
  <si>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</si>
  <si>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</si>
  <si>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</si>
  <si>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</si>
  <si>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</si>
  <si>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</si>
  <si>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</si>
  <si>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</si>
  <si>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</si>
  <si>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</si>
  <si>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</si>
  <si>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</si>
  <si>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</si>
  <si>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</si>
  <si>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</si>
  <si>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</si>
  <si>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</si>
  <si>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</si>
  <si>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</si>
  <si>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</si>
  <si>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</si>
  <si>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</si>
  <si>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</si>
  <si>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</si>
  <si>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</si>
  <si>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</si>
  <si>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</si>
  <si>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</si>
  <si>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</si>
  <si>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</si>
  <si>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</si>
  <si>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</si>
  <si>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</si>
  <si>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</si>
  <si>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</si>
  <si>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</si>
  <si>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</si>
  <si>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</si>
  <si>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</si>
  <si>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</si>
  <si>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</si>
  <si>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</si>
  <si>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</si>
  <si>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</si>
  <si>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</si>
  <si>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</si>
  <si>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</si>
  <si>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</si>
  <si>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</si>
  <si>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</si>
  <si>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</si>
  <si>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</si>
  <si>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</si>
  <si>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</si>
  <si>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</si>
  <si>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</si>
  <si>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</si>
  <si>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</si>
  <si>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</si>
  <si>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</si>
  <si>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</si>
  <si>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</si>
  <si>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</si>
  <si>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</si>
  <si>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</si>
  <si>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</si>
  <si>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</si>
  <si>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</si>
  <si>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</si>
  <si>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</si>
  <si>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</si>
  <si>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</si>
  <si>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</si>
  <si>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</si>
  <si>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</si>
  <si>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</si>
  <si>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</si>
  <si>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</si>
  <si>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</si>
  <si>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</si>
  <si>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</si>
  <si>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</si>
  <si>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</si>
  <si>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</si>
  <si>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</si>
  <si>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</si>
  <si>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</si>
  <si>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</si>
  <si>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</si>
  <si>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</si>
  <si>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</si>
  <si>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</si>
  <si>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</si>
  <si>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</si>
  <si>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</si>
  <si>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</si>
  <si>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</si>
  <si>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</si>
  <si>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</si>
  <si>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</si>
  <si>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</si>
  <si>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</si>
  <si>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</si>
  <si>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</si>
  <si>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</si>
  <si>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</si>
  <si>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</si>
  <si>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</si>
  <si>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</si>
  <si>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</si>
  <si>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</si>
  <si>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</si>
  <si>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</si>
  <si>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</si>
  <si>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</si>
  <si>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</si>
  <si>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</si>
  <si>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</si>
  <si>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</si>
  <si>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</si>
  <si>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</si>
  <si>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</si>
  <si>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</si>
  <si>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</si>
  <si>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</si>
  <si>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</si>
  <si>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</si>
  <si>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</si>
  <si>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</si>
  <si>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</si>
  <si>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</si>
  <si>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</si>
  <si>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</si>
  <si>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</si>
  <si>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</si>
  <si>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</si>
  <si>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</si>
  <si>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</si>
  <si>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</si>
  <si>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</si>
  <si>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</si>
  <si>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</si>
  <si>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</si>
  <si>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</si>
  <si>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</si>
  <si>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</si>
  <si>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</si>
  <si>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</si>
  <si>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</si>
  <si>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</si>
  <si>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</si>
  <si>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</si>
  <si>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</si>
  <si>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</si>
  <si>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</si>
  <si>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</si>
  <si>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</si>
  <si>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</si>
  <si>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</si>
  <si>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</si>
  <si>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</si>
  <si>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</si>
  <si>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</si>
  <si>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</si>
  <si>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</si>
  <si>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</si>
  <si>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</si>
  <si>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</si>
  <si>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</si>
  <si>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</si>
  <si>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</si>
  <si>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</si>
  <si>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</si>
  <si>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</si>
  <si>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</si>
  <si>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</si>
  <si>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</si>
  <si>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</si>
  <si>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</si>
  <si>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</si>
  <si>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</si>
  <si>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</si>
  <si>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</si>
  <si>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</si>
  <si>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</si>
  <si>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</si>
  <si>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</si>
  <si>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</si>
  <si>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</si>
  <si>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</si>
  <si>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</si>
  <si>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</si>
  <si>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</si>
  <si>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</si>
  <si>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</si>
  <si>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</si>
  <si>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</si>
  <si>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</si>
  <si>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</si>
  <si>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</si>
  <si>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</si>
  <si>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</si>
  <si>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</si>
  <si>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</si>
  <si>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</si>
  <si>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</si>
  <si>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</si>
  <si>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</si>
  <si>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</si>
  <si>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</si>
  <si>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</si>
  <si>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</si>
  <si>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</si>
  <si>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</si>
  <si>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</si>
  <si>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</si>
  <si>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</si>
  <si>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</si>
  <si>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</si>
  <si>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</si>
  <si>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</si>
  <si>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</si>
  <si>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</si>
  <si>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</si>
  <si>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</si>
  <si>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</si>
  <si>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</si>
  <si>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</si>
  <si>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</si>
  <si>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</si>
  <si>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</si>
  <si>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</si>
  <si>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</si>
  <si>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</si>
  <si>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</si>
  <si>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</si>
  <si>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</si>
  <si>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</si>
  <si>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</si>
  <si>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</si>
  <si>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</si>
  <si>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</si>
  <si>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</si>
  <si>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</si>
  <si>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</si>
  <si>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</si>
  <si>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</si>
  <si>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</si>
  <si>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</si>
  <si>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</si>
  <si>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</si>
  <si>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</si>
  <si>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</si>
  <si>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</si>
  <si>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</si>
  <si>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</si>
  <si>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</si>
  <si>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</si>
  <si>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</si>
  <si>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</si>
  <si>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</si>
  <si>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</si>
  <si>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</si>
  <si>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</si>
  <si>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</si>
  <si>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</si>
  <si>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</si>
  <si>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</si>
  <si>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</si>
  <si>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</si>
  <si>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</si>
  <si>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</si>
  <si>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</si>
  <si>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</si>
  <si>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</si>
  <si>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</si>
  <si>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</si>
  <si>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</si>
  <si>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</si>
  <si>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</si>
  <si>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</si>
  <si>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</si>
  <si>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</si>
  <si>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</si>
  <si>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</si>
  <si>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</si>
  <si>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</si>
  <si>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</si>
  <si>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</si>
  <si>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</si>
  <si>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</si>
  <si>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</si>
  <si>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</si>
  <si>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</si>
  <si>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</si>
  <si>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</si>
  <si>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</si>
  <si>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</si>
  <si>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</si>
  <si>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</si>
  <si>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</si>
  <si>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</si>
  <si>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</si>
  <si>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</si>
  <si>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</si>
  <si>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</si>
  <si>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</si>
  <si>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</si>
  <si>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</si>
  <si>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</si>
  <si>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</si>
  <si>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</si>
  <si>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</si>
  <si>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</si>
  <si>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</si>
  <si>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</si>
  <si>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</si>
  <si>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</si>
  <si>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</si>
  <si>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</si>
  <si>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</si>
  <si>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</si>
  <si>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</si>
  <si>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</si>
  <si>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</si>
  <si>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</si>
  <si>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</si>
  <si>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</si>
  <si>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</si>
  <si>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</si>
  <si>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</si>
  <si>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</si>
  <si>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</si>
  <si>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</si>
  <si>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</si>
  <si>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</si>
  <si>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</si>
  <si>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</si>
  <si>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</si>
  <si>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</si>
  <si>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</si>
  <si>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</si>
  <si>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</si>
  <si>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</si>
  <si>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</si>
  <si>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</si>
  <si>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</si>
  <si>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</si>
  <si>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</si>
  <si>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</si>
  <si>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</si>
  <si>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</si>
  <si>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</si>
  <si>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</si>
  <si>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</si>
  <si>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</si>
  <si>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</si>
  <si>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</si>
  <si>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</si>
  <si>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</si>
  <si>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</si>
  <si>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</si>
  <si>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</si>
  <si>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</si>
  <si>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</si>
  <si>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</si>
  <si>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</si>
  <si>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</si>
  <si>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</si>
  <si>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</si>
  <si>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</si>
  <si>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</si>
  <si>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</si>
  <si>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</si>
  <si>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</si>
  <si>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</si>
  <si>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</si>
  <si>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</si>
  <si>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</si>
  <si>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</si>
  <si>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</si>
  <si>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</si>
  <si>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</si>
  <si>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</si>
  <si>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</si>
  <si>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</si>
  <si>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</si>
  <si>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</si>
  <si>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</si>
  <si>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</si>
  <si>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</si>
  <si>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</si>
  <si>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</si>
  <si>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</si>
  <si>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</si>
  <si>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</si>
  <si>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</si>
  <si>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</si>
  <si>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</si>
  <si>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</si>
  <si>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</si>
  <si>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</si>
  <si>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</si>
  <si>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</si>
  <si>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</si>
  <si>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</si>
  <si>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</si>
  <si>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</si>
  <si>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</si>
  <si>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</si>
  <si>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</si>
  <si>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</si>
  <si>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</si>
  <si>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</si>
  <si>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</si>
  <si>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</si>
  <si>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</si>
  <si>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</si>
  <si>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</si>
  <si>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</si>
  <si>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</si>
  <si>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</si>
  <si>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</si>
  <si>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</si>
  <si>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</si>
  <si>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</si>
  <si>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</si>
  <si>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</si>
  <si>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</si>
  <si>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</si>
  <si>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</si>
  <si>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</si>
  <si>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</si>
  <si>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</si>
  <si>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</si>
  <si>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</si>
  <si>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</si>
  <si>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</si>
  <si>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</si>
  <si>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</si>
  <si>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</si>
  <si>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</si>
  <si>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</si>
  <si>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</si>
  <si>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</si>
  <si>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</si>
  <si>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</si>
  <si>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</si>
  <si>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</si>
  <si>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</si>
  <si>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</si>
  <si>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</si>
  <si>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</si>
  <si>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</si>
  <si>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</si>
  <si>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</si>
  <si>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</si>
  <si>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</si>
  <si>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</si>
  <si>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</si>
  <si>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</si>
  <si>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</si>
  <si>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</si>
  <si>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</si>
  <si>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</si>
  <si>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</si>
  <si>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</si>
  <si>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</si>
  <si>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</si>
  <si>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</si>
  <si>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</si>
  <si>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</si>
  <si>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</si>
  <si>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</si>
  <si>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</si>
  <si>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</si>
  <si>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</si>
  <si>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</si>
  <si>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</si>
  <si>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</si>
  <si>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</si>
  <si>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</si>
  <si>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</si>
  <si>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</si>
  <si>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</si>
  <si>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</si>
  <si>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</si>
  <si>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</si>
  <si>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</si>
  <si>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</si>
  <si>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</si>
  <si>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</si>
  <si>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</si>
  <si>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</si>
  <si>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</si>
  <si>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</si>
  <si>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</si>
  <si>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</si>
  <si>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</si>
  <si>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</si>
  <si>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</si>
  <si>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</si>
  <si>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</si>
  <si>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</si>
  <si>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</si>
  <si>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</si>
  <si>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</si>
  <si>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</si>
  <si>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</si>
  <si>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</si>
  <si>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</si>
  <si>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</si>
  <si>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</si>
  <si>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</si>
  <si>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</si>
  <si>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</si>
  <si>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</si>
  <si>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</si>
  <si>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</si>
  <si>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</si>
  <si>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</si>
  <si>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</si>
  <si>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</si>
  <si>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</si>
  <si>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</si>
  <si>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</si>
  <si>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</si>
  <si>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</si>
  <si>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</si>
  <si>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</si>
  <si>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</si>
  <si>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</si>
  <si>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</si>
  <si>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</si>
  <si>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</si>
  <si>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</si>
  <si>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</si>
  <si>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</si>
  <si>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</si>
  <si>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</si>
  <si>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</si>
  <si>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</si>
  <si>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</si>
  <si>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</si>
  <si>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</si>
  <si>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</si>
  <si>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</si>
  <si>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</si>
  <si>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</si>
  <si>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</si>
  <si>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</si>
  <si>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</si>
  <si>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</si>
  <si>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</si>
  <si>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</si>
  <si>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</si>
  <si>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</si>
  <si>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</si>
  <si>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</si>
  <si>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</si>
  <si>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</si>
  <si>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</si>
  <si>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</si>
  <si>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</si>
  <si>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</si>
  <si>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</si>
  <si>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</si>
  <si>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</si>
  <si>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</si>
  <si>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</si>
  <si>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</si>
  <si>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</si>
  <si>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</si>
  <si>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</si>
  <si>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</si>
  <si>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</si>
  <si>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</si>
  <si>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</si>
  <si>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</si>
  <si>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</si>
  <si>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</si>
  <si>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</si>
  <si>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</si>
  <si>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</si>
  <si>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</si>
  <si>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</si>
  <si>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</si>
  <si>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</si>
  <si>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</si>
  <si>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</si>
  <si>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</si>
  <si>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</si>
  <si>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</si>
  <si>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</si>
  <si>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</si>
  <si>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</si>
  <si>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</si>
  <si>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</si>
  <si>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</si>
  <si>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</si>
  <si>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</si>
  <si>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</si>
  <si>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</si>
  <si>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</si>
  <si>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</si>
  <si>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</si>
  <si>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</si>
  <si>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</si>
  <si>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</si>
  <si>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</si>
  <si>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</si>
  <si>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</si>
  <si>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</si>
  <si>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</si>
  <si>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</si>
  <si>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</si>
  <si>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</si>
  <si>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</si>
  <si>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</si>
  <si>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</si>
  <si>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</si>
  <si>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</si>
  <si>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</si>
  <si>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</si>
  <si>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</si>
  <si>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</si>
  <si>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</si>
  <si>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</si>
  <si>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</si>
  <si>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</si>
  <si>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</si>
  <si>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</si>
  <si>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</si>
  <si>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</si>
  <si>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</si>
  <si>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</si>
  <si>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</si>
  <si>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</si>
  <si>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</si>
  <si>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</si>
  <si>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</si>
  <si>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</si>
  <si>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</si>
  <si>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</si>
  <si>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</si>
  <si>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</si>
  <si>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</si>
  <si>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</si>
  <si>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</si>
  <si>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</si>
  <si>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</si>
  <si>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</si>
  <si>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</si>
  <si>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</si>
  <si>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</si>
  <si>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</si>
  <si>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</si>
  <si>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</si>
  <si>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</si>
  <si>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</si>
  <si>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</si>
  <si>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</si>
  <si>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</si>
  <si>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</si>
  <si>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SHAUN WILLIAMS</t>
  </si>
  <si>
    <t>TONY SHOREY</t>
  </si>
  <si>
    <t>CARA ALLAN</t>
  </si>
  <si>
    <t>EMMA BIRCH</t>
  </si>
  <si>
    <t xml:space="preserve">MARK LATCHEM </t>
  </si>
  <si>
    <t>ELOI VERGE</t>
  </si>
  <si>
    <t>06:02</t>
  </si>
  <si>
    <t>06:36</t>
  </si>
  <si>
    <t>01:43</t>
  </si>
  <si>
    <t>02:55</t>
  </si>
  <si>
    <t>01:27</t>
  </si>
  <si>
    <t>Really good job! I'd recommend you to make sure every foul has it's number of FT associated to make your performance even better.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</si>
</sst>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28" sqref="K2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11_106_LLI_BES_U2025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46008.8125</v>
      </c>
      <c r="C3" s="178"/>
      <c r="D3" s="39">
        <v>688</v>
      </c>
      <c r="E3" s="29"/>
      <c r="F3" s="26">
        <f>SUBTOTAL(3,I17:I106)</f>
        <v>5</v>
      </c>
      <c r="G3" s="27">
        <f>IF(OR(D3="",D3=0),"",F3/D3)</f>
        <v>7.2674418604651162E-3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London Lions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742</v>
      </c>
      <c r="L4" s="5"/>
      <c r="M4" s="185" t="s">
        <v>837</v>
      </c>
      <c r="N4" s="186"/>
      <c r="O4" s="2"/>
      <c r="P4" s="2"/>
      <c r="Q4" s="84" t="s">
        <v>175</v>
      </c>
      <c r="R4" s="94">
        <f>(IF(G3="",0,G3))</f>
        <v>7.2674418604651162E-3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Besiktas GAIN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0.72674418604651159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8.2267441860465116</v>
      </c>
      <c r="N7" s="58"/>
      <c r="O7" s="2"/>
      <c r="P7" s="2"/>
      <c r="Q7" s="86">
        <f>SUM(R5,S5,AC16)</f>
        <v>8.2267441860465116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8.2267441860465116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106</v>
      </c>
      <c r="D17" s="32" t="s">
        <v>832</v>
      </c>
      <c r="E17" s="33">
        <v>1</v>
      </c>
      <c r="F17" s="36">
        <v>8</v>
      </c>
      <c r="G17" s="36">
        <v>7</v>
      </c>
      <c r="H17" s="38" t="str">
        <f>IF(I17="","",$I$14)</f>
        <v>SCOUTING</v>
      </c>
      <c r="I17" s="34">
        <v>50</v>
      </c>
      <c r="J17" s="13" t="s">
        <v>4</v>
      </c>
      <c r="K17" s="13" t="s">
        <v>63</v>
      </c>
      <c r="L17" s="13" t="s">
        <v>7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106</v>
      </c>
      <c r="D18" s="32" t="s">
        <v>833</v>
      </c>
      <c r="E18" s="33">
        <v>3</v>
      </c>
      <c r="F18" s="36">
        <v>51</v>
      </c>
      <c r="G18" s="36">
        <v>59</v>
      </c>
      <c r="H18" s="38" t="str">
        <f t="shared" ref="H18:H81" si="8">IF(I18="","",$I$14)</f>
        <v>SCOUTING</v>
      </c>
      <c r="I18" s="34">
        <v>359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106</v>
      </c>
      <c r="D19" s="32" t="s">
        <v>834</v>
      </c>
      <c r="E19" s="33">
        <v>3</v>
      </c>
      <c r="F19" s="36">
        <v>61</v>
      </c>
      <c r="G19" s="36">
        <v>70</v>
      </c>
      <c r="H19" s="38" t="str">
        <f t="shared" si="8"/>
        <v>SCOUTING</v>
      </c>
      <c r="I19" s="34">
        <v>446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106</v>
      </c>
      <c r="D20" s="32" t="s">
        <v>835</v>
      </c>
      <c r="E20" s="33">
        <v>4</v>
      </c>
      <c r="F20" s="36">
        <v>78</v>
      </c>
      <c r="G20" s="36">
        <v>79</v>
      </c>
      <c r="H20" s="38" t="str">
        <f t="shared" si="8"/>
        <v>SCOUTING</v>
      </c>
      <c r="I20" s="34">
        <v>571</v>
      </c>
      <c r="J20" s="13" t="s">
        <v>4</v>
      </c>
      <c r="K20" s="13" t="s">
        <v>63</v>
      </c>
      <c r="L20" s="13" t="s">
        <v>6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106</v>
      </c>
      <c r="D21" s="32" t="s">
        <v>836</v>
      </c>
      <c r="E21" s="33" t="s">
        <v>59</v>
      </c>
      <c r="F21" s="36">
        <v>93</v>
      </c>
      <c r="G21" s="36">
        <v>90</v>
      </c>
      <c r="H21" s="38" t="str">
        <f t="shared" si="8"/>
        <v>SCOUTING</v>
      </c>
      <c r="I21" s="34">
        <v>657</v>
      </c>
      <c r="J21" s="13" t="s">
        <v>3</v>
      </c>
      <c r="K21" s="13" t="s">
        <v>62</v>
      </c>
      <c r="L21" s="13" t="s">
        <v>7</v>
      </c>
      <c r="M21" s="13" t="s">
        <v>167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1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1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"U2025106"</v>
      </c>
      <c r="F3" s="45" t="str">
        <f t="shared" ref="F3:F16" si="0">""""&amp;B3&amp;"""" &amp; " : " &amp;C3&amp;","</f>
        <v>"name" : "U2025106",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"U106"</v>
      </c>
      <c r="F4" s="45" t="str">
        <f t="shared" si="0"/>
        <v>"cod" : "U106",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106</v>
      </c>
      <c r="F6" s="45" t="str">
        <f t="shared" si="0"/>
        <v>"number" : 106,</v>
      </c>
    </row>
    <row r="7" spans="2:6" x14ac:dyDescent="0.25">
      <c r="B7" s="43" t="s">
        <v>116</v>
      </c>
      <c r="C7" s="43" t="str">
        <f ca="1">""""&amp;TEXT('SCOUT &amp; LOGISTICS'!B3,"dd/mm/aaaa")&amp;""""</f>
        <v>"17/12/2025"</v>
      </c>
      <c r="F7" s="45" t="str">
        <f t="shared" ca="1" si="0"/>
        <v>"date" : "17/12/2025",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"SHAUN WILLIAMS"</v>
      </c>
      <c r="F10" s="45" t="str">
        <f t="shared" si="0"/>
        <v>"Data_entry" : "SHAUN WILLIAMS",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"TONY SHOREY"</v>
      </c>
      <c r="F11" s="45" t="str">
        <f t="shared" si="0"/>
        <v>"Caller_1" : "TONY SHOREY",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"CARA ALLAN"</v>
      </c>
      <c r="F12" s="45" t="str">
        <f t="shared" si="0"/>
        <v>"Caller_2" : "CARA ALLAN",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"EMMA BIRCH"</v>
      </c>
      <c r="F13" s="45" t="str">
        <f t="shared" si="0"/>
        <v>"Timerkeeper" : "EMMA BIRCH",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"MARK LATCHEM "</v>
      </c>
      <c r="F14" s="45" t="str">
        <f t="shared" si="0"/>
        <v>"Shotclock" : "MARK LATCHEM 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688</v>
      </c>
      <c r="F25" s="45" t="str">
        <f t="shared" ref="F25:F48" si="1">""""&amp;C25&amp;"""" &amp; " : " &amp;D25&amp;","</f>
        <v>"total_actions" : 688,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1</v>
      </c>
      <c r="F35" s="45" t="str">
        <f t="shared" si="1"/>
        <v>"et" : 1,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 I'd recommend you to make sure every foul has it's number of FT associated to make your performance even better. Keep it up!"</v>
      </c>
      <c r="F51" s="45" t="str">
        <f>""""&amp;B51&amp;"""" &amp; " : " &amp;C51&amp;","</f>
        <v>"comments" : "Really good job! I'd recommend you to make sure every foul has it's number of FT associated to make your performance even better. Keep it up!",</v>
      </c>
    </row>
    <row r="52" spans="2:6" x14ac:dyDescent="0.25">
      <c r="B52" s="43" t="s">
        <v>153</v>
      </c>
      <c r="C52" s="43" t="str">
        <f>TEXT('SCOUT &amp; LOGISTICS'!F1,"0,0")</f>
        <v>11_106_LLI_BES_U2025</v>
      </c>
      <c r="F52" s="45" t="str">
        <f>""""&amp;B52&amp;"""" &amp; " : " &amp;C52</f>
        <v>"result" : 11_106_LLI_BES_U2025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U106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London Lions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Besiktas Gain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SHAUN WILLIAMS</v>
      </c>
      <c r="C8" s="201"/>
      <c r="D8" s="201"/>
      <c r="E8" s="201"/>
      <c r="F8" s="201"/>
      <c r="G8" s="201" t="str">
        <f>IF('SCOUT &amp; LOGISTICS'!D7="","",'SCOUT &amp; LOGISTICS'!D7)</f>
        <v>TONY SHOREY</v>
      </c>
      <c r="H8" s="201"/>
      <c r="I8" s="201"/>
      <c r="J8" s="201"/>
      <c r="K8" s="201"/>
      <c r="L8" s="201" t="str">
        <f>IF('SCOUT &amp; LOGISTICS'!D8="","",'SCOUT &amp; LOGISTICS'!D8)</f>
        <v>CARA ALLAN</v>
      </c>
      <c r="M8" s="201"/>
      <c r="N8" s="201"/>
      <c r="O8" s="201"/>
      <c r="P8" s="201"/>
      <c r="Q8" s="201" t="str">
        <f>IF('SCOUT &amp; LOGISTICS'!D9="","",'SCOUT &amp; LOGISTICS'!D9)</f>
        <v>EMMA BIRCH</v>
      </c>
      <c r="R8" s="201"/>
      <c r="S8" s="201"/>
      <c r="T8" s="201"/>
      <c r="U8" s="201"/>
      <c r="V8" s="201" t="str">
        <f>IF('SCOUT &amp; LOGISTICS'!D10="","",'SCOUT &amp; LOGISTICS'!D10)</f>
        <v xml:space="preserve">MARK LATCHEM 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688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7.2674418604651162E-3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1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Really good job! I'd recommend you to make sure every foul has it's number of FT associated to make your performance even better.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8.2267441860465116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FE8DC19-B734-4265-9487-440D24ADD1D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2025-12-11T17:40:59Z</cp:lastPrinted>
  <dcterms:created xsi:type="dcterms:W3CDTF">2023-09-19T19:50:35Z</dcterms:created>
  <dcterms:modified xsi:type="dcterms:W3CDTF">2025-12-19T18:17:19Z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