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cup/"/>
    </mc:Choice>
  </mc:AlternateContent>
  <xr:revisionPtr revIDLastSave="43" documentId="8_{4C43A22A-C080-4FE6-854C-A00035A82089}" xr6:coauthVersionLast="47" xr6:coauthVersionMax="47" xr10:uidLastSave="{A1331931-3720-46CC-B29F-D2AE15585E87}"/>
  <bookViews>
    <workbookView xWindow="-90" yWindow="-16320" windowWidth="29040" windowHeight="1572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W5" i="1" s="1"/>
  <c r="G29" i="2"/>
  <c r="AA5" i="1"/>
  <c r="L27" i="2"/>
  <c r="Z4" i="1"/>
  <c r="Z5" i="1" s="1"/>
  <c r="Y16" i="1"/>
  <c r="D37" i="4" s="1"/>
  <c r="F37" i="4" s="1"/>
  <c r="B25" i="2"/>
  <c r="X4" i="1"/>
  <c r="X5" i="1" s="1"/>
  <c r="L29" i="2"/>
  <c r="B27" i="2"/>
  <c r="U4" i="1"/>
  <c r="U5" i="1" s="1"/>
  <c r="G27" i="2"/>
  <c r="V4" i="1"/>
  <c r="V5" i="1" s="1"/>
  <c r="AA16" i="1"/>
  <c r="AF16" i="1"/>
  <c r="AC16"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<sst xmlns="http://schemas.openxmlformats.org/spreadsheetml/2006/main" count="3342" uniqueCount="834">
  <si>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</si>
  <si>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</si>
  <si>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</si>
  <si>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</si>
  <si>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</si>
  <si>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</si>
  <si>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</si>
  <si>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</si>
  <si>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</si>
  <si>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</si>
  <si>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</si>
  <si>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</si>
  <si>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</si>
  <si>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</si>
  <si>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</si>
  <si>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</si>
  <si>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</si>
  <si>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</si>
  <si>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</si>
  <si>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</si>
  <si>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</si>
  <si>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</si>
  <si>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</si>
  <si>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</si>
  <si>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</si>
  <si>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</si>
  <si>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</si>
  <si>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</si>
  <si>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</si>
  <si>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</si>
  <si>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</si>
  <si>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</si>
  <si>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</si>
  <si>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</si>
  <si>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</si>
  <si>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</si>
  <si>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</si>
  <si>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</si>
  <si>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</si>
  <si>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</si>
  <si>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</si>
  <si>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</si>
  <si>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</si>
  <si>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</si>
  <si>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</si>
  <si>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</si>
  <si>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</si>
  <si>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</si>
  <si>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</si>
  <si>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</si>
  <si>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</si>
  <si>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</si>
  <si>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</si>
  <si>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</si>
  <si>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</si>
  <si>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</si>
  <si>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</si>
  <si>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</si>
  <si>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</si>
  <si>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</si>
  <si>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</si>
  <si>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</si>
  <si>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</si>
  <si>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</si>
  <si>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</si>
  <si>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</si>
  <si>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</si>
  <si>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</si>
  <si>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</si>
  <si>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</si>
  <si>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</si>
  <si>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</si>
  <si>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</si>
  <si>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</si>
  <si>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</si>
  <si>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</si>
  <si>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</si>
  <si>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</si>
  <si>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</si>
  <si>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</si>
  <si>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</si>
  <si>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</si>
  <si>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</si>
  <si>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</si>
  <si>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</si>
  <si>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</si>
  <si>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</si>
  <si>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</si>
  <si>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</si>
  <si>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</si>
  <si>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</si>
  <si>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</si>
  <si>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</si>
  <si>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</si>
  <si>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</si>
  <si>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</si>
  <si>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</si>
  <si>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</si>
  <si>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</si>
  <si>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</si>
  <si>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</si>
  <si>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</si>
  <si>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</si>
  <si>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</si>
  <si>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</si>
  <si>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</si>
  <si>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</si>
  <si>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</si>
  <si>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</si>
  <si>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</si>
  <si>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</si>
  <si>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</si>
  <si>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</si>
  <si>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</si>
  <si>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</si>
  <si>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</si>
  <si>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</si>
  <si>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</si>
  <si>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</si>
  <si>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</si>
  <si>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</si>
  <si>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</si>
  <si>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</si>
  <si>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</si>
  <si>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</si>
  <si>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</si>
  <si>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</si>
  <si>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</si>
  <si>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</si>
  <si>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</si>
  <si>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</si>
  <si>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</si>
  <si>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</si>
  <si>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</si>
  <si>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</si>
  <si>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</si>
  <si>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</si>
  <si>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</si>
  <si>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</si>
  <si>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</si>
  <si>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</si>
  <si>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</si>
  <si>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</si>
  <si>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</si>
  <si>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</si>
  <si>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</si>
  <si>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</si>
  <si>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</si>
  <si>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</si>
  <si>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</si>
  <si>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</si>
  <si>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</si>
  <si>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</si>
  <si>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</si>
  <si>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</si>
  <si>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</si>
  <si>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</si>
  <si>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</si>
  <si>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</si>
  <si>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</si>
  <si>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</si>
  <si>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</si>
  <si>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</si>
  <si>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</si>
  <si>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</si>
  <si>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</si>
  <si>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</si>
  <si>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</si>
  <si>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</si>
  <si>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</si>
  <si>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</si>
  <si>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</si>
  <si>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</si>
  <si>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</si>
  <si>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</si>
  <si>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</si>
  <si>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</si>
  <si>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</si>
  <si>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</si>
  <si>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</si>
  <si>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</si>
  <si>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</si>
  <si>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</si>
  <si>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</si>
  <si>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</si>
  <si>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</si>
  <si>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</si>
  <si>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</si>
  <si>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</si>
  <si>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</si>
  <si>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</si>
  <si>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</si>
  <si>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</si>
  <si>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</si>
  <si>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</si>
  <si>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</si>
  <si>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</si>
  <si>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</si>
  <si>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</si>
  <si>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</si>
  <si>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</si>
  <si>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</si>
  <si>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</si>
  <si>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</si>
  <si>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</si>
  <si>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</si>
  <si>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</si>
  <si>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</si>
  <si>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</si>
  <si>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</si>
  <si>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</si>
  <si>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</si>
  <si>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</si>
  <si>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</si>
  <si>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</si>
  <si>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</si>
  <si>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</si>
  <si>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</si>
  <si>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</si>
  <si>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</si>
  <si>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</si>
  <si>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</si>
  <si>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</si>
  <si>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</si>
  <si>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</si>
  <si>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</si>
  <si>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</si>
  <si>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</si>
  <si>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</si>
  <si>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</si>
  <si>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</si>
  <si>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</si>
  <si>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</si>
  <si>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</si>
  <si>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</si>
  <si>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</si>
  <si>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</si>
  <si>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</si>
  <si>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</si>
  <si>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</si>
  <si>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</si>
  <si>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</si>
  <si>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</si>
  <si>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</si>
  <si>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</si>
  <si>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</si>
  <si>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</si>
  <si>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</si>
  <si>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</si>
  <si>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</si>
  <si>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</si>
  <si>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</si>
  <si>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</si>
  <si>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</si>
  <si>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</si>
  <si>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</si>
  <si>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</si>
  <si>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</si>
  <si>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</si>
  <si>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</si>
  <si>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</si>
  <si>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</si>
  <si>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</si>
  <si>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</si>
  <si>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</si>
  <si>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</si>
  <si>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</si>
  <si>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</si>
  <si>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</si>
  <si>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</si>
  <si>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</si>
  <si>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</si>
  <si>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</si>
  <si>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</si>
  <si>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</si>
  <si>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</si>
  <si>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</si>
  <si>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</si>
  <si>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</si>
  <si>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</si>
  <si>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</si>
  <si>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</si>
  <si>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</si>
  <si>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</si>
  <si>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</si>
  <si>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</si>
  <si>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</si>
  <si>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</si>
  <si>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</si>
  <si>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</si>
  <si>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</si>
  <si>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</si>
  <si>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</si>
  <si>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</si>
  <si>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</si>
  <si>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</si>
  <si>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</si>
  <si>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</si>
  <si>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</si>
  <si>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</si>
  <si>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</si>
  <si>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</si>
  <si>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</si>
  <si>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</si>
  <si>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</si>
  <si>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</si>
  <si>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</si>
  <si>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</si>
  <si>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</si>
  <si>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</si>
  <si>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</si>
  <si>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</si>
  <si>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</si>
  <si>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</si>
  <si>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</si>
  <si>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</si>
  <si>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</si>
  <si>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</si>
  <si>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</si>
  <si>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</si>
  <si>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</si>
  <si>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</si>
  <si>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</si>
  <si>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</si>
  <si>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</si>
  <si>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</si>
  <si>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</si>
  <si>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</si>
  <si>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</si>
  <si>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</si>
  <si>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</si>
  <si>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</si>
  <si>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</si>
  <si>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</si>
  <si>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</si>
  <si>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</si>
  <si>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</si>
  <si>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</si>
  <si>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</si>
  <si>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</si>
  <si>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</si>
  <si>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</si>
  <si>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</si>
  <si>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</si>
  <si>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</si>
  <si>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</si>
  <si>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</si>
  <si>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</si>
  <si>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</si>
  <si>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</si>
  <si>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</si>
  <si>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</si>
  <si>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</si>
  <si>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</si>
  <si>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</si>
  <si>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</si>
  <si>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</si>
  <si>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</si>
  <si>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</si>
  <si>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</si>
  <si>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</si>
  <si>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</si>
  <si>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</si>
  <si>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</si>
  <si>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</si>
  <si>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</si>
  <si>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</si>
  <si>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</si>
  <si>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</si>
  <si>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</si>
  <si>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</si>
  <si>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</si>
  <si>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</si>
  <si>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</si>
  <si>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</si>
  <si>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</si>
  <si>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</si>
  <si>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</si>
  <si>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</si>
  <si>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</si>
  <si>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</si>
  <si>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</si>
  <si>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</si>
  <si>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</si>
  <si>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</si>
  <si>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</si>
  <si>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</si>
  <si>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</si>
  <si>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</si>
  <si>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</si>
  <si>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</si>
  <si>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</si>
  <si>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</si>
  <si>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</si>
  <si>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</si>
  <si>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</si>
  <si>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</si>
  <si>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</si>
  <si>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</si>
  <si>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</si>
  <si>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</si>
  <si>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</si>
  <si>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</si>
  <si>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</si>
  <si>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</si>
  <si>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</si>
  <si>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</si>
  <si>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</si>
  <si>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</si>
  <si>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</si>
  <si>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</si>
  <si>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</si>
  <si>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</si>
  <si>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</si>
  <si>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</si>
  <si>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</si>
  <si>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</si>
  <si>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</si>
  <si>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</si>
  <si>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</si>
  <si>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</si>
  <si>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</si>
  <si>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</si>
  <si>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</si>
  <si>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</si>
  <si>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</si>
  <si>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</si>
  <si>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</si>
  <si>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</si>
  <si>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</si>
  <si>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</si>
  <si>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</si>
  <si>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</si>
  <si>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</si>
  <si>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</si>
  <si>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</si>
  <si>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</si>
  <si>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</si>
  <si>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</si>
  <si>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</si>
  <si>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</si>
  <si>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</si>
  <si>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</si>
  <si>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</si>
  <si>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</si>
  <si>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</si>
  <si>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</si>
  <si>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</si>
  <si>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</si>
  <si>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</si>
  <si>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</si>
  <si>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</si>
  <si>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</si>
  <si>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</si>
  <si>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</si>
  <si>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</si>
  <si>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</si>
  <si>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</si>
  <si>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</si>
  <si>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</si>
  <si>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</si>
  <si>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</si>
  <si>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</si>
  <si>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</si>
  <si>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</si>
  <si>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</si>
  <si>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</si>
  <si>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</si>
  <si>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</si>
  <si>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</si>
  <si>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</si>
  <si>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</si>
  <si>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</si>
  <si>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</si>
  <si>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</si>
  <si>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</si>
  <si>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</si>
  <si>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</si>
  <si>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</si>
  <si>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</si>
  <si>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</si>
  <si>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</si>
  <si>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</si>
  <si>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</si>
  <si>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</si>
  <si>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</si>
  <si>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</si>
  <si>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</si>
  <si>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</si>
  <si>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</si>
  <si>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</si>
  <si>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</si>
  <si>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</si>
  <si>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</si>
  <si>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</si>
  <si>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</si>
  <si>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</si>
  <si>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</si>
  <si>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</si>
  <si>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</si>
  <si>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</si>
  <si>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</si>
  <si>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</si>
  <si>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</si>
  <si>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</si>
  <si>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</si>
  <si>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</si>
  <si>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</si>
  <si>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</si>
  <si>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</si>
  <si>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</si>
  <si>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</si>
  <si>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</si>
  <si>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</si>
  <si>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</si>
  <si>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</si>
  <si>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</si>
  <si>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</si>
  <si>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</si>
  <si>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</si>
  <si>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</si>
  <si>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</si>
  <si>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</si>
  <si>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</si>
  <si>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</si>
  <si>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</si>
  <si>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</si>
  <si>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</si>
  <si>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</si>
  <si>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</si>
  <si>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</si>
  <si>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</si>
  <si>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</si>
  <si>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</si>
  <si>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</si>
  <si>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</si>
  <si>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</si>
  <si>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</si>
  <si>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</si>
  <si>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</si>
  <si>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</si>
  <si>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</si>
  <si>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</si>
  <si>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</si>
  <si>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</si>
  <si>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</si>
  <si>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</si>
  <si>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</si>
  <si>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</si>
  <si>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</si>
  <si>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</si>
  <si>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</si>
  <si>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</si>
  <si>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</si>
  <si>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</si>
  <si>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</si>
  <si>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</si>
  <si>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</si>
  <si>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</si>
  <si>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</si>
  <si>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</si>
  <si>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</si>
  <si>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</si>
  <si>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</si>
  <si>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</si>
  <si>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</si>
  <si>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</si>
  <si>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</si>
  <si>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</si>
  <si>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</si>
  <si>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</si>
  <si>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</si>
  <si>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</si>
  <si>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</si>
  <si>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</si>
  <si>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</si>
  <si>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</si>
  <si>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</si>
  <si>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</si>
  <si>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</si>
  <si>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</si>
  <si>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</si>
  <si>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</si>
  <si>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</si>
  <si>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</si>
  <si>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</si>
  <si>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</si>
  <si>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</si>
  <si>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</si>
  <si>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</si>
  <si>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</si>
  <si>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</si>
  <si>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</si>
  <si>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</si>
  <si>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</si>
  <si>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</si>
  <si>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</si>
  <si>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</si>
  <si>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</si>
  <si>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</si>
  <si>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</si>
  <si>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</si>
  <si>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</si>
  <si>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</si>
  <si>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</si>
  <si>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</si>
  <si>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</si>
  <si>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</si>
  <si>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</si>
  <si>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</si>
  <si>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</si>
  <si>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</si>
  <si>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</si>
  <si>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</si>
  <si>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</si>
  <si>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</si>
  <si>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</si>
  <si>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</si>
  <si>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</si>
  <si>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</si>
  <si>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</si>
  <si>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</si>
  <si>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</si>
  <si>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</si>
  <si>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</si>
  <si>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</si>
  <si>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</si>
  <si>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</si>
  <si>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</si>
  <si>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</si>
  <si>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</si>
  <si>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</si>
  <si>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</si>
  <si>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</si>
  <si>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</si>
  <si>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</si>
  <si>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</si>
  <si>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</si>
  <si>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</si>
  <si>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</si>
  <si>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</si>
  <si>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</si>
  <si>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</si>
  <si>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</si>
  <si>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</si>
  <si>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</si>
  <si>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</si>
  <si>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</si>
  <si>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</si>
  <si>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</si>
  <si>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</si>
  <si>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</si>
  <si>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</si>
  <si>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</si>
  <si>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</si>
  <si>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</si>
  <si>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</si>
  <si>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</si>
  <si>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</si>
  <si>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</si>
  <si>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</si>
  <si>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</si>
  <si>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</si>
  <si>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</si>
  <si>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</si>
  <si>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</si>
  <si>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</si>
  <si>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</si>
  <si>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</si>
  <si>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</si>
  <si>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</si>
  <si>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</si>
  <si>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</si>
  <si>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</si>
  <si>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</si>
  <si>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</si>
  <si>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</si>
  <si>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</si>
  <si>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</si>
  <si>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</si>
  <si>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</si>
  <si>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</si>
  <si>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</si>
  <si>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</si>
  <si>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</si>
  <si>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</si>
  <si>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</si>
  <si>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</si>
  <si>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</si>
  <si>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</si>
  <si>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</si>
  <si>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</si>
  <si>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</si>
  <si>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</si>
  <si>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</si>
  <si>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</si>
  <si>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</si>
  <si>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</si>
  <si>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</si>
  <si>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</si>
  <si>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</si>
  <si>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</si>
  <si>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</si>
  <si>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</si>
  <si>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</si>
  <si>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</si>
  <si>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</si>
  <si>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</si>
  <si>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</si>
  <si>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</si>
  <si>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</si>
  <si>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</si>
  <si>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</si>
  <si>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</si>
  <si>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</si>
  <si>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</si>
  <si>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</si>
  <si>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</si>
  <si>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</si>
  <si>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</si>
  <si>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</si>
  <si>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</si>
  <si>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</si>
  <si>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</si>
  <si>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</si>
  <si>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</si>
  <si>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</si>
  <si>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</si>
  <si>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</si>
  <si>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</si>
  <si>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</si>
  <si>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</si>
  <si>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</si>
  <si>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</si>
  <si>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</si>
  <si>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</si>
  <si>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</si>
  <si>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</si>
  <si>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</si>
  <si>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</si>
  <si>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</si>
  <si>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</si>
  <si>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</si>
  <si>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</si>
  <si>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</si>
  <si>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</si>
  <si>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</si>
  <si>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</si>
  <si>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</si>
  <si>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U</t>
  </si>
  <si>
    <t>DJAMEL SOUDANI</t>
  </si>
  <si>
    <t>BASTIEN BONNETON</t>
  </si>
  <si>
    <t>CYRIL LONGELIN</t>
  </si>
  <si>
    <t>MAGALI CARTIER</t>
  </si>
  <si>
    <t>AXEL QUENEY</t>
  </si>
  <si>
    <t>MONIKA NEDYALKOVA</t>
  </si>
  <si>
    <t>ANASTASIOS KARIOFYLIS</t>
  </si>
  <si>
    <t>SOLON MINAS</t>
  </si>
  <si>
    <t>ANGELOS KALOGERAKOS</t>
  </si>
  <si>
    <t>KRANIOTIS, KONSTANTINOS</t>
  </si>
  <si>
    <t>CHRISTOLIAKOU, MARIA ALEXANDRA</t>
  </si>
  <si>
    <t>KAROUMPALOU, ATHINA</t>
  </si>
  <si>
    <t>KARAGIAKIOULES, VASILEOS</t>
  </si>
  <si>
    <t>KOURTI, SPYRIDOULA</t>
  </si>
  <si>
    <t>KALESIORIS, ANASTASIS</t>
  </si>
  <si>
    <t>FRANCIS RUIZ</t>
  </si>
  <si>
    <t>LLUIS ESPINOSA</t>
  </si>
  <si>
    <t>LAILA GONELL</t>
  </si>
  <si>
    <t>ROBERTO BAÑOS</t>
  </si>
  <si>
    <t>MARIA JOSE SERRANO</t>
  </si>
  <si>
    <t>JESUS LOPEZ</t>
  </si>
  <si>
    <t>ENDER OZBEK</t>
  </si>
  <si>
    <t>SERTAC DOSTEL</t>
  </si>
  <si>
    <t>AHMET YILDIZ</t>
  </si>
  <si>
    <t>MERVE SAGLAM</t>
  </si>
  <si>
    <t>VASILJEVIC, PETAR</t>
  </si>
  <si>
    <t>VASILJEVIC, IVANA</t>
  </si>
  <si>
    <t>VASILJEVIC, PREDRAG</t>
  </si>
  <si>
    <t>PRPA, IVANA</t>
  </si>
  <si>
    <t>KRSTIC, ANA</t>
  </si>
  <si>
    <t>SONJA STANKOVIC</t>
  </si>
  <si>
    <t>JOVANA KRIVOKUCA-MILOVANOVIC</t>
  </si>
  <si>
    <t>JACOBO LAPRESTA</t>
  </si>
  <si>
    <t>JOSE ANTONIO RODRIGUEZ</t>
  </si>
  <si>
    <t>JOSE VICENTE ARQUES</t>
  </si>
  <si>
    <t>YOLANDA BAILACH MADERA</t>
  </si>
  <si>
    <t>CRISTINA TORRES</t>
  </si>
  <si>
    <t>BORJA RODRIGUEZ</t>
  </si>
  <si>
    <t>DANILO VESOVIC</t>
  </si>
  <si>
    <t>LUKA ANDRIC</t>
  </si>
  <si>
    <t>MARKO LEPOVIC</t>
  </si>
  <si>
    <t>BILJANA KOSTRES</t>
  </si>
  <si>
    <t>MILOS MOSIC</t>
  </si>
  <si>
    <t>MIODRAG STOJANOVIC</t>
  </si>
  <si>
    <t>ANA ANDREJIC</t>
  </si>
  <si>
    <t>BOJANA KRALJEVIC</t>
  </si>
  <si>
    <t>LJUPKA VUKOJEVIC</t>
  </si>
  <si>
    <t>JOVANA DOJCINOVIC</t>
  </si>
  <si>
    <t>GIEDRE GARCINSKAITE</t>
  </si>
  <si>
    <t>RASA KIZIKAITE</t>
  </si>
  <si>
    <t>AUKSE ZAKRIENE</t>
  </si>
  <si>
    <t>GINTARE BUKARTAITE</t>
  </si>
  <si>
    <t>MINDAUGAS RUDZEVICIUS</t>
  </si>
  <si>
    <t>NERIJUS MAINONIS</t>
  </si>
  <si>
    <t>STEPHANE DURIEUX</t>
  </si>
  <si>
    <t>JEAN-MARC MORENTE</t>
  </si>
  <si>
    <t>STEPHANE FITOUSSI</t>
  </si>
  <si>
    <t>VIRGINIE USCLADE</t>
  </si>
  <si>
    <t>CEDRIC LAURANCY</t>
  </si>
  <si>
    <t>KADER SI-TAYEB</t>
  </si>
  <si>
    <t>CATHERINE RICARD</t>
  </si>
  <si>
    <t>VANESSA CAUCHIE</t>
  </si>
  <si>
    <t>CLAUDINE CARADONNA</t>
  </si>
  <si>
    <t>CAROLINE MEUNIER</t>
  </si>
  <si>
    <t>ISABELLE GUITTI</t>
  </si>
  <si>
    <t>DAVID MARTINOTTI</t>
  </si>
  <si>
    <t>IVAN MOSIC</t>
  </si>
  <si>
    <t>MARIJANA GOLUBOVIC</t>
  </si>
  <si>
    <t>IVANA KRSTIC</t>
  </si>
  <si>
    <t>LUIS CALLEJA</t>
  </si>
  <si>
    <t>JAIME LAQUIDAIN</t>
  </si>
  <si>
    <t>MIGUEL PENALBA</t>
  </si>
  <si>
    <t>DANIEL MARTIN</t>
  </si>
  <si>
    <t>INES RAQUEL PIATKOWSKA</t>
  </si>
  <si>
    <t>ALVARO PENALBA</t>
  </si>
  <si>
    <t>Konstantinos Kroupis</t>
  </si>
  <si>
    <t>XAVI MATEU</t>
  </si>
  <si>
    <t>DOVILE RUSONYTE</t>
  </si>
  <si>
    <t>ODETA DULIENE</t>
  </si>
  <si>
    <t>VIDAS MACYS</t>
  </si>
  <si>
    <t>05:59</t>
  </si>
  <si>
    <t>00:12</t>
  </si>
  <si>
    <t>The scouting and the cimmunication  are excellent. Regarding the concept of immediacy, a brief evaluation of the attacker’s options does not invalidate the action as an assist. Another matter would be if the attacker were faking and hesitating for three seconds. The defender never managed to establish a legal defensive position.In the other situation, if the player receives the ball without defense, the defender arrives late, the attacker fakes the shoot and takes one frontal or lateral dribble, we award an assist.</t>
  </si>
  <si>
    <t>C:\Users\xavi.mateu\OneDrive - EUROLEAGUE\Desktop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</si>
</sst>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5" fillId="3" borderId="18"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19" fillId="10" borderId="0" xfId="0" applyFont="1" applyFill="1" applyProtection="1">
      <protection hidden="1"/>
    </xf>
    <xf numFmtId="0" fontId="21" fillId="14" borderId="35" xfId="0" applyFont="1" applyFill="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2" fillId="15" borderId="35" xfId="0" applyFont="1" applyFill="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22" fillId="14" borderId="35" xfId="0" applyFont="1" applyFill="1" applyBorder="1" applyAlignment="1" applyProtection="1">
      <alignment horizontal="center" vertical="center"/>
      <protection hidden="1"/>
    </xf>
    <xf numFmtId="0" fontId="31" fillId="0" borderId="35" xfId="0" applyFont="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33"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wrapText="1"/>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8" fillId="0" borderId="0" xfId="0" applyFont="1" applyProtection="1">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 Id="rId14" Type="http://schemas.microsoft.com/office/2006/relationships/vbaProject" Target="vbaProject.bin"/></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K17" activePane="bottomRight" state="frozen"/>
      <selection pane="topRight" activeCell="H1" sqref="H1"/>
      <selection pane="bottomLeft" activeCell="A17" sqref="A17"/>
      <selection pane="bottomRight"/>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11</v>
      </c>
      <c r="D1" s="124" t="s">
        <v>749</v>
      </c>
      <c r="E1" s="125">
        <v>2025</v>
      </c>
      <c r="F1" s="120" t="str">
        <f>TEXT(C1,"00") &amp; "_" &amp; TEXT(C2,"000")&amp; "_" &amp; H4 &amp; "_" &amp; H5 &amp; "_" &amp; B2</f>
        <v>11_107_LKB_NIN_U2025</v>
      </c>
      <c r="G1" s="5"/>
      <c r="H1" s="5"/>
      <c r="I1" s="5"/>
      <c r="J1" s="8" t="s">
        <v>707</v>
      </c>
      <c r="K1" s="121" t="s">
        <v>742</v>
      </c>
      <c r="L1" s="121"/>
      <c r="M1" s="122" t="s">
        <v>239</v>
      </c>
      <c r="N1" s="121" t="s">
        <v>833</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U2025</v>
      </c>
      <c r="C2" s="123">
        <v>107</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77">
        <f ca="1">IF(ISERROR(VLOOKUP($B$2&amp;TEXT($C$2,"000"),GAMES!$A$3:$I$562,8,FALSE)),NOW(),VLOOKUP($B$2&amp;TEXT($C$2,"000"),GAMES!$A$3:$I$562,8,FALSE))</f>
        <v>46007.791666666664</v>
      </c>
      <c r="C3" s="178"/>
      <c r="D3" s="39">
        <v>584</v>
      </c>
      <c r="E3" s="29"/>
      <c r="F3" s="26">
        <f>SUBTOTAL(3,I17:I106)</f>
        <v>2</v>
      </c>
      <c r="G3" s="27">
        <f>IF(OR(D3="",D3=0),"",F3/D3)</f>
        <v>3.4246575342465752E-3</v>
      </c>
      <c r="H3" s="5"/>
      <c r="I3" s="5"/>
      <c r="J3" s="119" t="s">
        <v>715</v>
      </c>
      <c r="K3" s="54" t="str">
        <f>"N:\2024-2025 Season\Stats &amp; Systems\Stats\Estadisticas\Jornadas" &amp; "\EuroCup\Jornada01"</f>
        <v>N:\2024-2025 Season\Stats &amp; Systems\Stats\Estadisticas\Jornadas\EuroCup\Jornada01</v>
      </c>
      <c r="L3" s="5"/>
      <c r="M3" s="179" t="s">
        <v>163</v>
      </c>
      <c r="N3" s="180"/>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7" t="s">
        <v>86</v>
      </c>
      <c r="C4" s="168"/>
      <c r="D4" s="181" t="str">
        <f>IF(ISERROR(VLOOKUP(H4,Teams!$B$2:$C$44,2,FALSE)),"Local Team",VLOOKUP(H4,Teams!$B$2:$C$44,2,FALSE))</f>
        <v>Lietkabelis Panevezys</v>
      </c>
      <c r="E4" s="182"/>
      <c r="F4" s="182"/>
      <c r="G4" s="183"/>
      <c r="H4" s="118" t="str">
        <f>IF(ISERROR(VLOOKUP($B$2&amp;TEXT($C$2,"000"),GAMES!$A$3:$I$562,6,FALSE)),"LOC",VLOOKUP($B$2&amp;TEXT($C$2,"000"),GAMES!$A$3:$I$562,6,FALSE))</f>
        <v>LKB</v>
      </c>
      <c r="I4" s="5"/>
      <c r="J4" s="119" t="s">
        <v>714</v>
      </c>
      <c r="K4" s="54" t="s">
        <v>743</v>
      </c>
      <c r="L4" s="5"/>
      <c r="M4" s="185" t="s">
        <v>832</v>
      </c>
      <c r="N4" s="186"/>
      <c r="O4" s="2"/>
      <c r="P4" s="2"/>
      <c r="Q4" s="84" t="s">
        <v>175</v>
      </c>
      <c r="R4" s="94">
        <f>(IF(G3="",0,G3))</f>
        <v>3.4246575342465752E-3</v>
      </c>
      <c r="S4" s="61">
        <f>SUM(I13:M13)</f>
        <v>0</v>
      </c>
      <c r="T4" s="78"/>
      <c r="U4" s="61">
        <f>AC18</f>
        <v>1</v>
      </c>
      <c r="V4" s="61">
        <f>+AC22</f>
        <v>1</v>
      </c>
      <c r="W4" s="61">
        <f>AC24</f>
        <v>0</v>
      </c>
      <c r="X4" s="61">
        <f>AC29</f>
        <v>0</v>
      </c>
      <c r="Y4" s="61">
        <f>AC25</f>
        <v>0</v>
      </c>
      <c r="Z4" s="84">
        <f>AC23</f>
        <v>0</v>
      </c>
      <c r="AA4" s="61">
        <f>AC21</f>
        <v>0</v>
      </c>
      <c r="AB4" s="61">
        <f>AC27</f>
        <v>0</v>
      </c>
      <c r="AC4" s="61">
        <f>AC17</f>
        <v>0</v>
      </c>
      <c r="AD4" s="61">
        <f>AC20</f>
        <v>0</v>
      </c>
      <c r="AE4" s="61">
        <f>AC28</f>
        <v>0</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71" t="s">
        <v>87</v>
      </c>
      <c r="C5" s="184"/>
      <c r="D5" s="191" t="str">
        <f>IF(ISERROR(VLOOKUP(H5,Teams!$B$2:$C$44,2,FALSE)),"Visitor Team",VLOOKUP(H5,Teams!$B$2:$C$44,2,FALSE))</f>
        <v>NINERS Chemnitz</v>
      </c>
      <c r="E5" s="192"/>
      <c r="F5" s="192"/>
      <c r="G5" s="193"/>
      <c r="H5" s="118" t="str">
        <f>IF(ISERROR(VLOOKUP($B$2&amp;TEXT($C$2,"000"),GAMES!$A$3:$I$562,7,FALSE)),"VIS",VLOOKUP($B$2&amp;TEXT($C$2,"000"),GAMES!$A$3:$I$562,7,FALSE))</f>
        <v>NIN</v>
      </c>
      <c r="I5" s="5"/>
      <c r="J5" s="5"/>
      <c r="K5" s="5"/>
      <c r="L5" s="5"/>
      <c r="M5" s="187"/>
      <c r="N5" s="188"/>
      <c r="O5" s="2"/>
      <c r="P5" s="2"/>
      <c r="Q5" s="89" t="s">
        <v>174</v>
      </c>
      <c r="R5" s="94">
        <f>R4*R3</f>
        <v>0.34246575342465752</v>
      </c>
      <c r="S5" s="70">
        <f t="shared" ref="S5" si="0">S4*S3</f>
        <v>0</v>
      </c>
      <c r="T5" s="92"/>
      <c r="U5" s="70">
        <f t="shared" ref="U5:AG5" si="1">U4*U3</f>
        <v>0.5</v>
      </c>
      <c r="V5" s="70">
        <f t="shared" si="1"/>
        <v>1</v>
      </c>
      <c r="W5" s="70">
        <f t="shared" si="1"/>
        <v>0</v>
      </c>
      <c r="X5" s="70">
        <f t="shared" si="1"/>
        <v>0</v>
      </c>
      <c r="Y5" s="70">
        <f t="shared" si="1"/>
        <v>0</v>
      </c>
      <c r="Z5" s="89">
        <f t="shared" si="1"/>
        <v>0</v>
      </c>
      <c r="AA5" s="70">
        <f t="shared" si="1"/>
        <v>0</v>
      </c>
      <c r="AB5" s="70">
        <f t="shared" si="1"/>
        <v>0</v>
      </c>
      <c r="AC5" s="70">
        <f t="shared" si="1"/>
        <v>0</v>
      </c>
      <c r="AD5" s="70">
        <f t="shared" si="1"/>
        <v>0</v>
      </c>
      <c r="AE5" s="70">
        <f t="shared" si="1"/>
        <v>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7" t="s">
        <v>95</v>
      </c>
      <c r="C6" s="168"/>
      <c r="D6" s="158" t="s">
        <v>827</v>
      </c>
      <c r="E6" s="159"/>
      <c r="F6" s="159"/>
      <c r="G6" s="160"/>
      <c r="H6" s="5"/>
      <c r="I6" s="5"/>
      <c r="J6" s="5"/>
      <c r="K6" s="5"/>
      <c r="L6" s="2"/>
      <c r="M6" s="189"/>
      <c r="N6" s="190"/>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69" t="s">
        <v>96</v>
      </c>
      <c r="C7" s="170"/>
      <c r="D7" s="158" t="s">
        <v>799</v>
      </c>
      <c r="E7" s="159"/>
      <c r="F7" s="159"/>
      <c r="G7" s="160"/>
      <c r="H7" s="129" t="s">
        <v>709</v>
      </c>
      <c r="I7" s="129" t="s">
        <v>710</v>
      </c>
      <c r="J7" s="129" t="s">
        <v>711</v>
      </c>
      <c r="K7" s="129" t="s">
        <v>712</v>
      </c>
      <c r="L7" s="129" t="s">
        <v>713</v>
      </c>
      <c r="M7" s="58">
        <f>Q7</f>
        <v>1.8424657534246576</v>
      </c>
      <c r="N7" s="58"/>
      <c r="O7" s="2"/>
      <c r="P7" s="2"/>
      <c r="Q7" s="86">
        <f>SUM(R5,S5,AC16)</f>
        <v>1.8424657534246576</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71" t="s">
        <v>97</v>
      </c>
      <c r="C8" s="172"/>
      <c r="D8" s="161" t="s">
        <v>800</v>
      </c>
      <c r="E8" s="162"/>
      <c r="F8" s="162"/>
      <c r="G8" s="163"/>
      <c r="H8" s="129" t="s">
        <v>747</v>
      </c>
      <c r="I8" s="129" t="s">
        <v>747</v>
      </c>
      <c r="J8" s="129" t="s">
        <v>748</v>
      </c>
      <c r="K8" s="129" t="s">
        <v>744</v>
      </c>
      <c r="L8" s="129" t="s">
        <v>745</v>
      </c>
      <c r="M8" s="129" t="s">
        <v>108</v>
      </c>
      <c r="N8" s="2"/>
      <c r="O8" s="2"/>
      <c r="P8" s="2"/>
      <c r="Q8" s="85">
        <f>SUM(R5:BA5)</f>
        <v>1.8424657534246576</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7" t="s">
        <v>98</v>
      </c>
      <c r="C9" s="173"/>
      <c r="D9" s="158" t="s">
        <v>828</v>
      </c>
      <c r="E9" s="159"/>
      <c r="F9" s="159"/>
      <c r="G9" s="16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71" t="s">
        <v>99</v>
      </c>
      <c r="C10" s="172"/>
      <c r="D10" s="161" t="s">
        <v>829</v>
      </c>
      <c r="E10" s="162"/>
      <c r="F10" s="162"/>
      <c r="G10" s="16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56" t="s">
        <v>108</v>
      </c>
      <c r="C11" s="157"/>
      <c r="D11" s="174"/>
      <c r="E11" s="175"/>
      <c r="F11" s="175"/>
      <c r="G11" s="176"/>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U2025</v>
      </c>
      <c r="G12" s="50">
        <f>IF(I12="","",$C$2)</f>
        <v>107</v>
      </c>
      <c r="H12" s="40" t="str">
        <f>$I$10</f>
        <v>LOGISTICS</v>
      </c>
      <c r="I12" s="14" t="s">
        <v>17</v>
      </c>
      <c r="J12" s="15" t="s">
        <v>14</v>
      </c>
      <c r="K12" s="15" t="s">
        <v>70</v>
      </c>
      <c r="L12" s="15" t="s">
        <v>18</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0</v>
      </c>
      <c r="L13" s="5">
        <f>IF(ISERROR(VLOOKUP(L12,AV17:AW19,2,FALSE)),0,VLOOKUP(L12,AV17:AW19,2,FALSE))</f>
        <v>0</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56" t="s">
        <v>162</v>
      </c>
      <c r="C14" s="157"/>
      <c r="D14" s="164" t="s">
        <v>826</v>
      </c>
      <c r="E14" s="165"/>
      <c r="F14" s="165"/>
      <c r="G14" s="16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2</v>
      </c>
      <c r="J15" s="24">
        <f>SUBTOTAL(3,J17:J106)</f>
        <v>2</v>
      </c>
      <c r="K15" s="24">
        <f>SUBTOTAL(3,K17:K106)</f>
        <v>2</v>
      </c>
      <c r="L15" s="24">
        <f>SUBTOTAL(3,L17:L106)</f>
        <v>2</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0</v>
      </c>
      <c r="X16" s="67" t="s">
        <v>58</v>
      </c>
      <c r="Y16" s="75">
        <f>SUM(Y17:Y24)</f>
        <v>2</v>
      </c>
      <c r="Z16" s="90" t="s">
        <v>110</v>
      </c>
      <c r="AA16" s="75">
        <f>SUM(AA17:AA24)</f>
        <v>2</v>
      </c>
      <c r="AB16" s="76" t="s">
        <v>54</v>
      </c>
      <c r="AC16" s="75">
        <f>SUM(AC17*AD17,AC18*AD18,AC19*AD19,AC20*AD20,AC21*AD21,AC22*AD22,AC23*AD23,AC24*AD24,AC25*AD25,AC26*AD26,AC27*AD27,AC28*AD28,AC29*AD29,AC30*AD30,AC30*AD30,AC31*AD31,AC32*AD32,AC33*AD33,AC34*AD34,AC35*AD35,AC36*AD36)</f>
        <v>1.5</v>
      </c>
      <c r="AD16" s="75">
        <f>SUM(AD17:AD24)</f>
        <v>45</v>
      </c>
      <c r="AE16" s="76" t="s">
        <v>42</v>
      </c>
      <c r="AF16" s="75">
        <f>SUM(AF17:AF24)</f>
        <v>1</v>
      </c>
      <c r="AG16" s="75">
        <f>SUM(AG17:AG21)</f>
        <v>2</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0.5" x14ac:dyDescent="0.25">
      <c r="A17" s="20"/>
      <c r="B17" s="31" t="str">
        <f t="shared" ref="B17:B48" si="2">IF(C17="","",$B$2)</f>
        <v>U2025</v>
      </c>
      <c r="C17" s="31">
        <f t="shared" ref="C17:C48" si="3">IF(I17="","",$C$2)</f>
        <v>107</v>
      </c>
      <c r="D17" s="32" t="s">
        <v>830</v>
      </c>
      <c r="E17" s="33">
        <v>3</v>
      </c>
      <c r="F17" s="36">
        <v>42</v>
      </c>
      <c r="G17" s="36">
        <v>56</v>
      </c>
      <c r="H17" s="38" t="str">
        <f>IF(I17="","",$I$14)</f>
        <v>SCOUTING</v>
      </c>
      <c r="I17" s="34">
        <v>329</v>
      </c>
      <c r="J17" s="13" t="s">
        <v>4</v>
      </c>
      <c r="K17" s="13" t="s">
        <v>63</v>
      </c>
      <c r="L17" s="13" t="s">
        <v>6</v>
      </c>
      <c r="M17" s="13" t="s">
        <v>22</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2</v>
      </c>
      <c r="Z17" s="105" t="s">
        <v>63</v>
      </c>
      <c r="AA17" s="62">
        <f>COUNTIF($K$17:$K$106,Z17)</f>
        <v>1</v>
      </c>
      <c r="AB17" s="66" t="s">
        <v>19</v>
      </c>
      <c r="AC17" s="61">
        <f t="shared" ref="AC17:AC29" si="5">COUNTIF($L$17:$L$106,AB17)</f>
        <v>0</v>
      </c>
      <c r="AD17" s="61">
        <f t="shared" ref="AD17:AD25" si="6">P17</f>
        <v>10</v>
      </c>
      <c r="AE17" s="66" t="s">
        <v>11</v>
      </c>
      <c r="AF17" s="65">
        <f t="shared" ref="AF17:AF48" si="7">COUNTIF($M$17:$M$106,AE17)</f>
        <v>1</v>
      </c>
      <c r="AG17" s="62">
        <f>COUNTIF($E$17:$E$106,$AK17)</f>
        <v>0</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5" x14ac:dyDescent="0.25">
      <c r="A18" s="20"/>
      <c r="B18" s="31" t="str">
        <f t="shared" si="2"/>
        <v>U2025</v>
      </c>
      <c r="C18" s="31">
        <f t="shared" si="3"/>
        <v>107</v>
      </c>
      <c r="D18" s="32" t="s">
        <v>831</v>
      </c>
      <c r="E18" s="33">
        <v>3</v>
      </c>
      <c r="F18" s="36">
        <v>59</v>
      </c>
      <c r="G18" s="36">
        <v>68</v>
      </c>
      <c r="H18" s="38" t="str">
        <f t="shared" ref="H18:H81" si="8">IF(I18="","",$I$14)</f>
        <v>SCOUTING</v>
      </c>
      <c r="I18" s="34">
        <v>423</v>
      </c>
      <c r="J18" s="13" t="s">
        <v>4</v>
      </c>
      <c r="K18" s="13" t="s">
        <v>62</v>
      </c>
      <c r="L18" s="13" t="s">
        <v>5</v>
      </c>
      <c r="M18" s="13" t="s">
        <v>11</v>
      </c>
      <c r="N18" s="35"/>
      <c r="O18" s="5" t="s">
        <v>5</v>
      </c>
      <c r="P18" s="5">
        <v>0.5</v>
      </c>
      <c r="Q18" s="84">
        <f t="shared" si="4"/>
        <v>0</v>
      </c>
      <c r="R18" s="5" t="s">
        <v>171</v>
      </c>
      <c r="U18" s="66" t="s">
        <v>21</v>
      </c>
      <c r="V18" s="65">
        <f t="shared" ref="V18:V24" si="9">COUNTIF($M$17:$M$106,$U18)</f>
        <v>0</v>
      </c>
      <c r="W18" s="70"/>
      <c r="X18" s="79" t="s">
        <v>3</v>
      </c>
      <c r="Y18" s="62">
        <f>COUNTIF($J$17:$J$106,X18)</f>
        <v>0</v>
      </c>
      <c r="Z18" s="105" t="s">
        <v>62</v>
      </c>
      <c r="AA18" s="62">
        <f>COUNTIF($K$17:$K$106,Z18)</f>
        <v>1</v>
      </c>
      <c r="AB18" s="66" t="s">
        <v>5</v>
      </c>
      <c r="AC18" s="61">
        <f t="shared" si="5"/>
        <v>1</v>
      </c>
      <c r="AD18" s="61">
        <f t="shared" si="6"/>
        <v>0.5</v>
      </c>
      <c r="AE18" s="66" t="s">
        <v>12</v>
      </c>
      <c r="AF18" s="65">
        <f t="shared" si="7"/>
        <v>0</v>
      </c>
      <c r="AG18" s="62">
        <f>COUNTIF($E$17:$E$106,$AK18)</f>
        <v>0</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
      </c>
      <c r="C19" s="31" t="str">
        <f t="shared" si="3"/>
        <v/>
      </c>
      <c r="D19" s="32"/>
      <c r="E19" s="33"/>
      <c r="F19" s="36"/>
      <c r="G19" s="36"/>
      <c r="H19" s="38" t="str">
        <f t="shared" si="8"/>
        <v/>
      </c>
      <c r="I19" s="34"/>
      <c r="J19" s="13"/>
      <c r="K19" s="13"/>
      <c r="L19" s="13"/>
      <c r="M19" s="13"/>
      <c r="N19" s="35"/>
      <c r="O19" s="5" t="s">
        <v>76</v>
      </c>
      <c r="P19" s="5">
        <v>15</v>
      </c>
      <c r="Q19" s="84">
        <f t="shared" si="4"/>
        <v>0</v>
      </c>
      <c r="R19" s="5" t="s">
        <v>172</v>
      </c>
      <c r="U19" s="66" t="s">
        <v>8</v>
      </c>
      <c r="V19" s="65">
        <f t="shared" si="9"/>
        <v>0</v>
      </c>
      <c r="W19" s="75"/>
      <c r="X19" s="82"/>
      <c r="Y19" s="83"/>
      <c r="Z19" s="105" t="s">
        <v>61</v>
      </c>
      <c r="AA19" s="62">
        <f>COUNTIF($K$17:$K$106,Z19)</f>
        <v>0</v>
      </c>
      <c r="AB19" s="66" t="s">
        <v>76</v>
      </c>
      <c r="AC19" s="61">
        <f t="shared" si="5"/>
        <v>0</v>
      </c>
      <c r="AD19" s="61">
        <f t="shared" si="6"/>
        <v>15</v>
      </c>
      <c r="AE19" s="66" t="s">
        <v>19</v>
      </c>
      <c r="AF19" s="65">
        <f t="shared" si="7"/>
        <v>0</v>
      </c>
      <c r="AG19" s="62">
        <f>COUNTIF($E$17:$E$106,$AK19)</f>
        <v>2</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
      </c>
      <c r="C20" s="31" t="str">
        <f t="shared" si="3"/>
        <v/>
      </c>
      <c r="D20" s="32"/>
      <c r="E20" s="33"/>
      <c r="F20" s="36"/>
      <c r="G20" s="36"/>
      <c r="H20" s="38" t="str">
        <f t="shared" si="8"/>
        <v/>
      </c>
      <c r="I20" s="34"/>
      <c r="J20" s="13"/>
      <c r="K20" s="13"/>
      <c r="L20" s="13"/>
      <c r="M20" s="13"/>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0</v>
      </c>
      <c r="AG20" s="62">
        <f>COUNTIF($E$17:$E$106,$AK20)</f>
        <v>0</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
      </c>
      <c r="C21" s="31" t="str">
        <f t="shared" si="3"/>
        <v/>
      </c>
      <c r="D21" s="32"/>
      <c r="E21" s="33"/>
      <c r="F21" s="36"/>
      <c r="G21" s="36"/>
      <c r="H21" s="38" t="str">
        <f t="shared" si="8"/>
        <v/>
      </c>
      <c r="I21" s="34"/>
      <c r="J21" s="13"/>
      <c r="K21" s="13"/>
      <c r="L21" s="13"/>
      <c r="M21" s="13"/>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
      </c>
      <c r="C22" s="31" t="str">
        <f t="shared" si="3"/>
        <v/>
      </c>
      <c r="D22" s="32"/>
      <c r="E22" s="33"/>
      <c r="F22" s="36"/>
      <c r="G22" s="36"/>
      <c r="H22" s="38" t="str">
        <f t="shared" si="8"/>
        <v/>
      </c>
      <c r="I22" s="34"/>
      <c r="J22" s="13"/>
      <c r="K22" s="13"/>
      <c r="L22" s="13"/>
      <c r="M22" s="13"/>
      <c r="N22" s="35"/>
      <c r="O22" s="5" t="s">
        <v>6</v>
      </c>
      <c r="P22" s="5">
        <v>1</v>
      </c>
      <c r="Q22" s="84">
        <f t="shared" si="4"/>
        <v>0</v>
      </c>
      <c r="R22" s="5"/>
      <c r="U22" s="66" t="s">
        <v>32</v>
      </c>
      <c r="V22" s="65">
        <f t="shared" si="9"/>
        <v>0</v>
      </c>
      <c r="X22" s="82"/>
      <c r="Y22" s="83"/>
      <c r="Z22" s="105"/>
      <c r="AA22" s="65"/>
      <c r="AB22" s="66" t="s">
        <v>6</v>
      </c>
      <c r="AC22" s="61">
        <f t="shared" si="5"/>
        <v>1</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
      </c>
      <c r="C23" s="31" t="str">
        <f t="shared" si="3"/>
        <v/>
      </c>
      <c r="D23" s="32"/>
      <c r="E23" s="33"/>
      <c r="F23" s="36"/>
      <c r="G23" s="36"/>
      <c r="H23" s="38" t="str">
        <f t="shared" si="8"/>
        <v/>
      </c>
      <c r="I23" s="34"/>
      <c r="J23" s="13"/>
      <c r="K23" s="13"/>
      <c r="L23" s="13"/>
      <c r="M23" s="13"/>
      <c r="N23" s="35"/>
      <c r="O23" s="5" t="s">
        <v>7</v>
      </c>
      <c r="P23" s="5">
        <v>2.5</v>
      </c>
      <c r="Q23" s="84">
        <f t="shared" si="4"/>
        <v>0</v>
      </c>
      <c r="R23" s="5"/>
      <c r="U23" s="66" t="s">
        <v>33</v>
      </c>
      <c r="V23" s="65">
        <f t="shared" si="9"/>
        <v>0</v>
      </c>
      <c r="X23" s="82"/>
      <c r="Y23" s="83"/>
      <c r="Z23" s="105"/>
      <c r="AA23" s="65"/>
      <c r="AB23" s="66" t="s">
        <v>7</v>
      </c>
      <c r="AC23" s="61">
        <f t="shared" si="5"/>
        <v>0</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
      </c>
      <c r="C24" s="31" t="str">
        <f t="shared" si="3"/>
        <v/>
      </c>
      <c r="D24" s="32"/>
      <c r="E24" s="33"/>
      <c r="F24" s="36"/>
      <c r="G24" s="36"/>
      <c r="H24" s="38" t="str">
        <f t="shared" si="8"/>
        <v/>
      </c>
      <c r="I24" s="34"/>
      <c r="J24" s="13"/>
      <c r="K24" s="13"/>
      <c r="L24" s="13"/>
      <c r="M24" s="13"/>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0</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
      </c>
      <c r="C25" s="31" t="str">
        <f t="shared" si="3"/>
        <v/>
      </c>
      <c r="D25" s="32"/>
      <c r="E25" s="33"/>
      <c r="F25" s="36"/>
      <c r="G25" s="36"/>
      <c r="H25" s="38" t="str">
        <f t="shared" si="8"/>
        <v/>
      </c>
      <c r="I25" s="34"/>
      <c r="J25" s="13"/>
      <c r="K25" s="13"/>
      <c r="L25" s="13"/>
      <c r="M25" s="13"/>
      <c r="N25" s="35"/>
      <c r="O25" s="5" t="s">
        <v>48</v>
      </c>
      <c r="P25" s="5">
        <v>2</v>
      </c>
      <c r="Q25" s="84">
        <f t="shared" si="4"/>
        <v>0</v>
      </c>
      <c r="R25" s="5"/>
      <c r="U25" s="73"/>
      <c r="X25" s="82"/>
      <c r="Y25" s="83"/>
      <c r="Z25" s="105"/>
      <c r="AA25" s="65"/>
      <c r="AB25" s="66" t="s">
        <v>48</v>
      </c>
      <c r="AC25" s="61">
        <f t="shared" si="5"/>
        <v>0</v>
      </c>
      <c r="AD25" s="61">
        <f t="shared" si="6"/>
        <v>2</v>
      </c>
      <c r="AE25" s="66" t="s">
        <v>22</v>
      </c>
      <c r="AF25" s="65">
        <f t="shared" si="7"/>
        <v>1</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
      </c>
      <c r="C26" s="31" t="str">
        <f t="shared" si="3"/>
        <v/>
      </c>
      <c r="D26" s="32"/>
      <c r="E26" s="33"/>
      <c r="F26" s="36"/>
      <c r="G26" s="36"/>
      <c r="H26" s="38" t="str">
        <f t="shared" si="8"/>
        <v/>
      </c>
      <c r="I26" s="34"/>
      <c r="J26" s="13"/>
      <c r="K26" s="13"/>
      <c r="L26" s="13"/>
      <c r="M26" s="13"/>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
      </c>
      <c r="C27" s="31" t="str">
        <f t="shared" si="3"/>
        <v/>
      </c>
      <c r="D27" s="32"/>
      <c r="E27" s="33"/>
      <c r="F27" s="36"/>
      <c r="G27" s="36"/>
      <c r="H27" s="38" t="str">
        <f t="shared" si="8"/>
        <v/>
      </c>
      <c r="I27" s="34"/>
      <c r="J27" s="13"/>
      <c r="K27" s="13"/>
      <c r="L27" s="13"/>
      <c r="M27" s="13"/>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0</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0</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0</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0</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3:C3"/>
    <mergeCell ref="M3:N3"/>
    <mergeCell ref="D4:G4"/>
    <mergeCell ref="B4:C4"/>
    <mergeCell ref="B5:C5"/>
    <mergeCell ref="M4:N6"/>
    <mergeCell ref="D5:G5"/>
    <mergeCell ref="B14:C14"/>
    <mergeCell ref="D6:G6"/>
    <mergeCell ref="D7:G7"/>
    <mergeCell ref="D8:G8"/>
    <mergeCell ref="D9:G9"/>
    <mergeCell ref="D10:G10"/>
    <mergeCell ref="D14:G14"/>
    <mergeCell ref="B6:C6"/>
    <mergeCell ref="B7:C7"/>
    <mergeCell ref="B8:C8"/>
    <mergeCell ref="B9:C9"/>
    <mergeCell ref="B10:C10"/>
    <mergeCell ref="B11:C11"/>
    <mergeCell ref="D11:G11"/>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J19" sqref="J19:N1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t="s">
        <v>804</v>
      </c>
      <c r="E3" s="133" t="s">
        <v>805</v>
      </c>
      <c r="F3" s="133" t="s">
        <v>806</v>
      </c>
      <c r="G3" s="133" t="s">
        <v>807</v>
      </c>
      <c r="H3" s="133" t="s">
        <v>808</v>
      </c>
      <c r="I3" s="134" t="s">
        <v>809</v>
      </c>
      <c r="J3" s="135"/>
      <c r="K3" s="133"/>
      <c r="L3" s="133"/>
      <c r="M3" s="133"/>
      <c r="N3" s="134"/>
      <c r="O3" s="134"/>
    </row>
    <row r="4" spans="2:15" x14ac:dyDescent="0.25">
      <c r="B4" s="153" t="s">
        <v>178</v>
      </c>
      <c r="C4" s="150" t="s">
        <v>223</v>
      </c>
      <c r="D4" s="136" t="s">
        <v>765</v>
      </c>
      <c r="E4" s="137" t="s">
        <v>766</v>
      </c>
      <c r="F4" s="137" t="s">
        <v>767</v>
      </c>
      <c r="G4" s="137" t="s">
        <v>768</v>
      </c>
      <c r="H4" s="137" t="s">
        <v>769</v>
      </c>
      <c r="I4" s="138" t="s">
        <v>770</v>
      </c>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t="s">
        <v>788</v>
      </c>
      <c r="E6" s="137" t="s">
        <v>789</v>
      </c>
      <c r="F6" s="137" t="s">
        <v>790</v>
      </c>
      <c r="G6" s="137" t="s">
        <v>781</v>
      </c>
      <c r="H6" s="137" t="s">
        <v>780</v>
      </c>
      <c r="I6" s="138" t="s">
        <v>791</v>
      </c>
      <c r="J6" s="139"/>
      <c r="K6" s="137"/>
      <c r="L6" s="137"/>
      <c r="M6" s="137"/>
      <c r="N6" s="140"/>
      <c r="O6" s="138"/>
    </row>
    <row r="7" spans="2:15" x14ac:dyDescent="0.25">
      <c r="B7" s="153" t="s">
        <v>181</v>
      </c>
      <c r="C7" s="150" t="s">
        <v>226</v>
      </c>
      <c r="D7" s="136" t="s">
        <v>729</v>
      </c>
      <c r="E7" s="137" t="s">
        <v>755</v>
      </c>
      <c r="F7" s="137" t="s">
        <v>756</v>
      </c>
      <c r="G7" s="137" t="s">
        <v>757</v>
      </c>
      <c r="H7" s="137" t="s">
        <v>758</v>
      </c>
      <c r="I7" s="137" t="s">
        <v>825</v>
      </c>
      <c r="J7" s="139"/>
      <c r="K7" s="137"/>
      <c r="L7" s="137"/>
      <c r="M7" s="137"/>
      <c r="N7" s="140"/>
      <c r="O7" s="138"/>
    </row>
    <row r="8" spans="2:15" x14ac:dyDescent="0.25">
      <c r="B8" s="153" t="s">
        <v>182</v>
      </c>
      <c r="C8" s="150" t="s">
        <v>217</v>
      </c>
      <c r="D8" s="136" t="s">
        <v>735</v>
      </c>
      <c r="E8" s="137" t="s">
        <v>771</v>
      </c>
      <c r="F8" s="137" t="s">
        <v>772</v>
      </c>
      <c r="G8" s="137" t="s">
        <v>773</v>
      </c>
      <c r="H8" s="137" t="s">
        <v>774</v>
      </c>
      <c r="I8" s="138" t="s">
        <v>740</v>
      </c>
      <c r="J8" s="139" t="s">
        <v>717</v>
      </c>
      <c r="K8" s="137" t="s">
        <v>718</v>
      </c>
      <c r="L8" s="137" t="s">
        <v>719</v>
      </c>
      <c r="M8" s="137" t="s">
        <v>720</v>
      </c>
      <c r="N8" s="140" t="s">
        <v>721</v>
      </c>
      <c r="O8" s="138" t="s">
        <v>722</v>
      </c>
    </row>
    <row r="9" spans="2:15" x14ac:dyDescent="0.25">
      <c r="B9" s="153" t="s">
        <v>183</v>
      </c>
      <c r="C9" s="150" t="s">
        <v>233</v>
      </c>
      <c r="D9" s="136" t="s">
        <v>819</v>
      </c>
      <c r="E9" s="137" t="s">
        <v>820</v>
      </c>
      <c r="F9" s="137" t="s">
        <v>821</v>
      </c>
      <c r="G9" s="137" t="s">
        <v>822</v>
      </c>
      <c r="H9" s="137" t="s">
        <v>823</v>
      </c>
      <c r="I9" s="138" t="s">
        <v>824</v>
      </c>
      <c r="J9" s="139"/>
      <c r="K9" s="137"/>
      <c r="L9" s="137"/>
      <c r="M9" s="137"/>
      <c r="N9" s="140"/>
      <c r="O9" s="138"/>
    </row>
    <row r="10" spans="2:15" x14ac:dyDescent="0.25">
      <c r="B10" s="153" t="s">
        <v>184</v>
      </c>
      <c r="C10" s="150" t="s">
        <v>218</v>
      </c>
      <c r="D10" s="136" t="s">
        <v>810</v>
      </c>
      <c r="E10" s="137" t="s">
        <v>811</v>
      </c>
      <c r="F10" s="137" t="s">
        <v>812</v>
      </c>
      <c r="G10" s="137" t="s">
        <v>813</v>
      </c>
      <c r="H10" s="137" t="s">
        <v>814</v>
      </c>
      <c r="I10" s="138" t="s">
        <v>815</v>
      </c>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t="s">
        <v>759</v>
      </c>
      <c r="E13" s="137" t="s">
        <v>760</v>
      </c>
      <c r="F13" s="137" t="s">
        <v>761</v>
      </c>
      <c r="G13" s="137" t="s">
        <v>762</v>
      </c>
      <c r="H13" s="137" t="s">
        <v>763</v>
      </c>
      <c r="I13" s="138" t="s">
        <v>764</v>
      </c>
      <c r="J13" s="139"/>
      <c r="K13" s="137" t="s">
        <v>775</v>
      </c>
      <c r="L13" s="137"/>
      <c r="M13" s="137"/>
      <c r="N13" s="140"/>
      <c r="O13" s="138"/>
    </row>
    <row r="14" spans="2:15" x14ac:dyDescent="0.25">
      <c r="B14" s="153" t="s">
        <v>188</v>
      </c>
      <c r="C14" s="150" t="s">
        <v>234</v>
      </c>
      <c r="D14" s="136" t="s">
        <v>782</v>
      </c>
      <c r="E14" s="137" t="s">
        <v>783</v>
      </c>
      <c r="F14" s="137" t="s">
        <v>784</v>
      </c>
      <c r="G14" s="137" t="s">
        <v>785</v>
      </c>
      <c r="H14" s="137" t="s">
        <v>786</v>
      </c>
      <c r="I14" s="138" t="s">
        <v>787</v>
      </c>
      <c r="J14" s="139"/>
      <c r="K14" s="137" t="s">
        <v>776</v>
      </c>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t="s">
        <v>777</v>
      </c>
      <c r="L15" s="137"/>
      <c r="M15" s="137"/>
      <c r="N15" s="140"/>
      <c r="O15" s="138"/>
    </row>
    <row r="16" spans="2:15" x14ac:dyDescent="0.25">
      <c r="B16" s="153" t="s">
        <v>190</v>
      </c>
      <c r="C16" s="150" t="s">
        <v>232</v>
      </c>
      <c r="D16" s="136" t="s">
        <v>747</v>
      </c>
      <c r="E16" s="137" t="s">
        <v>746</v>
      </c>
      <c r="F16" s="137" t="s">
        <v>748</v>
      </c>
      <c r="G16" s="137" t="s">
        <v>744</v>
      </c>
      <c r="H16" s="137" t="s">
        <v>745</v>
      </c>
      <c r="I16" s="137" t="s">
        <v>781</v>
      </c>
      <c r="J16" s="139"/>
      <c r="K16" s="137" t="s">
        <v>778</v>
      </c>
      <c r="L16" s="137"/>
      <c r="M16" s="137"/>
      <c r="N16" s="140"/>
      <c r="O16" s="138"/>
    </row>
    <row r="17" spans="2:15" x14ac:dyDescent="0.25">
      <c r="B17" s="153" t="s">
        <v>191</v>
      </c>
      <c r="C17" s="150" t="s">
        <v>231</v>
      </c>
      <c r="D17" s="136" t="s">
        <v>750</v>
      </c>
      <c r="E17" s="137" t="s">
        <v>751</v>
      </c>
      <c r="F17" s="137" t="s">
        <v>752</v>
      </c>
      <c r="G17" s="137" t="s">
        <v>753</v>
      </c>
      <c r="H17" s="137" t="s">
        <v>754</v>
      </c>
      <c r="I17" s="138"/>
      <c r="J17" s="139"/>
      <c r="K17" s="137" t="s">
        <v>779</v>
      </c>
      <c r="L17" s="137"/>
      <c r="M17" s="137"/>
      <c r="N17" s="140"/>
      <c r="O17" s="138"/>
    </row>
    <row r="18" spans="2:15" x14ac:dyDescent="0.25">
      <c r="B18" s="153" t="s">
        <v>192</v>
      </c>
      <c r="C18" s="150" t="s">
        <v>220</v>
      </c>
      <c r="D18" s="136" t="s">
        <v>792</v>
      </c>
      <c r="E18" s="137" t="s">
        <v>793</v>
      </c>
      <c r="F18" s="137" t="s">
        <v>794</v>
      </c>
      <c r="G18" s="137" t="s">
        <v>795</v>
      </c>
      <c r="H18" s="137" t="s">
        <v>796</v>
      </c>
      <c r="I18" s="138" t="s">
        <v>797</v>
      </c>
      <c r="J18" s="139"/>
      <c r="K18" s="137"/>
      <c r="L18" s="137"/>
      <c r="M18" s="137"/>
      <c r="N18" s="140"/>
      <c r="O18" s="138"/>
    </row>
    <row r="19" spans="2:15" x14ac:dyDescent="0.25">
      <c r="B19" s="153" t="s">
        <v>193</v>
      </c>
      <c r="C19" s="150" t="s">
        <v>228</v>
      </c>
      <c r="D19" s="136" t="s">
        <v>816</v>
      </c>
      <c r="E19" s="137" t="s">
        <v>793</v>
      </c>
      <c r="F19" s="137" t="s">
        <v>817</v>
      </c>
      <c r="G19" s="137" t="s">
        <v>818</v>
      </c>
      <c r="H19" s="137" t="s">
        <v>796</v>
      </c>
      <c r="I19" s="138" t="s">
        <v>797</v>
      </c>
      <c r="J19" s="139" t="s">
        <v>775</v>
      </c>
      <c r="K19" s="137" t="s">
        <v>776</v>
      </c>
      <c r="L19" s="137" t="s">
        <v>777</v>
      </c>
      <c r="M19" s="137" t="s">
        <v>778</v>
      </c>
      <c r="N19" s="140" t="s">
        <v>779</v>
      </c>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t="s">
        <v>798</v>
      </c>
      <c r="E22" s="142" t="s">
        <v>799</v>
      </c>
      <c r="F22" s="142" t="s">
        <v>800</v>
      </c>
      <c r="G22" s="142" t="s">
        <v>801</v>
      </c>
      <c r="H22" s="142" t="s">
        <v>802</v>
      </c>
      <c r="I22" s="143" t="s">
        <v>803</v>
      </c>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REPORT_U2025107</v>
      </c>
    </row>
    <row r="2" spans="2:6" x14ac:dyDescent="0.25">
      <c r="F2" s="45" t="s">
        <v>157</v>
      </c>
    </row>
    <row r="3" spans="2:6" x14ac:dyDescent="0.25">
      <c r="B3" s="43" t="s">
        <v>156</v>
      </c>
      <c r="C3" s="43" t="str">
        <f>""""&amp;'SCOUT &amp; LOGISTICS'!B2&amp;TEXT('SCOUT &amp; LOGISTICS'!C2,"000")&amp;""""</f>
        <v>"U2025107"</v>
      </c>
      <c r="F3" s="45" t="str">
        <f t="shared" ref="F3:F16" si="0">""""&amp;B3&amp;"""" &amp; " : " &amp;C3&amp;","</f>
        <v>"name" : "U2025107",</v>
      </c>
    </row>
    <row r="4" spans="2:6" x14ac:dyDescent="0.25">
      <c r="B4" s="43" t="s">
        <v>119</v>
      </c>
      <c r="C4" s="43" t="str">
        <f>""""&amp;LEFT('SCOUT &amp; LOGISTICS'!B2,1) &amp; TEXT('SCOUT &amp; LOGISTICS'!C2,"000")&amp;""""</f>
        <v>"U107"</v>
      </c>
      <c r="F4" s="45" t="str">
        <f t="shared" si="0"/>
        <v>"cod" : "U107",</v>
      </c>
    </row>
    <row r="5" spans="2:6" x14ac:dyDescent="0.25">
      <c r="B5" s="43" t="s">
        <v>117</v>
      </c>
      <c r="C5" s="43" t="str">
        <f>""""&amp;LEFT('SCOUT &amp; LOGISTICS'!B2,1)&amp;""""</f>
        <v>"U"</v>
      </c>
      <c r="F5" s="45" t="str">
        <f t="shared" si="0"/>
        <v>"competition" : "U",</v>
      </c>
    </row>
    <row r="6" spans="2:6" x14ac:dyDescent="0.25">
      <c r="B6" s="43" t="s">
        <v>118</v>
      </c>
      <c r="C6" s="43" t="str">
        <f>TEXT('SCOUT &amp; LOGISTICS'!C2,"000")</f>
        <v>107</v>
      </c>
      <c r="F6" s="45" t="str">
        <f t="shared" si="0"/>
        <v>"number" : 107,</v>
      </c>
    </row>
    <row r="7" spans="2:6" x14ac:dyDescent="0.25">
      <c r="B7" s="43" t="s">
        <v>116</v>
      </c>
      <c r="C7" s="43" t="str">
        <f ca="1">""""&amp;TEXT('SCOUT &amp; LOGISTICS'!B3,"dd/mm/aaaa")&amp;""""</f>
        <v>"16/12/Tuesday"</v>
      </c>
      <c r="F7" s="45" t="str">
        <f t="shared" ca="1" si="0"/>
        <v>"date" : "16/12/Tuesday",</v>
      </c>
    </row>
    <row r="8" spans="2:6" x14ac:dyDescent="0.25">
      <c r="B8" s="43" t="s">
        <v>125</v>
      </c>
      <c r="C8" s="43" t="str">
        <f>""""&amp;'SCOUT &amp; LOGISTICS'!D4 &amp;""""</f>
        <v>"Lietkabelis Panevezys"</v>
      </c>
      <c r="F8" s="45" t="str">
        <f t="shared" si="0"/>
        <v>"home_team" : "Lietkabelis Panevezys",</v>
      </c>
    </row>
    <row r="9" spans="2:6" x14ac:dyDescent="0.25">
      <c r="B9" s="43" t="s">
        <v>126</v>
      </c>
      <c r="C9" s="43" t="str">
        <f>""""&amp;'SCOUT &amp; LOGISTICS'!D5&amp;""""</f>
        <v>"NINERS Chemnitz"</v>
      </c>
      <c r="F9" s="45" t="str">
        <f t="shared" si="0"/>
        <v>"away_team" : "NINERS Chemnitz",</v>
      </c>
    </row>
    <row r="10" spans="2:6" x14ac:dyDescent="0.25">
      <c r="B10" s="43" t="s">
        <v>127</v>
      </c>
      <c r="C10" s="43" t="str">
        <f>""""&amp;IF('SCOUT &amp; LOGISTICS'!D6="","",'SCOUT &amp; LOGISTICS'!D6)&amp;""""</f>
        <v>"DOVILE RUSONYTE"</v>
      </c>
      <c r="F10" s="45" t="str">
        <f t="shared" si="0"/>
        <v>"Data_entry" : "DOVILE RUSONYTE",</v>
      </c>
    </row>
    <row r="11" spans="2:6" x14ac:dyDescent="0.25">
      <c r="B11" s="43" t="s">
        <v>128</v>
      </c>
      <c r="C11" s="43" t="str">
        <f>""""&amp;IF('SCOUT &amp; LOGISTICS'!D7="","",'SCOUT &amp; LOGISTICS'!D7)&amp;""""</f>
        <v>"RASA KIZIKAITE"</v>
      </c>
      <c r="F11" s="45" t="str">
        <f t="shared" si="0"/>
        <v>"Caller_1" : "RASA KIZIKAITE",</v>
      </c>
    </row>
    <row r="12" spans="2:6" x14ac:dyDescent="0.25">
      <c r="B12" s="43" t="s">
        <v>129</v>
      </c>
      <c r="C12" s="43" t="str">
        <f>""""&amp;IF('SCOUT &amp; LOGISTICS'!D8="","",'SCOUT &amp; LOGISTICS'!D8)&amp;""""</f>
        <v>"AUKSE ZAKRIENE"</v>
      </c>
      <c r="F12" s="45" t="str">
        <f t="shared" si="0"/>
        <v>"Caller_2" : "AUKSE ZAKRIENE",</v>
      </c>
    </row>
    <row r="13" spans="2:6" x14ac:dyDescent="0.25">
      <c r="B13" s="43" t="s">
        <v>98</v>
      </c>
      <c r="C13" s="43" t="str">
        <f>""""&amp;IF('SCOUT &amp; LOGISTICS'!D9="","",'SCOUT &amp; LOGISTICS'!D9)&amp;""""</f>
        <v>"ODETA DULIENE"</v>
      </c>
      <c r="F13" s="45" t="str">
        <f t="shared" si="0"/>
        <v>"Timerkeeper" : "ODETA DULIENE",</v>
      </c>
    </row>
    <row r="14" spans="2:6" x14ac:dyDescent="0.25">
      <c r="B14" s="43" t="s">
        <v>99</v>
      </c>
      <c r="C14" s="43" t="str">
        <f>""""&amp;IF('SCOUT &amp; LOGISTICS'!D10="","",'SCOUT &amp; LOGISTICS'!D10)&amp;""""</f>
        <v>"VIDAS MACYS"</v>
      </c>
      <c r="F14" s="45" t="str">
        <f t="shared" si="0"/>
        <v>"Shotclock" : "VIDAS MACYS",</v>
      </c>
    </row>
    <row r="15" spans="2:6" x14ac:dyDescent="0.25">
      <c r="B15" s="43" t="s">
        <v>108</v>
      </c>
      <c r="C15" s="43" t="str">
        <f>""""&amp;IF('SCOUT &amp; LOGISTICS'!D11="","",'SCOUT &amp; LOGISTICS'!D11)&amp;""""</f>
        <v>""</v>
      </c>
      <c r="F15" s="45" t="str">
        <f t="shared" si="0"/>
        <v>"IRS" : "",</v>
      </c>
    </row>
    <row r="16" spans="2:6" x14ac:dyDescent="0.25">
      <c r="B16" s="43" t="s">
        <v>130</v>
      </c>
      <c r="C16" s="43" t="str">
        <f>""""&amp;IF('SCOUT &amp; LOGISTICS'!D14=0,"",'SCOUT &amp; LOGISTICS'!D14)&amp;""""</f>
        <v>"XAVI MATEU"</v>
      </c>
      <c r="F16" s="45" t="str">
        <f t="shared" si="0"/>
        <v>"Live_Game_Manager" : "XAVI MATEU",</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"GOOD"</v>
      </c>
      <c r="F20" s="45" t="str">
        <f>""""&amp;C20&amp;"""" &amp; " : " &amp;D20&amp;","</f>
        <v>"communication" : "GOOD",</v>
      </c>
    </row>
    <row r="21" spans="2:6" x14ac:dyDescent="0.25">
      <c r="C21" s="43" t="s">
        <v>123</v>
      </c>
      <c r="D21" s="43" t="str">
        <f>""""&amp;IF('SCOUT &amp; LOGISTICS'!L12="","",'SCOUT &amp; LOGISTICS'!L12)&amp;""""</f>
        <v>"FAST"</v>
      </c>
      <c r="F21" s="45" t="str">
        <f>""""&amp;C21&amp;"""" &amp; " : " &amp;D21&amp;","</f>
        <v>"corrections" : "FAST",</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584</v>
      </c>
      <c r="F25" s="45" t="str">
        <f t="shared" ref="F25:F48" si="1">""""&amp;C25&amp;"""" &amp; " : " &amp;D25&amp;","</f>
        <v>"total_actions" : 584,</v>
      </c>
    </row>
    <row r="26" spans="2:6" x14ac:dyDescent="0.25">
      <c r="C26" s="43" t="s">
        <v>132</v>
      </c>
      <c r="D26" s="43">
        <f>'SCOUT &amp; LOGISTICS'!F3</f>
        <v>2</v>
      </c>
      <c r="F26" s="45" t="str">
        <f t="shared" si="1"/>
        <v>"total_correcions" : 2,</v>
      </c>
    </row>
    <row r="27" spans="2:6" x14ac:dyDescent="0.25">
      <c r="C27" s="43" t="s">
        <v>133</v>
      </c>
      <c r="D27" s="43" t="str">
        <f>""""&amp;IF(OR(D25="",D25=0),"",TEXT(D26/D25,"0,0%"))&amp;""""</f>
        <v>"00%"</v>
      </c>
      <c r="F27" s="45" t="str">
        <f t="shared" si="1"/>
        <v>"%_corrections" : "00%",</v>
      </c>
    </row>
    <row r="28" spans="2:6" x14ac:dyDescent="0.25">
      <c r="C28" s="43" t="s">
        <v>125</v>
      </c>
      <c r="D28" s="43">
        <f>IF('SCOUT &amp; LOGISTICS'!AA17="","",'SCOUT &amp; LOGISTICS'!AA17)</f>
        <v>1</v>
      </c>
      <c r="F28" s="45" t="str">
        <f t="shared" si="1"/>
        <v>"home_team" : 1,</v>
      </c>
    </row>
    <row r="29" spans="2:6" x14ac:dyDescent="0.25">
      <c r="C29" s="43" t="s">
        <v>134</v>
      </c>
      <c r="D29" s="43">
        <f>IF('SCOUT &amp; LOGISTICS'!AA18="","",'SCOUT &amp; LOGISTICS'!AA18)</f>
        <v>1</v>
      </c>
      <c r="F29" s="45" t="str">
        <f t="shared" si="1"/>
        <v>"no_team" : 1,</v>
      </c>
    </row>
    <row r="30" spans="2:6" x14ac:dyDescent="0.25">
      <c r="C30" s="43" t="s">
        <v>126</v>
      </c>
      <c r="D30" s="43">
        <f>IF('SCOUT &amp; LOGISTICS'!AA19="","",'SCOUT &amp; LOGISTICS'!AA19)</f>
        <v>0</v>
      </c>
      <c r="F30" s="45" t="str">
        <f t="shared" si="1"/>
        <v>"away_team" : 0,</v>
      </c>
    </row>
    <row r="31" spans="2:6" x14ac:dyDescent="0.25">
      <c r="C31" s="43" t="s">
        <v>135</v>
      </c>
      <c r="D31" s="43">
        <f>'SCOUT &amp; LOGISTICS'!AG17</f>
        <v>0</v>
      </c>
      <c r="F31" s="45" t="str">
        <f t="shared" si="1"/>
        <v>"q1" : 0,</v>
      </c>
    </row>
    <row r="32" spans="2:6" x14ac:dyDescent="0.25">
      <c r="C32" s="43" t="s">
        <v>136</v>
      </c>
      <c r="D32" s="43">
        <f>'SCOUT &amp; LOGISTICS'!AG18</f>
        <v>0</v>
      </c>
      <c r="F32" s="45" t="str">
        <f t="shared" si="1"/>
        <v>"q2" : 0,</v>
      </c>
    </row>
    <row r="33" spans="3:6" x14ac:dyDescent="0.25">
      <c r="C33" s="43" t="s">
        <v>137</v>
      </c>
      <c r="D33" s="43">
        <f>'SCOUT &amp; LOGISTICS'!AG19</f>
        <v>2</v>
      </c>
      <c r="F33" s="45" t="str">
        <f t="shared" si="1"/>
        <v>"q3" : 2,</v>
      </c>
    </row>
    <row r="34" spans="3:6" x14ac:dyDescent="0.25">
      <c r="C34" s="43" t="s">
        <v>138</v>
      </c>
      <c r="D34" s="43">
        <f>'SCOUT &amp; LOGISTICS'!AG20</f>
        <v>0</v>
      </c>
      <c r="F34" s="45" t="str">
        <f t="shared" si="1"/>
        <v>"q4" : 0,</v>
      </c>
    </row>
    <row r="35" spans="3:6" x14ac:dyDescent="0.25">
      <c r="C35" s="43" t="s">
        <v>59</v>
      </c>
      <c r="D35" s="43">
        <f>'SCOUT &amp; LOGISTICS'!AG21</f>
        <v>0</v>
      </c>
      <c r="F35" s="45" t="str">
        <f t="shared" si="1"/>
        <v>"et" : 0,</v>
      </c>
    </row>
    <row r="36" spans="3:6" x14ac:dyDescent="0.25">
      <c r="C36" s="43" t="s">
        <v>139</v>
      </c>
      <c r="D36" s="43">
        <f>'SCOUT &amp; LOGISTICS'!Y18</f>
        <v>0</v>
      </c>
      <c r="F36" s="45" t="str">
        <f t="shared" si="1"/>
        <v>"boxscore_corrections" : 0,</v>
      </c>
    </row>
    <row r="37" spans="3:6" x14ac:dyDescent="0.25">
      <c r="C37" s="43" t="s">
        <v>140</v>
      </c>
      <c r="D37" s="43">
        <f>'SCOUT &amp; LOGISTICS'!Y16</f>
        <v>2</v>
      </c>
      <c r="F37" s="45" t="str">
        <f t="shared" si="1"/>
        <v>"scoresheet_corrections" : 2,</v>
      </c>
    </row>
    <row r="38" spans="3:6" x14ac:dyDescent="0.25">
      <c r="C38" s="43" t="s">
        <v>141</v>
      </c>
      <c r="D38" s="43">
        <f>'SCOUT &amp; LOGISTICS'!AC17</f>
        <v>0</v>
      </c>
      <c r="F38" s="45" t="str">
        <f t="shared" si="1"/>
        <v>"criteria" : 0,</v>
      </c>
    </row>
    <row r="39" spans="3:6" x14ac:dyDescent="0.25">
      <c r="C39" s="43" t="s">
        <v>142</v>
      </c>
      <c r="D39" s="43">
        <f>'SCOUT &amp; LOGISTICS'!AC18</f>
        <v>1</v>
      </c>
      <c r="F39" s="45" t="str">
        <f t="shared" si="1"/>
        <v>"missidentity" : 1,</v>
      </c>
    </row>
    <row r="40" spans="3:6" x14ac:dyDescent="0.25">
      <c r="C40" s="43" t="s">
        <v>143</v>
      </c>
      <c r="D40" s="43">
        <f>'SCOUT &amp; LOGISTICS'!AC19</f>
        <v>0</v>
      </c>
      <c r="F40" s="45" t="str">
        <f t="shared" si="1"/>
        <v>"missing" : 0,</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0</v>
      </c>
      <c r="F46" s="45" t="str">
        <f t="shared" si="1"/>
        <v>"part_of_a_sequence" : 0,</v>
      </c>
    </row>
    <row r="47" spans="3:6" x14ac:dyDescent="0.25">
      <c r="C47" s="43" t="s">
        <v>149</v>
      </c>
      <c r="D47" s="43">
        <f>'SCOUT &amp; LOGISTICS'!AF39</f>
        <v>0</v>
      </c>
      <c r="F47" s="45" t="str">
        <f t="shared" si="1"/>
        <v>"time_out" : 0,</v>
      </c>
    </row>
    <row r="48" spans="3:6" x14ac:dyDescent="0.25">
      <c r="C48" s="43" t="s">
        <v>150</v>
      </c>
      <c r="D48" s="43">
        <f>'SCOUT &amp; LOGISTICS'!V16</f>
        <v>0</v>
      </c>
      <c r="F48" s="45" t="str">
        <f t="shared" si="1"/>
        <v>"fouls" : 0,</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"The scouting and the cimmunication  are excellent. Regarding the concept of immediacy, a brief evaluation of the attacker’s options does not invalidate the action as an assist. Another matter would be if the attacker were faking and hesitating for three seconds. The defender never managed to establish a legal defensive position.In the other situation, if the player receives the ball without defense, the defender arrives late, the attacker fakes the shoot and takes one frontal or lateral dribble, we award an assist."</v>
      </c>
      <c r="F51" s="45" t="str">
        <f>""""&amp;B51&amp;"""" &amp; " : " &amp;C51&amp;","</f>
        <v>"comments" : "The scouting and the cimmunication  are excellent. Regarding the concept of immediacy, a brief evaluation of the attacker’s options does not invalidate the action as an assist. Another matter would be if the attacker were faking and hesitating for three seconds. The defender never managed to establish a legal defensive position.In the other situation, if the player receives the ball without defense, the defender arrives late, the attacker fakes the shoot and takes one frontal or lateral dribble, we award an assist.",</v>
      </c>
    </row>
    <row r="52" spans="2:6" x14ac:dyDescent="0.25">
      <c r="B52" s="43" t="s">
        <v>153</v>
      </c>
      <c r="C52" s="43" t="str">
        <f>TEXT('SCOUT &amp; LOGISTICS'!F1,"0,0")</f>
        <v>11_107_LKB_NIN_U2025</v>
      </c>
      <c r="F52" s="45" t="str">
        <f>""""&amp;B52&amp;"""" &amp; " : " &amp;C52</f>
        <v>"result" : 11_107_LKB_NIN_U2025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5" zeroHeight="1" x14ac:dyDescent="0.2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25"/>
    <row r="2" spans="1:33" ht="42.65" customHeight="1" thickBot="1" x14ac:dyDescent="0.3">
      <c r="A2" s="48"/>
      <c r="B2" s="208" t="s">
        <v>708</v>
      </c>
      <c r="C2" s="208"/>
      <c r="D2" s="208"/>
      <c r="E2" s="208"/>
      <c r="F2" s="208"/>
      <c r="G2" s="208"/>
      <c r="H2" s="208"/>
      <c r="I2" s="208"/>
      <c r="J2" s="208"/>
      <c r="K2" s="208"/>
      <c r="L2" s="208"/>
      <c r="M2" s="208"/>
      <c r="N2" s="208"/>
      <c r="O2" s="208"/>
      <c r="P2" s="208"/>
      <c r="Q2" s="208"/>
      <c r="R2" s="208"/>
      <c r="S2" s="208"/>
      <c r="T2" s="208"/>
      <c r="U2" s="208"/>
      <c r="V2" s="208"/>
      <c r="W2" s="208"/>
      <c r="X2" s="208"/>
      <c r="Y2" s="208"/>
      <c r="Z2" s="208"/>
      <c r="AA2" s="208"/>
      <c r="AB2" s="208"/>
      <c r="AC2" s="208"/>
      <c r="AD2" s="208"/>
      <c r="AE2" s="208"/>
      <c r="AF2" s="48"/>
    </row>
    <row r="3" spans="1:33" ht="27" customHeight="1" thickBot="1" x14ac:dyDescent="0.3">
      <c r="A3" s="48"/>
      <c r="B3" s="202" t="str">
        <f>"GAME: "&amp; LEFT('SCOUT &amp; LOGISTICS'!B2,1) &amp; TEXT('SCOUT &amp; LOGISTICS'!C2,"000") &amp; " " &amp; IF(LEFT('SCOUT &amp; LOGISTICS'!B2,1)="U","(EUROCUP)","(EUROLEAGUE)")</f>
        <v>GAME: U107 (EUROCUP)</v>
      </c>
      <c r="C3" s="202"/>
      <c r="D3" s="202"/>
      <c r="E3" s="202"/>
      <c r="F3" s="202"/>
      <c r="G3" s="202"/>
      <c r="H3" s="202"/>
      <c r="I3" s="202"/>
      <c r="J3" s="202"/>
      <c r="K3" s="202"/>
      <c r="L3" s="202"/>
      <c r="M3" s="202"/>
      <c r="N3" s="202"/>
      <c r="O3" s="202"/>
      <c r="P3" s="202"/>
      <c r="Q3" s="202"/>
      <c r="R3" s="202"/>
      <c r="S3" s="202"/>
      <c r="T3" s="202"/>
      <c r="U3" s="202"/>
      <c r="V3" s="202"/>
      <c r="W3" s="202"/>
      <c r="X3" s="202"/>
      <c r="Y3" s="202"/>
      <c r="Z3" s="202"/>
      <c r="AA3" s="202"/>
      <c r="AB3" s="202"/>
      <c r="AC3" s="202"/>
      <c r="AD3" s="202"/>
      <c r="AE3" s="202"/>
      <c r="AF3" s="48"/>
    </row>
    <row r="4" spans="1:33" ht="14.25" customHeight="1" thickBot="1" x14ac:dyDescent="0.3">
      <c r="A4" s="48"/>
      <c r="B4" s="200" t="str">
        <f ca="1">"DATE: " &amp; TEXT('SCOUT &amp; LOGISTICS'!B3,"dd/mm")</f>
        <v>DATE: 16/12</v>
      </c>
      <c r="C4" s="200"/>
      <c r="D4" s="200"/>
      <c r="E4" s="200"/>
      <c r="F4" s="200"/>
      <c r="G4" s="200"/>
      <c r="H4" s="200"/>
      <c r="I4" s="200"/>
      <c r="J4" s="200"/>
      <c r="K4" s="200"/>
      <c r="L4" s="200"/>
      <c r="M4" s="200"/>
      <c r="N4" s="200"/>
      <c r="O4" s="200"/>
      <c r="P4" s="200"/>
      <c r="Q4" s="200"/>
      <c r="R4" s="200"/>
      <c r="S4" s="200"/>
      <c r="T4" s="200"/>
      <c r="U4" s="200"/>
      <c r="V4" s="200"/>
      <c r="W4" s="200"/>
      <c r="X4" s="200"/>
      <c r="Y4" s="200"/>
      <c r="Z4" s="200"/>
      <c r="AA4" s="200"/>
      <c r="AB4" s="200"/>
      <c r="AC4" s="200"/>
      <c r="AD4" s="200"/>
      <c r="AE4" s="200"/>
      <c r="AF4" s="48"/>
    </row>
    <row r="5" spans="1:33" ht="20.149999999999999" customHeight="1" thickBot="1" x14ac:dyDescent="0.3">
      <c r="A5" s="48"/>
      <c r="B5" s="204" t="s">
        <v>62</v>
      </c>
      <c r="C5" s="204"/>
      <c r="D5" s="204"/>
      <c r="E5" s="204"/>
      <c r="F5" s="204"/>
      <c r="G5" s="204"/>
      <c r="H5" s="204"/>
      <c r="I5" s="204"/>
      <c r="J5" s="204"/>
      <c r="K5" s="204"/>
      <c r="L5" s="204"/>
      <c r="M5" s="204"/>
      <c r="N5" s="204"/>
      <c r="O5" s="204"/>
      <c r="P5" s="204"/>
      <c r="Q5" s="204" t="s">
        <v>63</v>
      </c>
      <c r="R5" s="204"/>
      <c r="S5" s="204"/>
      <c r="T5" s="204"/>
      <c r="U5" s="204"/>
      <c r="V5" s="204"/>
      <c r="W5" s="204"/>
      <c r="X5" s="204"/>
      <c r="Y5" s="204"/>
      <c r="Z5" s="204"/>
      <c r="AA5" s="204"/>
      <c r="AB5" s="204"/>
      <c r="AC5" s="204"/>
      <c r="AD5" s="204"/>
      <c r="AE5" s="204"/>
      <c r="AF5" s="48"/>
    </row>
    <row r="6" spans="1:33" ht="23.15" customHeight="1" thickBot="1" x14ac:dyDescent="0.3">
      <c r="A6" s="48"/>
      <c r="B6" s="197" t="str">
        <f>PROPER('SCOUT &amp; LOGISTICS'!D4)</f>
        <v>Lietkabelis Panevezys</v>
      </c>
      <c r="C6" s="197"/>
      <c r="D6" s="197"/>
      <c r="E6" s="197"/>
      <c r="F6" s="197"/>
      <c r="G6" s="197"/>
      <c r="H6" s="197"/>
      <c r="I6" s="197"/>
      <c r="J6" s="197"/>
      <c r="K6" s="197"/>
      <c r="L6" s="197"/>
      <c r="M6" s="197"/>
      <c r="N6" s="197"/>
      <c r="O6" s="197"/>
      <c r="P6" s="197"/>
      <c r="Q6" s="197" t="str">
        <f>PROPER('SCOUT &amp; LOGISTICS'!D5)</f>
        <v>Niners Chemnitz</v>
      </c>
      <c r="R6" s="197"/>
      <c r="S6" s="197"/>
      <c r="T6" s="197"/>
      <c r="U6" s="197"/>
      <c r="V6" s="197"/>
      <c r="W6" s="197"/>
      <c r="X6" s="197"/>
      <c r="Y6" s="197"/>
      <c r="Z6" s="197"/>
      <c r="AA6" s="197"/>
      <c r="AB6" s="197"/>
      <c r="AC6" s="197"/>
      <c r="AD6" s="197"/>
      <c r="AE6" s="197"/>
      <c r="AF6" s="48"/>
    </row>
    <row r="7" spans="1:33" ht="19.5" customHeight="1" thickBot="1" x14ac:dyDescent="0.3">
      <c r="A7" s="48"/>
      <c r="B7" s="203" t="str">
        <f>'SCOUT &amp; LOGISTICS'!B6</f>
        <v>Data entry</v>
      </c>
      <c r="C7" s="203"/>
      <c r="D7" s="203"/>
      <c r="E7" s="203"/>
      <c r="F7" s="203"/>
      <c r="G7" s="203" t="str">
        <f>'SCOUT &amp; LOGISTICS'!B7</f>
        <v>Caller 1</v>
      </c>
      <c r="H7" s="203"/>
      <c r="I7" s="203"/>
      <c r="J7" s="203"/>
      <c r="K7" s="203"/>
      <c r="L7" s="203" t="str">
        <f>'SCOUT &amp; LOGISTICS'!B8</f>
        <v>Caller 2</v>
      </c>
      <c r="M7" s="203"/>
      <c r="N7" s="203"/>
      <c r="O7" s="203"/>
      <c r="P7" s="203"/>
      <c r="Q7" s="203" t="str">
        <f>'SCOUT &amp; LOGISTICS'!B9</f>
        <v>Timerkeeper</v>
      </c>
      <c r="R7" s="203"/>
      <c r="S7" s="203"/>
      <c r="T7" s="203"/>
      <c r="U7" s="203"/>
      <c r="V7" s="203" t="str">
        <f>'SCOUT &amp; LOGISTICS'!B10</f>
        <v>Shotclock</v>
      </c>
      <c r="W7" s="203"/>
      <c r="X7" s="203"/>
      <c r="Y7" s="203"/>
      <c r="Z7" s="203"/>
      <c r="AA7" s="203" t="str">
        <f>'SCOUT &amp; LOGISTICS'!B11</f>
        <v>IRS</v>
      </c>
      <c r="AB7" s="203"/>
      <c r="AC7" s="203"/>
      <c r="AD7" s="203"/>
      <c r="AE7" s="203"/>
      <c r="AF7" s="48"/>
    </row>
    <row r="8" spans="1:33" ht="36" customHeight="1" thickBot="1" x14ac:dyDescent="0.3">
      <c r="A8" s="48"/>
      <c r="B8" s="201" t="str">
        <f>IF('SCOUT &amp; LOGISTICS'!D6="","",'SCOUT &amp; LOGISTICS'!D6)</f>
        <v>DOVILE RUSONYTE</v>
      </c>
      <c r="C8" s="201"/>
      <c r="D8" s="201"/>
      <c r="E8" s="201"/>
      <c r="F8" s="201"/>
      <c r="G8" s="201" t="str">
        <f>IF('SCOUT &amp; LOGISTICS'!D7="","",'SCOUT &amp; LOGISTICS'!D7)</f>
        <v>RASA KIZIKAITE</v>
      </c>
      <c r="H8" s="201"/>
      <c r="I8" s="201"/>
      <c r="J8" s="201"/>
      <c r="K8" s="201"/>
      <c r="L8" s="201" t="str">
        <f>IF('SCOUT &amp; LOGISTICS'!D8="","",'SCOUT &amp; LOGISTICS'!D8)</f>
        <v>AUKSE ZAKRIENE</v>
      </c>
      <c r="M8" s="201"/>
      <c r="N8" s="201"/>
      <c r="O8" s="201"/>
      <c r="P8" s="201"/>
      <c r="Q8" s="201" t="str">
        <f>IF('SCOUT &amp; LOGISTICS'!D9="","",'SCOUT &amp; LOGISTICS'!D9)</f>
        <v>ODETA DULIENE</v>
      </c>
      <c r="R8" s="201"/>
      <c r="S8" s="201"/>
      <c r="T8" s="201"/>
      <c r="U8" s="201"/>
      <c r="V8" s="201" t="str">
        <f>IF('SCOUT &amp; LOGISTICS'!D10="","",'SCOUT &amp; LOGISTICS'!D10)</f>
        <v>VIDAS MACYS</v>
      </c>
      <c r="W8" s="201"/>
      <c r="X8" s="201"/>
      <c r="Y8" s="201"/>
      <c r="Z8" s="201"/>
      <c r="AA8" s="201" t="str">
        <f>IF('SCOUT &amp; LOGISTICS'!D11="","",'SCOUT &amp; LOGISTICS'!D11)</f>
        <v/>
      </c>
      <c r="AB8" s="201"/>
      <c r="AC8" s="201"/>
      <c r="AD8" s="201"/>
      <c r="AE8" s="201"/>
      <c r="AF8" s="48"/>
    </row>
    <row r="9" spans="1:33" ht="13" thickBot="1" x14ac:dyDescent="0.3">
      <c r="A9" s="48"/>
      <c r="B9" s="209" t="str">
        <f>IF(OR('SCOUT &amp; LOGISTICS'!D14="",'SCOUT &amp; LOGISTICS'!D14=0),"",'SCOUT &amp; LOGISTICS'!B14 &amp; ": " &amp; 'SCOUT &amp; LOGISTICS'!D14) &amp; "     "</f>
        <v xml:space="preserve">L G M: : XAVI MATEU     </v>
      </c>
      <c r="C9" s="209"/>
      <c r="D9" s="209"/>
      <c r="E9" s="209"/>
      <c r="F9" s="209"/>
      <c r="G9" s="209"/>
      <c r="H9" s="209"/>
      <c r="I9" s="209"/>
      <c r="J9" s="209"/>
      <c r="K9" s="209"/>
      <c r="L9" s="209"/>
      <c r="M9" s="209"/>
      <c r="N9" s="209"/>
      <c r="O9" s="209"/>
      <c r="P9" s="209"/>
      <c r="Q9" s="209"/>
      <c r="R9" s="209"/>
      <c r="S9" s="209"/>
      <c r="T9" s="209"/>
      <c r="U9" s="209"/>
      <c r="V9" s="209"/>
      <c r="W9" s="209"/>
      <c r="X9" s="209"/>
      <c r="Y9" s="209"/>
      <c r="Z9" s="209"/>
      <c r="AA9" s="209"/>
      <c r="AB9" s="209"/>
      <c r="AC9" s="209"/>
      <c r="AD9" s="209"/>
      <c r="AE9" s="209"/>
      <c r="AF9" s="48"/>
    </row>
    <row r="10" spans="1:33" s="48" customFormat="1" ht="13" thickBot="1" x14ac:dyDescent="0.3">
      <c r="B10" s="196"/>
      <c r="C10" s="196"/>
      <c r="D10" s="196"/>
      <c r="E10" s="196"/>
      <c r="F10" s="196"/>
      <c r="G10" s="196"/>
      <c r="H10" s="196"/>
      <c r="I10" s="196"/>
      <c r="J10" s="196"/>
      <c r="K10" s="196"/>
      <c r="L10" s="196"/>
      <c r="M10" s="196"/>
      <c r="N10" s="196"/>
      <c r="O10" s="196"/>
      <c r="P10" s="196"/>
      <c r="Q10" s="196"/>
      <c r="R10" s="196"/>
      <c r="S10" s="196"/>
      <c r="T10" s="196"/>
      <c r="U10" s="196"/>
      <c r="V10" s="196"/>
      <c r="W10" s="196"/>
      <c r="X10" s="196"/>
      <c r="Y10" s="196"/>
      <c r="Z10" s="196"/>
      <c r="AA10" s="196"/>
      <c r="AB10" s="196"/>
      <c r="AC10" s="196"/>
      <c r="AD10" s="196"/>
      <c r="AE10" s="196"/>
    </row>
    <row r="11" spans="1:33" ht="20.149999999999999" customHeight="1" thickBot="1" x14ac:dyDescent="0.3">
      <c r="A11" s="48"/>
      <c r="B11" s="200" t="s">
        <v>13</v>
      </c>
      <c r="C11" s="200"/>
      <c r="D11" s="200"/>
      <c r="E11" s="200"/>
      <c r="F11" s="200"/>
      <c r="G11" s="200"/>
      <c r="H11" s="200"/>
      <c r="I11" s="200"/>
      <c r="J11" s="200"/>
      <c r="K11" s="200"/>
      <c r="L11" s="200"/>
      <c r="M11" s="200"/>
      <c r="N11" s="200"/>
      <c r="O11" s="200"/>
      <c r="P11" s="200"/>
      <c r="Q11" s="200"/>
      <c r="R11" s="200"/>
      <c r="S11" s="200"/>
      <c r="T11" s="200"/>
      <c r="U11" s="200"/>
      <c r="V11" s="200"/>
      <c r="W11" s="200"/>
      <c r="X11" s="200"/>
      <c r="Y11" s="200"/>
      <c r="Z11" s="200"/>
      <c r="AA11" s="200"/>
      <c r="AB11" s="200"/>
      <c r="AC11" s="200"/>
      <c r="AD11" s="200"/>
      <c r="AE11" s="200"/>
      <c r="AF11" s="48"/>
    </row>
    <row r="12" spans="1:33" ht="21" customHeight="1" thickBot="1" x14ac:dyDescent="0.3">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3">
      <c r="A13" s="48"/>
      <c r="B13" s="205" t="str">
        <f>IF('SCOUT &amp; LOGISTICS'!I12="","",'SCOUT &amp; LOGISTICS'!I12)</f>
        <v>OK</v>
      </c>
      <c r="C13" s="205"/>
      <c r="D13" s="205"/>
      <c r="E13" s="205"/>
      <c r="F13" s="205"/>
      <c r="G13" s="205"/>
      <c r="H13" s="205" t="str">
        <f>IF('SCOUT &amp; LOGISTICS'!J12="","",'SCOUT &amp; LOGISTICS'!J12)</f>
        <v>YES</v>
      </c>
      <c r="I13" s="205"/>
      <c r="J13" s="205"/>
      <c r="K13" s="205"/>
      <c r="L13" s="205"/>
      <c r="M13" s="205"/>
      <c r="N13" s="205" t="str">
        <f>IF('SCOUT &amp; LOGISTICS'!K12="","",'SCOUT &amp; LOGISTICS'!K12)</f>
        <v>GOOD</v>
      </c>
      <c r="O13" s="205"/>
      <c r="P13" s="205"/>
      <c r="Q13" s="205"/>
      <c r="R13" s="205"/>
      <c r="S13" s="205"/>
      <c r="T13" s="205" t="str">
        <f>IF('SCOUT &amp; LOGISTICS'!L12="","",'SCOUT &amp; LOGISTICS'!L12)</f>
        <v>FAST</v>
      </c>
      <c r="U13" s="205"/>
      <c r="V13" s="205"/>
      <c r="W13" s="205"/>
      <c r="X13" s="205"/>
      <c r="Y13" s="205"/>
      <c r="Z13" s="205" t="str">
        <f>IF('SCOUT &amp; LOGISTICS'!M12="","",'SCOUT &amp; LOGISTICS'!M12)</f>
        <v>NO</v>
      </c>
      <c r="AA13" s="205"/>
      <c r="AB13" s="205"/>
      <c r="AC13" s="205"/>
      <c r="AD13" s="205"/>
      <c r="AE13" s="205"/>
      <c r="AF13" s="48"/>
    </row>
    <row r="14" spans="1:33" s="48" customFormat="1" ht="13" thickBot="1" x14ac:dyDescent="0.3">
      <c r="B14" s="196"/>
      <c r="C14" s="196"/>
      <c r="D14" s="196"/>
      <c r="E14" s="196"/>
      <c r="F14" s="196"/>
      <c r="G14" s="196"/>
      <c r="H14" s="196"/>
      <c r="I14" s="196"/>
      <c r="J14" s="196"/>
      <c r="K14" s="196"/>
      <c r="L14" s="196"/>
      <c r="M14" s="196"/>
      <c r="N14" s="196"/>
      <c r="O14" s="196"/>
      <c r="P14" s="196"/>
      <c r="Q14" s="196"/>
      <c r="R14" s="196"/>
      <c r="S14" s="196"/>
      <c r="T14" s="196"/>
      <c r="U14" s="196"/>
      <c r="V14" s="196"/>
      <c r="W14" s="196"/>
      <c r="X14" s="196"/>
      <c r="Y14" s="196"/>
      <c r="Z14" s="196"/>
      <c r="AA14" s="196"/>
      <c r="AB14" s="196"/>
      <c r="AC14" s="196"/>
      <c r="AD14" s="196"/>
      <c r="AE14" s="196"/>
    </row>
    <row r="15" spans="1:33" ht="20.149999999999999" customHeight="1" thickBot="1" x14ac:dyDescent="0.3">
      <c r="A15" s="48"/>
      <c r="B15" s="200" t="s">
        <v>45</v>
      </c>
      <c r="C15" s="200"/>
      <c r="D15" s="200"/>
      <c r="E15" s="200"/>
      <c r="F15" s="200"/>
      <c r="G15" s="200"/>
      <c r="H15" s="200"/>
      <c r="I15" s="200"/>
      <c r="J15" s="200"/>
      <c r="K15" s="200"/>
      <c r="L15" s="200"/>
      <c r="M15" s="200"/>
      <c r="N15" s="200"/>
      <c r="O15" s="200"/>
      <c r="P15" s="200"/>
      <c r="Q15" s="200"/>
      <c r="R15" s="200"/>
      <c r="S15" s="200"/>
      <c r="T15" s="200"/>
      <c r="U15" s="200"/>
      <c r="V15" s="200"/>
      <c r="W15" s="200"/>
      <c r="X15" s="200"/>
      <c r="Y15" s="200"/>
      <c r="Z15" s="200"/>
      <c r="AA15" s="200"/>
      <c r="AB15" s="200"/>
      <c r="AC15" s="200"/>
      <c r="AD15" s="200"/>
      <c r="AE15" s="200"/>
      <c r="AF15" s="48"/>
    </row>
    <row r="16" spans="1:33" ht="21" customHeight="1" thickBot="1" x14ac:dyDescent="0.3">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3">
      <c r="A17" s="48"/>
      <c r="B17" s="203">
        <f>'SCOUT &amp; LOGISTICS'!D3</f>
        <v>584</v>
      </c>
      <c r="C17" s="203"/>
      <c r="D17" s="203"/>
      <c r="E17" s="203"/>
      <c r="F17" s="203"/>
      <c r="G17" s="203"/>
      <c r="H17" s="203"/>
      <c r="I17" s="203"/>
      <c r="J17" s="203"/>
      <c r="K17" s="203"/>
      <c r="L17" s="203">
        <f>'SCOUT &amp; LOGISTICS'!F3</f>
        <v>2</v>
      </c>
      <c r="M17" s="203"/>
      <c r="N17" s="203"/>
      <c r="O17" s="203"/>
      <c r="P17" s="203"/>
      <c r="Q17" s="203"/>
      <c r="R17" s="203"/>
      <c r="S17" s="203"/>
      <c r="T17" s="203"/>
      <c r="U17" s="203"/>
      <c r="V17" s="206">
        <f>IF(OR(B17="",B17=0),"",L17/B17)</f>
        <v>3.4246575342465752E-3</v>
      </c>
      <c r="W17" s="206"/>
      <c r="X17" s="206"/>
      <c r="Y17" s="206"/>
      <c r="Z17" s="206"/>
      <c r="AA17" s="206"/>
      <c r="AB17" s="206"/>
      <c r="AC17" s="206"/>
      <c r="AD17" s="206"/>
      <c r="AE17" s="206"/>
      <c r="AF17" s="48"/>
    </row>
    <row r="18" spans="1:32" s="48" customFormat="1" ht="13" thickBot="1" x14ac:dyDescent="0.3">
      <c r="B18" s="196"/>
      <c r="C18" s="196"/>
      <c r="D18" s="196"/>
      <c r="E18" s="196"/>
      <c r="F18" s="196"/>
      <c r="G18" s="196"/>
      <c r="H18" s="196"/>
      <c r="I18" s="196"/>
      <c r="J18" s="196"/>
      <c r="K18" s="196"/>
      <c r="L18" s="196"/>
      <c r="M18" s="196"/>
      <c r="N18" s="196"/>
      <c r="O18" s="196"/>
      <c r="P18" s="196"/>
      <c r="Q18" s="196"/>
      <c r="R18" s="196"/>
      <c r="S18" s="196"/>
      <c r="T18" s="196"/>
      <c r="U18" s="196"/>
      <c r="V18" s="196"/>
      <c r="W18" s="196"/>
      <c r="X18" s="196"/>
      <c r="Y18" s="196"/>
      <c r="Z18" s="196"/>
      <c r="AA18" s="196"/>
      <c r="AB18" s="196"/>
      <c r="AC18" s="196"/>
      <c r="AD18" s="196"/>
      <c r="AE18" s="196"/>
    </row>
    <row r="19" spans="1:32" ht="21" customHeight="1" thickBot="1" x14ac:dyDescent="0.3">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3">
      <c r="A20" s="48"/>
      <c r="B20" s="199">
        <f>IF('SCOUT &amp; LOGISTICS'!AA17="","",'SCOUT &amp; LOGISTICS'!AA17)</f>
        <v>1</v>
      </c>
      <c r="C20" s="199"/>
      <c r="D20" s="199"/>
      <c r="E20" s="199"/>
      <c r="F20" s="199"/>
      <c r="G20" s="199"/>
      <c r="H20" s="199"/>
      <c r="I20" s="199"/>
      <c r="J20" s="199"/>
      <c r="K20" s="199"/>
      <c r="L20" s="199">
        <f>IF('SCOUT &amp; LOGISTICS'!AA18="","",'SCOUT &amp; LOGISTICS'!AA18)</f>
        <v>1</v>
      </c>
      <c r="M20" s="199"/>
      <c r="N20" s="199"/>
      <c r="O20" s="199"/>
      <c r="P20" s="199"/>
      <c r="Q20" s="199"/>
      <c r="R20" s="199"/>
      <c r="S20" s="199"/>
      <c r="T20" s="199"/>
      <c r="U20" s="199"/>
      <c r="V20" s="199">
        <f>IF('SCOUT &amp; LOGISTICS'!AA19="","",'SCOUT &amp; LOGISTICS'!AA19)</f>
        <v>0</v>
      </c>
      <c r="W20" s="199"/>
      <c r="X20" s="199"/>
      <c r="Y20" s="199"/>
      <c r="Z20" s="199"/>
      <c r="AA20" s="199"/>
      <c r="AB20" s="199"/>
      <c r="AC20" s="199"/>
      <c r="AD20" s="199"/>
      <c r="AE20" s="199"/>
      <c r="AF20" s="48"/>
    </row>
    <row r="21" spans="1:32" ht="21" customHeight="1" thickBot="1" x14ac:dyDescent="0.3">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3">
      <c r="A22" s="48"/>
      <c r="B22" s="199">
        <f>'SCOUT &amp; LOGISTICS'!AG17</f>
        <v>0</v>
      </c>
      <c r="C22" s="199"/>
      <c r="D22" s="199"/>
      <c r="E22" s="199"/>
      <c r="F22" s="199"/>
      <c r="G22" s="199"/>
      <c r="H22" s="199">
        <f>'SCOUT &amp; LOGISTICS'!AG18</f>
        <v>0</v>
      </c>
      <c r="I22" s="199"/>
      <c r="J22" s="199"/>
      <c r="K22" s="199"/>
      <c r="L22" s="199"/>
      <c r="M22" s="199"/>
      <c r="N22" s="199">
        <f>'SCOUT &amp; LOGISTICS'!AG19</f>
        <v>2</v>
      </c>
      <c r="O22" s="199"/>
      <c r="P22" s="199"/>
      <c r="Q22" s="199"/>
      <c r="R22" s="199"/>
      <c r="S22" s="199"/>
      <c r="T22" s="199">
        <f>'SCOUT &amp; LOGISTICS'!AG20</f>
        <v>0</v>
      </c>
      <c r="U22" s="199"/>
      <c r="V22" s="199"/>
      <c r="W22" s="199"/>
      <c r="X22" s="199"/>
      <c r="Y22" s="199"/>
      <c r="Z22" s="199">
        <f>IF('SCOUT &amp; LOGISTICS'!AG21="","",'SCOUT &amp; LOGISTICS'!AG21)</f>
        <v>0</v>
      </c>
      <c r="AA22" s="199"/>
      <c r="AB22" s="199"/>
      <c r="AC22" s="199"/>
      <c r="AD22" s="199"/>
      <c r="AE22" s="199"/>
      <c r="AF22" s="48"/>
    </row>
    <row r="23" spans="1:32" s="48" customFormat="1" ht="13" thickBot="1" x14ac:dyDescent="0.3">
      <c r="B23" s="195"/>
      <c r="C23" s="195"/>
      <c r="D23" s="195"/>
      <c r="E23" s="195"/>
      <c r="F23" s="195"/>
      <c r="G23" s="195"/>
      <c r="H23" s="195"/>
      <c r="I23" s="195"/>
      <c r="J23" s="195"/>
      <c r="K23" s="195"/>
      <c r="L23" s="195"/>
      <c r="M23" s="195"/>
      <c r="N23" s="195"/>
      <c r="O23" s="195"/>
      <c r="P23" s="195"/>
      <c r="Q23" s="195"/>
      <c r="R23" s="195"/>
      <c r="S23" s="195"/>
      <c r="T23" s="195"/>
      <c r="U23" s="195"/>
      <c r="V23" s="195"/>
      <c r="W23" s="195"/>
      <c r="X23" s="195"/>
      <c r="Y23" s="195"/>
      <c r="Z23" s="195"/>
      <c r="AA23" s="195"/>
      <c r="AB23" s="195"/>
      <c r="AC23" s="195"/>
      <c r="AD23" s="195"/>
      <c r="AE23" s="195"/>
    </row>
    <row r="24" spans="1:32" ht="21" customHeight="1" thickBot="1" x14ac:dyDescent="0.3">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3">
      <c r="A25" s="48"/>
      <c r="B25" s="199">
        <f>'SCOUT &amp; LOGISTICS'!Y17</f>
        <v>2</v>
      </c>
      <c r="C25" s="199"/>
      <c r="D25" s="199"/>
      <c r="E25" s="199"/>
      <c r="F25" s="199"/>
      <c r="G25" s="199"/>
      <c r="H25" s="199"/>
      <c r="I25" s="199"/>
      <c r="J25" s="199"/>
      <c r="K25" s="199"/>
      <c r="L25" s="199"/>
      <c r="M25" s="199"/>
      <c r="N25" s="199"/>
      <c r="O25" s="199"/>
      <c r="P25" s="199"/>
      <c r="Q25" s="199">
        <f>'SCOUT &amp; LOGISTICS'!Y18</f>
        <v>0</v>
      </c>
      <c r="R25" s="199"/>
      <c r="S25" s="199"/>
      <c r="T25" s="199"/>
      <c r="U25" s="199"/>
      <c r="V25" s="199"/>
      <c r="W25" s="199"/>
      <c r="X25" s="199"/>
      <c r="Y25" s="199"/>
      <c r="Z25" s="199"/>
      <c r="AA25" s="199"/>
      <c r="AB25" s="199"/>
      <c r="AC25" s="199"/>
      <c r="AD25" s="199"/>
      <c r="AE25" s="199"/>
      <c r="AF25" s="48"/>
    </row>
    <row r="26" spans="1:32" ht="21" customHeight="1" thickBot="1" x14ac:dyDescent="0.3">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7" t="s">
        <v>161</v>
      </c>
      <c r="AB26" s="198"/>
      <c r="AC26" s="198"/>
      <c r="AD26" s="198"/>
      <c r="AE26" s="198"/>
      <c r="AF26" s="48"/>
    </row>
    <row r="27" spans="1:32" ht="20.149999999999999" customHeight="1" thickBot="1" x14ac:dyDescent="0.3">
      <c r="A27" s="48"/>
      <c r="B27" s="199">
        <f>'SCOUT &amp; LOGISTICS'!AC18</f>
        <v>1</v>
      </c>
      <c r="C27" s="199"/>
      <c r="D27" s="199"/>
      <c r="E27" s="199"/>
      <c r="F27" s="199"/>
      <c r="G27" s="199">
        <f>'SCOUT &amp; LOGISTICS'!AC22</f>
        <v>1</v>
      </c>
      <c r="H27" s="199"/>
      <c r="I27" s="199"/>
      <c r="J27" s="199"/>
      <c r="K27" s="199"/>
      <c r="L27" s="199">
        <f>'SCOUT &amp; LOGISTICS'!AC23</f>
        <v>0</v>
      </c>
      <c r="M27" s="199"/>
      <c r="N27" s="199"/>
      <c r="O27" s="199"/>
      <c r="P27" s="199"/>
      <c r="Q27" s="199">
        <f>'SCOUT &amp; LOGISTICS'!AC21</f>
        <v>0</v>
      </c>
      <c r="R27" s="199"/>
      <c r="S27" s="199"/>
      <c r="T27" s="199"/>
      <c r="U27" s="199"/>
      <c r="V27" s="199">
        <f>'SCOUT &amp; LOGISTICS'!AC27</f>
        <v>0</v>
      </c>
      <c r="W27" s="199"/>
      <c r="X27" s="199"/>
      <c r="Y27" s="199"/>
      <c r="Z27" s="199"/>
      <c r="AA27" s="199">
        <f>'SCOUT &amp; LOGISTICS'!AC17+'SCOUT &amp; LOGISTICS'!AC20</f>
        <v>0</v>
      </c>
      <c r="AB27" s="199"/>
      <c r="AC27" s="199"/>
      <c r="AD27" s="199"/>
      <c r="AE27" s="199"/>
      <c r="AF27" s="48"/>
    </row>
    <row r="28" spans="1:32" ht="21" customHeight="1" thickBot="1" x14ac:dyDescent="0.3">
      <c r="A28" s="48"/>
      <c r="B28" s="198" t="s">
        <v>48</v>
      </c>
      <c r="C28" s="198"/>
      <c r="D28" s="198"/>
      <c r="E28" s="198"/>
      <c r="F28" s="198"/>
      <c r="G28" s="198" t="s">
        <v>47</v>
      </c>
      <c r="H28" s="198"/>
      <c r="I28" s="198"/>
      <c r="J28" s="198"/>
      <c r="K28" s="198"/>
      <c r="L28" s="207"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3">
      <c r="A29" s="48"/>
      <c r="B29" s="199">
        <f>'SCOUT &amp; LOGISTICS'!AC25</f>
        <v>0</v>
      </c>
      <c r="C29" s="199"/>
      <c r="D29" s="199"/>
      <c r="E29" s="199"/>
      <c r="F29" s="199"/>
      <c r="G29" s="199">
        <f>'SCOUT &amp; LOGISTICS'!AC24</f>
        <v>0</v>
      </c>
      <c r="H29" s="199"/>
      <c r="I29" s="199"/>
      <c r="J29" s="199"/>
      <c r="K29" s="199"/>
      <c r="L29" s="199">
        <f>'SCOUT &amp; LOGISTICS'!$AC$29</f>
        <v>0</v>
      </c>
      <c r="M29" s="199"/>
      <c r="N29" s="199"/>
      <c r="O29" s="199"/>
      <c r="P29" s="199"/>
      <c r="Q29" s="199">
        <f>'SCOUT &amp; LOGISTICS'!AC28</f>
        <v>0</v>
      </c>
      <c r="R29" s="199"/>
      <c r="S29" s="199"/>
      <c r="T29" s="199"/>
      <c r="U29" s="199"/>
      <c r="V29" s="199">
        <f>'SCOUT &amp; LOGISTICS'!AC19</f>
        <v>0</v>
      </c>
      <c r="W29" s="199"/>
      <c r="X29" s="199"/>
      <c r="Y29" s="199"/>
      <c r="Z29" s="199"/>
      <c r="AA29" s="199">
        <f>'SCOUT &amp; LOGISTICS'!AC26</f>
        <v>0</v>
      </c>
      <c r="AB29" s="199"/>
      <c r="AC29" s="199"/>
      <c r="AD29" s="199"/>
      <c r="AE29" s="199"/>
      <c r="AF29" s="48"/>
    </row>
    <row r="30" spans="1:32" s="48" customFormat="1" ht="13" thickBot="1" x14ac:dyDescent="0.3">
      <c r="B30" s="196"/>
      <c r="C30" s="196"/>
      <c r="D30" s="196"/>
      <c r="E30" s="196"/>
      <c r="F30" s="196"/>
      <c r="G30" s="196"/>
      <c r="H30" s="196"/>
      <c r="I30" s="196"/>
      <c r="J30" s="196"/>
      <c r="K30" s="196"/>
      <c r="L30" s="196"/>
      <c r="M30" s="196"/>
      <c r="N30" s="196"/>
      <c r="O30" s="196"/>
      <c r="P30" s="196"/>
      <c r="Q30" s="196"/>
      <c r="R30" s="196"/>
      <c r="S30" s="196"/>
      <c r="T30" s="196"/>
      <c r="U30" s="196"/>
      <c r="V30" s="196"/>
      <c r="W30" s="196"/>
      <c r="X30" s="196"/>
      <c r="Y30" s="196"/>
      <c r="Z30" s="196"/>
      <c r="AA30" s="196"/>
      <c r="AB30" s="196"/>
      <c r="AC30" s="196"/>
      <c r="AD30" s="196"/>
      <c r="AE30" s="196"/>
    </row>
    <row r="31" spans="1:32" s="52" customFormat="1" ht="20.149999999999999" customHeight="1" thickBot="1" x14ac:dyDescent="0.3">
      <c r="A31" s="51"/>
      <c r="B31" s="200" t="s">
        <v>80</v>
      </c>
      <c r="C31" s="200"/>
      <c r="D31" s="200"/>
      <c r="E31" s="200"/>
      <c r="F31" s="200"/>
      <c r="G31" s="200"/>
      <c r="H31" s="200"/>
      <c r="I31" s="200"/>
      <c r="J31" s="200"/>
      <c r="K31" s="200"/>
      <c r="L31" s="200"/>
      <c r="M31" s="200"/>
      <c r="N31" s="200"/>
      <c r="O31" s="200"/>
      <c r="P31" s="200"/>
      <c r="Q31" s="200"/>
      <c r="R31" s="200"/>
      <c r="S31" s="200"/>
      <c r="T31" s="200"/>
      <c r="U31" s="200"/>
      <c r="V31" s="200"/>
      <c r="W31" s="200"/>
      <c r="X31" s="200"/>
      <c r="Y31" s="200"/>
      <c r="Z31" s="200"/>
      <c r="AA31" s="200"/>
      <c r="AB31" s="200"/>
      <c r="AC31" s="200"/>
      <c r="AD31" s="200"/>
      <c r="AE31" s="200"/>
      <c r="AF31" s="51"/>
    </row>
    <row r="32" spans="1:32" ht="87.65" customHeight="1" thickBot="1" x14ac:dyDescent="0.3">
      <c r="A32" s="48"/>
      <c r="B32" s="211" t="str">
        <f>IF('SCOUT &amp; LOGISTICS'!M4="","",'SCOUT &amp; LOGISTICS'!M4)</f>
        <v>The scouting and the cimmunication  are excellent. Regarding the concept of immediacy, a brief evaluation of the attacker’s options does not invalidate the action as an assist. Another matter would be if the attacker were faking and hesitating for three seconds. The defender never managed to establish a legal defensive position.In the other situation, if the player receives the ball without defense, the defender arrives late, the attacker fakes the shoot and takes one frontal or lateral dribble, we award an assist.</v>
      </c>
      <c r="C32" s="211"/>
      <c r="D32" s="211"/>
      <c r="E32" s="211"/>
      <c r="F32" s="211"/>
      <c r="G32" s="211"/>
      <c r="H32" s="211"/>
      <c r="I32" s="211"/>
      <c r="J32" s="211"/>
      <c r="K32" s="211"/>
      <c r="L32" s="211"/>
      <c r="M32" s="211"/>
      <c r="N32" s="211"/>
      <c r="O32" s="211"/>
      <c r="P32" s="211"/>
      <c r="Q32" s="211"/>
      <c r="R32" s="211"/>
      <c r="S32" s="211"/>
      <c r="T32" s="211"/>
      <c r="U32" s="211"/>
      <c r="V32" s="211"/>
      <c r="W32" s="211"/>
      <c r="X32" s="211"/>
      <c r="Y32" s="211"/>
      <c r="Z32" s="211"/>
      <c r="AA32" s="211"/>
      <c r="AB32" s="211"/>
      <c r="AC32" s="211"/>
      <c r="AD32" s="211"/>
      <c r="AE32" s="211"/>
      <c r="AF32" s="48"/>
    </row>
    <row r="33" spans="1:32" ht="20.149999999999999" customHeight="1" thickBot="1" x14ac:dyDescent="0.3">
      <c r="A33" s="48"/>
      <c r="B33" s="210"/>
      <c r="C33" s="210"/>
      <c r="D33" s="210"/>
      <c r="E33" s="210"/>
      <c r="F33" s="210"/>
      <c r="G33" s="210"/>
      <c r="H33" s="210"/>
      <c r="I33" s="210"/>
      <c r="J33" s="210"/>
      <c r="K33" s="210"/>
      <c r="L33" s="210"/>
      <c r="M33" s="210"/>
      <c r="N33" s="210"/>
      <c r="O33" s="210"/>
      <c r="P33" s="210"/>
      <c r="Q33" s="210"/>
      <c r="R33" s="210"/>
      <c r="S33" s="210"/>
      <c r="T33" s="210"/>
      <c r="U33" s="210"/>
      <c r="V33" s="210"/>
      <c r="W33" s="210"/>
      <c r="X33" s="210"/>
      <c r="Y33" s="210"/>
      <c r="Z33" s="210"/>
      <c r="AA33" s="210"/>
      <c r="AB33" s="210"/>
      <c r="AC33" s="210"/>
      <c r="AD33" s="210"/>
      <c r="AE33" s="210"/>
      <c r="AF33" s="48"/>
    </row>
    <row r="34" spans="1:32" ht="20.149999999999999" customHeight="1" thickBot="1" x14ac:dyDescent="0.3">
      <c r="A34" s="48"/>
      <c r="B34" s="200" t="s">
        <v>81</v>
      </c>
      <c r="C34" s="200"/>
      <c r="D34" s="200"/>
      <c r="E34" s="200"/>
      <c r="F34" s="200"/>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3">
      <c r="A35" s="48"/>
      <c r="B35" s="212">
        <f>'SCOUT &amp; LOGISTICS'!M7</f>
        <v>1.8424657534246576</v>
      </c>
      <c r="C35" s="212"/>
      <c r="D35" s="212"/>
      <c r="E35" s="212"/>
      <c r="F35" s="212"/>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25">
      <c r="A36" s="48"/>
      <c r="B36" s="194"/>
      <c r="C36" s="194"/>
      <c r="D36" s="194"/>
      <c r="E36" s="194"/>
      <c r="F36" s="194"/>
      <c r="G36" s="194"/>
      <c r="H36" s="194"/>
      <c r="I36" s="194"/>
      <c r="J36" s="194"/>
      <c r="K36" s="194"/>
      <c r="L36" s="194"/>
      <c r="M36" s="194"/>
      <c r="N36" s="194"/>
      <c r="O36" s="194"/>
      <c r="P36" s="194"/>
      <c r="Q36" s="194"/>
      <c r="R36" s="194"/>
      <c r="S36" s="194"/>
      <c r="T36" s="194"/>
      <c r="U36" s="194"/>
      <c r="V36" s="194"/>
      <c r="W36" s="194"/>
      <c r="X36" s="194"/>
      <c r="Y36" s="194"/>
      <c r="Z36" s="194"/>
      <c r="AA36" s="194"/>
      <c r="AB36" s="194"/>
      <c r="AC36" s="194"/>
      <c r="AD36" s="194"/>
      <c r="AE36" s="194"/>
      <c r="AF36" s="48"/>
    </row>
  </sheetData>
  <sheetProtection algorithmName="SHA-512" hashValue="KYjs3UbCBMVzqruL4Nbq/9Q6XwH5AzfZYPonAL7uosobAsvXNgu99bNS00NA5GLTbcqrSUqQhNYh0XcTbuC+bw==" saltValue="ZJeV0uctt+VQU9866py/Ug==" spinCount="100000" sheet="1" selectLockedCells="1"/>
  <mergeCells count="93">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 ref="B21:G21"/>
    <mergeCell ref="H21:M21"/>
    <mergeCell ref="N21:S21"/>
    <mergeCell ref="T21:Y21"/>
    <mergeCell ref="Z21:AE21"/>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4:P24"/>
    <mergeCell ref="Q24:AE24"/>
    <mergeCell ref="B25:P25"/>
    <mergeCell ref="Q25:AE25"/>
    <mergeCell ref="B26:F26"/>
    <mergeCell ref="G26:K26"/>
    <mergeCell ref="L26:P26"/>
    <mergeCell ref="Q26:U26"/>
    <mergeCell ref="V26:Z26"/>
    <mergeCell ref="AA26:AE26"/>
    <mergeCell ref="B17:K17"/>
    <mergeCell ref="L17:U17"/>
    <mergeCell ref="V17:AE17"/>
    <mergeCell ref="B15:AE15"/>
    <mergeCell ref="B16:K16"/>
    <mergeCell ref="L16:U16"/>
    <mergeCell ref="V16:AE16"/>
    <mergeCell ref="V8:Z8"/>
    <mergeCell ref="AA8:AE8"/>
    <mergeCell ref="B13:G13"/>
    <mergeCell ref="H13:M13"/>
    <mergeCell ref="N13:S13"/>
    <mergeCell ref="T13:Y13"/>
    <mergeCell ref="Z13:AE13"/>
    <mergeCell ref="B12:G12"/>
    <mergeCell ref="H12:M12"/>
    <mergeCell ref="N12:S12"/>
    <mergeCell ref="T12:Y12"/>
    <mergeCell ref="Z12:AE12"/>
    <mergeCell ref="B10:AE10"/>
    <mergeCell ref="B3:AE3"/>
    <mergeCell ref="B4:AE4"/>
    <mergeCell ref="B7:F7"/>
    <mergeCell ref="G7:K7"/>
    <mergeCell ref="L7:P7"/>
    <mergeCell ref="Q7:U7"/>
    <mergeCell ref="V7:Z7"/>
    <mergeCell ref="AA7:AE7"/>
    <mergeCell ref="B5:P5"/>
    <mergeCell ref="Q5:AE5"/>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s>
  <printOptions horizontalCentered="1" verticalCentered="1"/>
  <pageMargins left="1E-3" right="1E-3" top="1E-3" bottom="1E-3" header="1E-3" footer="1E-3"/>
  <pageSetup paperSize="9" scale="97"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 un document nou" ma:contentTypeScope="" ma:versionID="34c7bbe4d91dd8065e5c5fbebe7efe69">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f026ff14e3ea822d0a45bcc6956d6562"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es de la imatge"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us de contingut"/>
        <xsd:element ref="dc:title" minOccurs="0" maxOccurs="1" ma:index="4" ma:displayName="Títo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85257058-A209-428B-9615-42736879EFBA}"/>
</file>

<file path=customXml/itemProps2.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3.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s>
</ds:datastoreItem>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Xavi Mateu</cp:lastModifiedBy>
  <cp:lastPrinted>2025-12-17T14:49:35Z</cp:lastPrinted>
  <dcterms:created xsi:type="dcterms:W3CDTF">2023-09-19T19:50:35Z</dcterms:created>
  <dcterms:modified xsi:type="dcterms:W3CDTF">2025-12-18T14:57:18Z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ies>
</file>