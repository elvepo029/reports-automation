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2" documentId="8_{8B26F4A9-5BE7-42B8-ABDF-39EF3B2843A5}" xr6:coauthVersionLast="47" xr6:coauthVersionMax="47" xr10:uidLastSave="{893CEB03-0181-4670-816B-12CCD234154F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<sst xmlns="http://schemas.openxmlformats.org/spreadsheetml/2006/main" count="3265" uniqueCount="763">
  <si>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</si>
  <si>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</si>
  <si>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</si>
  <si>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</si>
  <si>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</si>
  <si>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</si>
  <si>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</si>
  <si>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</si>
  <si>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</si>
  <si>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</si>
  <si>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</si>
  <si>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</si>
  <si>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</si>
  <si>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</si>
  <si>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</si>
  <si>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</si>
  <si>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</si>
  <si>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</si>
  <si>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</si>
  <si>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</si>
  <si>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</si>
  <si>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</si>
  <si>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</si>
  <si>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</si>
  <si>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</si>
  <si>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</si>
  <si>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</si>
  <si>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</si>
  <si>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</si>
  <si>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</si>
  <si>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</si>
  <si>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</si>
  <si>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</si>
  <si>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</si>
  <si>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</si>
  <si>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</si>
  <si>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</si>
  <si>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</si>
  <si>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</si>
  <si>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</si>
  <si>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</si>
  <si>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</si>
  <si>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</si>
  <si>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</si>
  <si>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</si>
  <si>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</si>
  <si>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</si>
  <si>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</si>
  <si>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</si>
  <si>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</si>
  <si>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</si>
  <si>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</si>
  <si>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</si>
  <si>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</si>
  <si>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</si>
  <si>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</si>
  <si>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</si>
  <si>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</si>
  <si>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</si>
  <si>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</si>
  <si>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</si>
  <si>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</si>
  <si>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</si>
  <si>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</si>
  <si>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</si>
  <si>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</si>
  <si>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</si>
  <si>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</si>
  <si>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</si>
  <si>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</si>
  <si>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</si>
  <si>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</si>
  <si>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</si>
  <si>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</si>
  <si>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</si>
  <si>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</si>
  <si>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</si>
  <si>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</si>
  <si>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</si>
  <si>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</si>
  <si>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</si>
  <si>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</si>
  <si>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</si>
  <si>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</si>
  <si>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</si>
  <si>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</si>
  <si>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</si>
  <si>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</si>
  <si>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</si>
  <si>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</si>
  <si>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</si>
  <si>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</si>
  <si>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</si>
  <si>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</si>
  <si>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</si>
  <si>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</si>
  <si>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</si>
  <si>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</si>
  <si>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</si>
  <si>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</si>
  <si>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</si>
  <si>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</si>
  <si>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</si>
  <si>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</si>
  <si>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</si>
  <si>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</si>
  <si>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</si>
  <si>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</si>
  <si>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</si>
  <si>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</si>
  <si>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</si>
  <si>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</si>
  <si>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</si>
  <si>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</si>
  <si>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</si>
  <si>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</si>
  <si>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</si>
  <si>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</si>
  <si>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</si>
  <si>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</si>
  <si>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</si>
  <si>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</si>
  <si>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</si>
  <si>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</si>
  <si>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</si>
  <si>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</si>
  <si>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</si>
  <si>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</si>
  <si>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</si>
  <si>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</si>
  <si>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</si>
  <si>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</si>
  <si>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</si>
  <si>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</si>
  <si>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</si>
  <si>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</si>
  <si>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</si>
  <si>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</si>
  <si>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</si>
  <si>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</si>
  <si>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</si>
  <si>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</si>
  <si>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</si>
  <si>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</si>
  <si>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</si>
  <si>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</si>
  <si>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</si>
  <si>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</si>
  <si>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</si>
  <si>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</si>
  <si>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</si>
  <si>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</si>
  <si>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</si>
  <si>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</si>
  <si>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</si>
  <si>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</si>
  <si>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</si>
  <si>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</si>
  <si>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</si>
  <si>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</si>
  <si>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</si>
  <si>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</si>
  <si>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</si>
  <si>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</si>
  <si>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</si>
  <si>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</si>
  <si>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</si>
  <si>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</si>
  <si>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</si>
  <si>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</si>
  <si>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</si>
  <si>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</si>
  <si>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</si>
  <si>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</si>
  <si>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</si>
  <si>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</si>
  <si>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</si>
  <si>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</si>
  <si>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</si>
  <si>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</si>
  <si>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</si>
  <si>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</si>
  <si>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</si>
  <si>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</si>
  <si>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</si>
  <si>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</si>
  <si>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</si>
  <si>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</si>
  <si>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</si>
  <si>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</si>
  <si>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</si>
  <si>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</si>
  <si>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</si>
  <si>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</si>
  <si>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</si>
  <si>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</si>
  <si>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</si>
  <si>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</si>
  <si>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</si>
  <si>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</si>
  <si>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</si>
  <si>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</si>
  <si>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</si>
  <si>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</si>
  <si>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</si>
  <si>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</si>
  <si>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</si>
  <si>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</si>
  <si>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</si>
  <si>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</si>
  <si>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</si>
  <si>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</si>
  <si>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</si>
  <si>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</si>
  <si>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</si>
  <si>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</si>
  <si>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</si>
  <si>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</si>
  <si>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</si>
  <si>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</si>
  <si>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</si>
  <si>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</si>
  <si>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</si>
  <si>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</si>
  <si>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</si>
  <si>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</si>
  <si>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</si>
  <si>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</si>
  <si>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</si>
  <si>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</si>
  <si>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</si>
  <si>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</si>
  <si>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</si>
  <si>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</si>
  <si>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</si>
  <si>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</si>
  <si>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</si>
  <si>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</si>
  <si>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</si>
  <si>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</si>
  <si>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</si>
  <si>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</si>
  <si>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</si>
  <si>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</si>
  <si>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</si>
  <si>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</si>
  <si>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</si>
  <si>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</si>
  <si>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</si>
  <si>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</si>
  <si>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</si>
  <si>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</si>
  <si>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</si>
  <si>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</si>
  <si>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</si>
  <si>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</si>
  <si>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</si>
  <si>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</si>
  <si>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</si>
  <si>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</si>
  <si>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</si>
  <si>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</si>
  <si>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</si>
  <si>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</si>
  <si>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</si>
  <si>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</si>
  <si>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</si>
  <si>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</si>
  <si>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</si>
  <si>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</si>
  <si>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</si>
  <si>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</si>
  <si>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</si>
  <si>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</si>
  <si>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</si>
  <si>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</si>
  <si>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</si>
  <si>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</si>
  <si>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</si>
  <si>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</si>
  <si>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</si>
  <si>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</si>
  <si>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</si>
  <si>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</si>
  <si>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</si>
  <si>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</si>
  <si>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</si>
  <si>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</si>
  <si>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</si>
  <si>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</si>
  <si>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</si>
  <si>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</si>
  <si>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</si>
  <si>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</si>
  <si>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</si>
  <si>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</si>
  <si>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</si>
  <si>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</si>
  <si>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</si>
  <si>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</si>
  <si>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</si>
  <si>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</si>
  <si>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</si>
  <si>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</si>
  <si>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</si>
  <si>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</si>
  <si>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</si>
  <si>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</si>
  <si>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</si>
  <si>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</si>
  <si>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</si>
  <si>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</si>
  <si>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</si>
  <si>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</si>
  <si>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</si>
  <si>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</si>
  <si>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</si>
  <si>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</si>
  <si>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</si>
  <si>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</si>
  <si>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</si>
  <si>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</si>
  <si>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</si>
  <si>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</si>
  <si>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</si>
  <si>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</si>
  <si>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</si>
  <si>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</si>
  <si>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</si>
  <si>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</si>
  <si>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</si>
  <si>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</si>
  <si>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</si>
  <si>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</si>
  <si>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</si>
  <si>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</si>
  <si>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</si>
  <si>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</si>
  <si>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</si>
  <si>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</si>
  <si>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</si>
  <si>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</si>
  <si>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</si>
  <si>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</si>
  <si>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</si>
  <si>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</si>
  <si>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</si>
  <si>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</si>
  <si>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</si>
  <si>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</si>
  <si>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</si>
  <si>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</si>
  <si>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</si>
  <si>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</si>
  <si>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</si>
  <si>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</si>
  <si>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</si>
  <si>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</si>
  <si>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</si>
  <si>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</si>
  <si>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</si>
  <si>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</si>
  <si>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</si>
  <si>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</si>
  <si>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</si>
  <si>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</si>
  <si>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</si>
  <si>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</si>
  <si>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</si>
  <si>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</si>
  <si>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</si>
  <si>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</si>
  <si>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</si>
  <si>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</si>
  <si>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</si>
  <si>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</si>
  <si>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</si>
  <si>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</si>
  <si>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</si>
  <si>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</si>
  <si>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</si>
  <si>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</si>
  <si>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</si>
  <si>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</si>
  <si>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</si>
  <si>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</si>
  <si>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</si>
  <si>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</si>
  <si>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</si>
  <si>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</si>
  <si>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</si>
  <si>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</si>
  <si>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</si>
  <si>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</si>
  <si>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</si>
  <si>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</si>
  <si>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</si>
  <si>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</si>
  <si>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</si>
  <si>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</si>
  <si>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</si>
  <si>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</si>
  <si>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</si>
  <si>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</si>
  <si>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</si>
  <si>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</si>
  <si>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</si>
  <si>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</si>
  <si>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</si>
  <si>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</si>
  <si>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</si>
  <si>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</si>
  <si>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</si>
  <si>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</si>
  <si>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</si>
  <si>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</si>
  <si>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</si>
  <si>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</si>
  <si>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</si>
  <si>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</si>
  <si>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</si>
  <si>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</si>
  <si>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</si>
  <si>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</si>
  <si>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</si>
  <si>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</si>
  <si>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</si>
  <si>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</si>
  <si>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</si>
  <si>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</si>
  <si>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</si>
  <si>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</si>
  <si>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</si>
  <si>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</si>
  <si>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</si>
  <si>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</si>
  <si>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</si>
  <si>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</si>
  <si>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</si>
  <si>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</si>
  <si>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</si>
  <si>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</si>
  <si>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</si>
  <si>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</si>
  <si>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</si>
  <si>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</si>
  <si>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</si>
  <si>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</si>
  <si>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</si>
  <si>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</si>
  <si>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</si>
  <si>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</si>
  <si>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</si>
  <si>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</si>
  <si>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</si>
  <si>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</si>
  <si>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</si>
  <si>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</si>
  <si>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</si>
  <si>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</si>
  <si>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</si>
  <si>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</si>
  <si>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</si>
  <si>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</si>
  <si>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</si>
  <si>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</si>
  <si>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</si>
  <si>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</si>
  <si>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</si>
  <si>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</si>
  <si>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</si>
  <si>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</si>
  <si>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</si>
  <si>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</si>
  <si>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</si>
  <si>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</si>
  <si>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</si>
  <si>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</si>
  <si>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</si>
  <si>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</si>
  <si>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</si>
  <si>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</si>
  <si>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</si>
  <si>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</si>
  <si>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</si>
  <si>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</si>
  <si>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</si>
  <si>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</si>
  <si>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</si>
  <si>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</si>
  <si>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</si>
  <si>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</si>
  <si>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</si>
  <si>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</si>
  <si>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</si>
  <si>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</si>
  <si>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</si>
  <si>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</si>
  <si>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</si>
  <si>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</si>
  <si>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</si>
  <si>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</si>
  <si>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</si>
  <si>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</si>
  <si>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</si>
  <si>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</si>
  <si>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</si>
  <si>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</si>
  <si>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</si>
  <si>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</si>
  <si>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</si>
  <si>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</si>
  <si>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</si>
  <si>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</si>
  <si>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</si>
  <si>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</si>
  <si>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</si>
  <si>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</si>
  <si>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</si>
  <si>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</si>
  <si>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</si>
  <si>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</si>
  <si>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</si>
  <si>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</si>
  <si>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</si>
  <si>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</si>
  <si>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</si>
  <si>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</si>
  <si>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</si>
  <si>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</si>
  <si>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</si>
  <si>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</si>
  <si>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</si>
  <si>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</si>
  <si>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</si>
  <si>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</si>
  <si>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</si>
  <si>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</si>
  <si>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</si>
  <si>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</si>
  <si>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</si>
  <si>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</si>
  <si>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</si>
  <si>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</si>
  <si>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</si>
  <si>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</si>
  <si>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</si>
  <si>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</si>
  <si>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</si>
  <si>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</si>
  <si>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</si>
  <si>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</si>
  <si>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</si>
  <si>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</si>
  <si>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</si>
  <si>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</si>
  <si>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</si>
  <si>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</si>
  <si>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</si>
  <si>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</si>
  <si>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</si>
  <si>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</si>
  <si>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</si>
  <si>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</si>
  <si>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</si>
  <si>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</si>
  <si>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</si>
  <si>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</si>
  <si>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</si>
  <si>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</si>
  <si>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</si>
  <si>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</si>
  <si>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</si>
  <si>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</si>
  <si>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</si>
  <si>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</si>
  <si>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</si>
  <si>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</si>
  <si>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</si>
  <si>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</si>
  <si>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</si>
  <si>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</si>
  <si>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</si>
  <si>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</si>
  <si>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</si>
  <si>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</si>
  <si>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</si>
  <si>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</si>
  <si>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</si>
  <si>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</si>
  <si>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</si>
  <si>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</si>
  <si>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</si>
  <si>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</si>
  <si>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</si>
  <si>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</si>
  <si>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</si>
  <si>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</si>
  <si>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</si>
  <si>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</si>
  <si>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</si>
  <si>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</si>
  <si>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</si>
  <si>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</si>
  <si>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</si>
  <si>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</si>
  <si>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</si>
  <si>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</si>
  <si>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</si>
  <si>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</si>
  <si>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</si>
  <si>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</si>
  <si>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</si>
  <si>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</si>
  <si>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</si>
  <si>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</si>
  <si>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</si>
  <si>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</si>
  <si>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</si>
  <si>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</si>
  <si>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</si>
  <si>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</si>
  <si>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</si>
  <si>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</si>
  <si>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</si>
  <si>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</si>
  <si>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</si>
  <si>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</si>
  <si>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</si>
  <si>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</si>
  <si>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</si>
  <si>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</si>
  <si>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</si>
  <si>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</si>
  <si>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</si>
  <si>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</si>
  <si>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</si>
  <si>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</si>
  <si>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</si>
  <si>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</si>
  <si>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</si>
  <si>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</si>
  <si>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</si>
  <si>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</si>
  <si>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</si>
  <si>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</si>
  <si>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</si>
  <si>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</si>
  <si>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</si>
  <si>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</si>
  <si>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</si>
  <si>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</si>
  <si>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</si>
  <si>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</si>
  <si>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</si>
  <si>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</si>
  <si>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</si>
  <si>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</si>
  <si>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</si>
  <si>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</si>
  <si>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</si>
  <si>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</si>
  <si>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</si>
  <si>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</si>
  <si>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</si>
  <si>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</si>
  <si>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</si>
  <si>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</si>
  <si>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</si>
  <si>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</si>
  <si>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</si>
  <si>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</si>
  <si>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</si>
  <si>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</si>
  <si>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</si>
  <si>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</si>
  <si>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</si>
  <si>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</si>
  <si>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</si>
  <si>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</si>
  <si>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</si>
  <si>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</si>
  <si>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</si>
  <si>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</si>
  <si>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</si>
  <si>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</si>
  <si>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</si>
  <si>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</si>
  <si>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</si>
  <si>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</si>
  <si>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</si>
  <si>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</si>
  <si>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</si>
  <si>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</si>
  <si>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</si>
  <si>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</si>
  <si>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</si>
  <si>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</si>
  <si>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</si>
  <si>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</si>
  <si>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</si>
  <si>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</si>
  <si>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</si>
  <si>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</si>
  <si>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</si>
  <si>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</si>
  <si>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</si>
  <si>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</si>
  <si>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</si>
  <si>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</si>
  <si>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</si>
  <si>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</si>
  <si>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</si>
  <si>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</si>
  <si>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</si>
  <si>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</si>
  <si>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</si>
  <si>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</si>
  <si>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</si>
  <si>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</si>
  <si>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</si>
  <si>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</si>
  <si>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</si>
  <si>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</si>
  <si>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</si>
  <si>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</si>
  <si>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</si>
  <si>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</si>
  <si>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</si>
  <si>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</si>
  <si>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</si>
  <si>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</si>
  <si>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</si>
  <si>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</si>
  <si>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</si>
  <si>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</si>
  <si>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</si>
  <si>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</si>
  <si>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</si>
  <si>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</si>
  <si>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</si>
  <si>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</si>
  <si>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</si>
  <si>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</si>
  <si>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</si>
  <si>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</si>
  <si>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</si>
  <si>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</si>
  <si>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</si>
  <si>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</si>
  <si>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</si>
  <si>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ADRIA RUBIROLA</t>
  </si>
  <si>
    <t>RICARD MONGE</t>
  </si>
  <si>
    <t>FRANCIS RUIZ</t>
  </si>
  <si>
    <t>MARIA JOSE SERRANO</t>
  </si>
  <si>
    <t>MARC BAYO</t>
  </si>
  <si>
    <t>JESUS LOPEZ</t>
  </si>
  <si>
    <t>HECTOR GUILLEN</t>
  </si>
  <si>
    <t>4:56</t>
  </si>
  <si>
    <t>6:54</t>
  </si>
  <si>
    <t>4:50</t>
  </si>
  <si>
    <t>Very good job! Keep it up!</t>
  </si>
  <si>
    <t>8:45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</si>
</sst>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11_109_BAR_VIR_E2025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109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45975.854166666664</v>
      </c>
      <c r="C3" s="157"/>
      <c r="D3" s="39">
        <v>571</v>
      </c>
      <c r="E3" s="29"/>
      <c r="F3" s="26">
        <f>SUBTOTAL(3,I17:I106)</f>
        <v>4</v>
      </c>
      <c r="G3" s="27">
        <f>IF(OR(D3="",D3=0),"",F3/D3)</f>
        <v>7.0052539404553416E-3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7.0052539404553416E-3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0.70052539404553416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3.2005253940455343</v>
      </c>
      <c r="N7" s="58"/>
      <c r="O7" s="2"/>
      <c r="P7" s="2"/>
      <c r="Q7" s="86">
        <f>SUM(R5,S5,AC16)</f>
        <v>3.2005253940455343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3.2005253940455343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109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109</v>
      </c>
      <c r="D17" s="32" t="s">
        <v>758</v>
      </c>
      <c r="E17" s="33">
        <v>1</v>
      </c>
      <c r="F17" s="36">
        <v>7</v>
      </c>
      <c r="G17" s="36">
        <v>9</v>
      </c>
      <c r="H17" s="38" t="str">
        <f>IF(I17="","",$I$14)</f>
        <v>SCOUTING</v>
      </c>
      <c r="I17" s="34">
        <v>58</v>
      </c>
      <c r="J17" s="13" t="s">
        <v>4</v>
      </c>
      <c r="K17" s="13" t="s">
        <v>62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109</v>
      </c>
      <c r="D18" s="32" t="s">
        <v>759</v>
      </c>
      <c r="E18" s="33">
        <v>3</v>
      </c>
      <c r="F18" s="36">
        <v>51</v>
      </c>
      <c r="G18" s="36">
        <v>50</v>
      </c>
      <c r="H18" s="38" t="str">
        <f t="shared" ref="H18:H81" si="8">IF(I18="","",$I$14)</f>
        <v>SCOUTING</v>
      </c>
      <c r="I18" s="34">
        <v>305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109</v>
      </c>
      <c r="D19" s="32" t="s">
        <v>760</v>
      </c>
      <c r="E19" s="33">
        <v>3</v>
      </c>
      <c r="F19" s="36">
        <v>55</v>
      </c>
      <c r="G19" s="36">
        <v>52</v>
      </c>
      <c r="H19" s="38" t="str">
        <f t="shared" si="8"/>
        <v>SCOUTING</v>
      </c>
      <c r="I19" s="34">
        <v>328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109</v>
      </c>
      <c r="D20" s="32" t="s">
        <v>762</v>
      </c>
      <c r="E20" s="33">
        <v>4</v>
      </c>
      <c r="F20" s="36">
        <v>64</v>
      </c>
      <c r="G20" s="36">
        <v>69</v>
      </c>
      <c r="H20" s="38" t="str">
        <f t="shared" si="8"/>
        <v>SCOUTING</v>
      </c>
      <c r="I20" s="34">
        <v>412</v>
      </c>
      <c r="J20" s="13" t="s">
        <v>4</v>
      </c>
      <c r="K20" s="13" t="s">
        <v>62</v>
      </c>
      <c r="L20" s="13" t="s">
        <v>5</v>
      </c>
      <c r="M20" s="13" t="s">
        <v>12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REPORT_E2025109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"E2025109"</v>
      </c>
      <c r="F3" s="45" t="str">
        <f t="shared" ref="F3:F16" si="0">""""&amp;B3&amp;"""" &amp; " : " &amp;C3&amp;","</f>
        <v>"name" : "E2025109",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"E109"</v>
      </c>
      <c r="F4" s="45" t="str">
        <f t="shared" si="0"/>
        <v>"cod" : "E109",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109</v>
      </c>
      <c r="F6" s="45" t="str">
        <f t="shared" si="0"/>
        <v>"number" : 109,</v>
      </c>
    </row>
    <row r="7" spans="2:6" x14ac:dyDescent="0.25">
      <c r="B7" s="43" t="s">
        <v>116</v>
      </c>
      <c r="C7" s="43" t="str">
        <f ca="1">""""&amp;TEXT('SCOUT &amp; LOGISTICS'!B3,"dd/mm/aaaa")&amp;""""</f>
        <v>"14/11/Friday"</v>
      </c>
      <c r="F7" s="45" t="str">
        <f t="shared" ca="1" si="0"/>
        <v>"date" : "14/11/Friday",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"ADRIA RUBIROLA"</v>
      </c>
      <c r="F10" s="45" t="str">
        <f t="shared" si="0"/>
        <v>"Data_entry" : "ADRIA RUBIROLA",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"RICARD MONGE"</v>
      </c>
      <c r="F11" s="45" t="str">
        <f t="shared" si="0"/>
        <v>"Caller_1" : "RICARD MONGE",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"FRANCIS RUIZ"</v>
      </c>
      <c r="F12" s="45" t="str">
        <f t="shared" si="0"/>
        <v>"Caller_2" : "FRANCIS RUIZ",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JOSE SERRANO"</v>
      </c>
      <c r="F13" s="45" t="str">
        <f t="shared" si="0"/>
        <v>"Timerkeeper" : "MARIA JOSE SERRANO",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"MARC BAYO"</v>
      </c>
      <c r="F14" s="45" t="str">
        <f t="shared" si="0"/>
        <v>"Shotclock" : "MARC BAYO",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571</v>
      </c>
      <c r="F25" s="45" t="str">
        <f t="shared" ref="F25:F48" si="1">""""&amp;C25&amp;"""" &amp; " : " &amp;D25&amp;","</f>
        <v>"total_actions" : 571,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11_109_BAR_VIR_E2025</v>
      </c>
      <c r="F52" s="45" t="str">
        <f>""""&amp;B52&amp;"""" &amp; " : " &amp;C52</f>
        <v>"result" : 11_109_BAR_VIR_E2025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E109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14/11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ADRIA RUBIROLA</v>
      </c>
      <c r="C8" s="206"/>
      <c r="D8" s="206"/>
      <c r="E8" s="206"/>
      <c r="F8" s="206"/>
      <c r="G8" s="206" t="str">
        <f>IF('SCOUT &amp; LOGISTICS'!D7="","",'SCOUT &amp; LOGISTICS'!D7)</f>
        <v>RICARD MONGE</v>
      </c>
      <c r="H8" s="206"/>
      <c r="I8" s="206"/>
      <c r="J8" s="206"/>
      <c r="K8" s="206"/>
      <c r="L8" s="206" t="str">
        <f>IF('SCOUT &amp; LOGISTICS'!D8="","",'SCOUT &amp; LOGISTICS'!D8)</f>
        <v>FRANCIS RUIZ</v>
      </c>
      <c r="M8" s="206"/>
      <c r="N8" s="206"/>
      <c r="O8" s="206"/>
      <c r="P8" s="206"/>
      <c r="Q8" s="206" t="str">
        <f>IF('SCOUT &amp; LOGISTICS'!D9="","",'SCOUT &amp; LOGISTICS'!D9)</f>
        <v>MARIA JOSE SERRANO</v>
      </c>
      <c r="R8" s="206"/>
      <c r="S8" s="206"/>
      <c r="T8" s="206"/>
      <c r="U8" s="206"/>
      <c r="V8" s="206" t="str">
        <f>IF('SCOUT &amp; LOGISTICS'!D10="","",'SCOUT &amp; LOGISTICS'!D10)</f>
        <v>MARC BAYO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7.0052539404553416E-3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3.2005253940455343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C6ECE4-B98C-4225-9E07-484EEB95BBDB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2025-11-14T21:28:22Z</cp:lastPrinted>
  <dcterms:created xsi:type="dcterms:W3CDTF">2023-09-19T19:50:35Z</dcterms:created>
  <dcterms:modified xsi:type="dcterms:W3CDTF">2025-11-14T21:28:26Z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