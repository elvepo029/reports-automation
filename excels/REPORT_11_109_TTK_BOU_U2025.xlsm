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99962A4-AB2D-44BC-B011-5262BCF138F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<sst xmlns="http://schemas.openxmlformats.org/spreadsheetml/2006/main" count="3332" uniqueCount="832">
  <si>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</si>
  <si>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</si>
  <si>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</si>
  <si>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</si>
  <si>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</si>
  <si>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</si>
  <si>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</si>
  <si>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</si>
  <si>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</si>
  <si>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</si>
  <si>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</si>
  <si>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</si>
  <si>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</si>
  <si>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</si>
  <si>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</si>
  <si>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</si>
  <si>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</si>
  <si>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</si>
  <si>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</si>
  <si>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</si>
  <si>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</si>
  <si>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</si>
  <si>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</si>
  <si>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</si>
  <si>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</si>
  <si>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</si>
  <si>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</si>
  <si>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</si>
  <si>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</si>
  <si>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</si>
  <si>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</si>
  <si>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</si>
  <si>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</si>
  <si>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</si>
  <si>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</si>
  <si>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</si>
  <si>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</si>
  <si>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</si>
  <si>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</si>
  <si>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</si>
  <si>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</si>
  <si>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</si>
  <si>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</si>
  <si>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</si>
  <si>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</si>
  <si>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</si>
  <si>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</si>
  <si>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</si>
  <si>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</si>
  <si>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</si>
  <si>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</si>
  <si>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</si>
  <si>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</si>
  <si>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</si>
  <si>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</si>
  <si>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</si>
  <si>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</si>
  <si>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</si>
  <si>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</si>
  <si>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</si>
  <si>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</si>
  <si>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</si>
  <si>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</si>
  <si>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</si>
  <si>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</si>
  <si>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</si>
  <si>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</si>
  <si>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</si>
  <si>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</si>
  <si>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</si>
  <si>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</si>
  <si>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</si>
  <si>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</si>
  <si>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</si>
  <si>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</si>
  <si>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</si>
  <si>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</si>
  <si>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</si>
  <si>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</si>
  <si>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</si>
  <si>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</si>
  <si>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</si>
  <si>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</si>
  <si>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</si>
  <si>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</si>
  <si>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</si>
  <si>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</si>
  <si>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</si>
  <si>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</si>
  <si>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</si>
  <si>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</si>
  <si>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</si>
  <si>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</si>
  <si>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</si>
  <si>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</si>
  <si>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</si>
  <si>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</si>
  <si>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</si>
  <si>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</si>
  <si>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</si>
  <si>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</si>
  <si>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</si>
  <si>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</si>
  <si>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</si>
  <si>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</si>
  <si>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</si>
  <si>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</si>
  <si>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</si>
  <si>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</si>
  <si>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</si>
  <si>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</si>
  <si>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</si>
  <si>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</si>
  <si>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</si>
  <si>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</si>
  <si>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</si>
  <si>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</si>
  <si>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</si>
  <si>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</si>
  <si>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</si>
  <si>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</si>
  <si>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</si>
  <si>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</si>
  <si>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</si>
  <si>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</si>
  <si>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</si>
  <si>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</si>
  <si>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</si>
  <si>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</si>
  <si>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</si>
  <si>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</si>
  <si>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</si>
  <si>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</si>
  <si>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</si>
  <si>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</si>
  <si>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</si>
  <si>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</si>
  <si>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</si>
  <si>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</si>
  <si>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</si>
  <si>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</si>
  <si>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</si>
  <si>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</si>
  <si>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</si>
  <si>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</si>
  <si>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</si>
  <si>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</si>
  <si>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</si>
  <si>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</si>
  <si>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</si>
  <si>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</si>
  <si>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</si>
  <si>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</si>
  <si>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</si>
  <si>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</si>
  <si>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</si>
  <si>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</si>
  <si>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</si>
  <si>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</si>
  <si>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</si>
  <si>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</si>
  <si>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</si>
  <si>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</si>
  <si>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</si>
  <si>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</si>
  <si>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</si>
  <si>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</si>
  <si>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</si>
  <si>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</si>
  <si>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</si>
  <si>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</si>
  <si>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</si>
  <si>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</si>
  <si>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</si>
  <si>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</si>
  <si>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</si>
  <si>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</si>
  <si>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</si>
  <si>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</si>
  <si>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</si>
  <si>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</si>
  <si>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</si>
  <si>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</si>
  <si>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</si>
  <si>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</si>
  <si>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</si>
  <si>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</si>
  <si>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</si>
  <si>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</si>
  <si>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</si>
  <si>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</si>
  <si>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</si>
  <si>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</si>
  <si>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</si>
  <si>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</si>
  <si>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</si>
  <si>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</si>
  <si>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</si>
  <si>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</si>
  <si>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</si>
  <si>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</si>
  <si>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</si>
  <si>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</si>
  <si>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</si>
  <si>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</si>
  <si>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</si>
  <si>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</si>
  <si>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</si>
  <si>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</si>
  <si>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</si>
  <si>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</si>
  <si>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</si>
  <si>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</si>
  <si>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</si>
  <si>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</si>
  <si>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</si>
  <si>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</si>
  <si>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</si>
  <si>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</si>
  <si>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</si>
  <si>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</si>
  <si>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</si>
  <si>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</si>
  <si>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</si>
  <si>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</si>
  <si>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</si>
  <si>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</si>
  <si>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</si>
  <si>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</si>
  <si>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</si>
  <si>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</si>
  <si>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</si>
  <si>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</si>
  <si>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</si>
  <si>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</si>
  <si>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</si>
  <si>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</si>
  <si>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</si>
  <si>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</si>
  <si>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</si>
  <si>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</si>
  <si>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</si>
  <si>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</si>
  <si>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</si>
  <si>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</si>
  <si>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</si>
  <si>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</si>
  <si>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</si>
  <si>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</si>
  <si>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</si>
  <si>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</si>
  <si>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</si>
  <si>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</si>
  <si>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</si>
  <si>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</si>
  <si>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</si>
  <si>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</si>
  <si>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</si>
  <si>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</si>
  <si>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</si>
  <si>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</si>
  <si>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</si>
  <si>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</si>
  <si>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</si>
  <si>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</si>
  <si>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</si>
  <si>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</si>
  <si>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</si>
  <si>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</si>
  <si>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</si>
  <si>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</si>
  <si>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</si>
  <si>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</si>
  <si>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</si>
  <si>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</si>
  <si>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</si>
  <si>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</si>
  <si>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</si>
  <si>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</si>
  <si>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</si>
  <si>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</si>
  <si>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</si>
  <si>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</si>
  <si>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</si>
  <si>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</si>
  <si>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</si>
  <si>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</si>
  <si>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</si>
  <si>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</si>
  <si>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</si>
  <si>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</si>
  <si>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</si>
  <si>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</si>
  <si>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</si>
  <si>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</si>
  <si>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</si>
  <si>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</si>
  <si>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</si>
  <si>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</si>
  <si>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</si>
  <si>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</si>
  <si>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</si>
  <si>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</si>
  <si>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</si>
  <si>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</si>
  <si>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</si>
  <si>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</si>
  <si>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</si>
  <si>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</si>
  <si>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</si>
  <si>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</si>
  <si>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</si>
  <si>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</si>
  <si>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</si>
  <si>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</si>
  <si>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</si>
  <si>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</si>
  <si>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</si>
  <si>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</si>
  <si>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</si>
  <si>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</si>
  <si>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</si>
  <si>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</si>
  <si>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</si>
  <si>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</si>
  <si>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</si>
  <si>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</si>
  <si>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</si>
  <si>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</si>
  <si>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</si>
  <si>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</si>
  <si>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</si>
  <si>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</si>
  <si>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</si>
  <si>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</si>
  <si>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</si>
  <si>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</si>
  <si>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</si>
  <si>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</si>
  <si>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</si>
  <si>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</si>
  <si>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</si>
  <si>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</si>
  <si>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</si>
  <si>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</si>
  <si>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</si>
  <si>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</si>
  <si>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</si>
  <si>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</si>
  <si>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</si>
  <si>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</si>
  <si>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</si>
  <si>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</si>
  <si>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</si>
  <si>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</si>
  <si>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</si>
  <si>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</si>
  <si>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</si>
  <si>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</si>
  <si>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</si>
  <si>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</si>
  <si>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</si>
  <si>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</si>
  <si>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</si>
  <si>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</si>
  <si>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</si>
  <si>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</si>
  <si>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</si>
  <si>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</si>
  <si>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</si>
  <si>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</si>
  <si>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</si>
  <si>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</si>
  <si>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</si>
  <si>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</si>
  <si>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</si>
  <si>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</si>
  <si>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</si>
  <si>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</si>
  <si>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</si>
  <si>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</si>
  <si>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</si>
  <si>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</si>
  <si>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</si>
  <si>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</si>
  <si>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</si>
  <si>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</si>
  <si>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</si>
  <si>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</si>
  <si>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</si>
  <si>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</si>
  <si>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</si>
  <si>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</si>
  <si>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</si>
  <si>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</si>
  <si>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</si>
  <si>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</si>
  <si>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</si>
  <si>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</si>
  <si>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</si>
  <si>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</si>
  <si>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</si>
  <si>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</si>
  <si>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</si>
  <si>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</si>
  <si>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</si>
  <si>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</si>
  <si>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</si>
  <si>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</si>
  <si>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</si>
  <si>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</si>
  <si>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</si>
  <si>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</si>
  <si>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</si>
  <si>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</si>
  <si>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</si>
  <si>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</si>
  <si>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</si>
  <si>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</si>
  <si>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</si>
  <si>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</si>
  <si>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</si>
  <si>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</si>
  <si>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</si>
  <si>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</si>
  <si>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</si>
  <si>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</si>
  <si>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</si>
  <si>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</si>
  <si>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</si>
  <si>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</si>
  <si>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</si>
  <si>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</si>
  <si>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</si>
  <si>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</si>
  <si>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</si>
  <si>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</si>
  <si>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</si>
  <si>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</si>
  <si>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</si>
  <si>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</si>
  <si>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</si>
  <si>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</si>
  <si>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</si>
  <si>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</si>
  <si>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</si>
  <si>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</si>
  <si>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</si>
  <si>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</si>
  <si>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</si>
  <si>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</si>
  <si>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</si>
  <si>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</si>
  <si>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</si>
  <si>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</si>
  <si>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</si>
  <si>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</si>
  <si>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</si>
  <si>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</si>
  <si>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</si>
  <si>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</si>
  <si>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</si>
  <si>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</si>
  <si>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</si>
  <si>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</si>
  <si>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</si>
  <si>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</si>
  <si>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</si>
  <si>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</si>
  <si>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</si>
  <si>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</si>
  <si>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</si>
  <si>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</si>
  <si>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</si>
  <si>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</si>
  <si>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</si>
  <si>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</si>
  <si>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</si>
  <si>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</si>
  <si>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</si>
  <si>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</si>
  <si>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</si>
  <si>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</si>
  <si>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</si>
  <si>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</si>
  <si>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</si>
  <si>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</si>
  <si>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</si>
  <si>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</si>
  <si>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</si>
  <si>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</si>
  <si>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</si>
  <si>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</si>
  <si>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</si>
  <si>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</si>
  <si>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</si>
  <si>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</si>
  <si>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</si>
  <si>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</si>
  <si>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</si>
  <si>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</si>
  <si>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</si>
  <si>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</si>
  <si>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</si>
  <si>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</si>
  <si>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</si>
  <si>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</si>
  <si>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</si>
  <si>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</si>
  <si>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</si>
  <si>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</si>
  <si>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</si>
  <si>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</si>
  <si>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</si>
  <si>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</si>
  <si>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</si>
  <si>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</si>
  <si>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</si>
  <si>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</si>
  <si>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</si>
  <si>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</si>
  <si>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</si>
  <si>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</si>
  <si>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</si>
  <si>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</si>
  <si>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</si>
  <si>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</si>
  <si>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</si>
  <si>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</si>
  <si>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</si>
  <si>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</si>
  <si>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</si>
  <si>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</si>
  <si>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</si>
  <si>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</si>
  <si>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</si>
  <si>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</si>
  <si>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</si>
  <si>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</si>
  <si>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</si>
  <si>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</si>
  <si>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</si>
  <si>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</si>
  <si>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</si>
  <si>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</si>
  <si>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</si>
  <si>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</si>
  <si>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</si>
  <si>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</si>
  <si>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</si>
  <si>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</si>
  <si>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</si>
  <si>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</si>
  <si>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</si>
  <si>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</si>
  <si>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</si>
  <si>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</si>
  <si>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</si>
  <si>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</si>
  <si>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</si>
  <si>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</si>
  <si>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</si>
  <si>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</si>
  <si>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</si>
  <si>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</si>
  <si>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</si>
  <si>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</si>
  <si>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</si>
  <si>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</si>
  <si>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</si>
  <si>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</si>
  <si>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</si>
  <si>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</si>
  <si>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</si>
  <si>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</si>
  <si>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</si>
  <si>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</si>
  <si>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</si>
  <si>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</si>
  <si>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</si>
  <si>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</si>
  <si>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</si>
  <si>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</si>
  <si>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</si>
  <si>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</si>
  <si>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</si>
  <si>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</si>
  <si>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</si>
  <si>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</si>
  <si>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</si>
  <si>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</si>
  <si>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</si>
  <si>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</si>
  <si>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</si>
  <si>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</si>
  <si>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</si>
  <si>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</si>
  <si>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</si>
  <si>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</si>
  <si>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</si>
  <si>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</si>
  <si>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</si>
  <si>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</si>
  <si>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</si>
  <si>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</si>
  <si>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</si>
  <si>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</si>
  <si>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</si>
  <si>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</si>
  <si>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</si>
  <si>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</si>
  <si>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</si>
  <si>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</si>
  <si>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</si>
  <si>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</si>
  <si>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</si>
  <si>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</si>
  <si>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</si>
  <si>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</si>
  <si>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</si>
  <si>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</si>
  <si>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</si>
  <si>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</si>
  <si>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</si>
  <si>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</si>
  <si>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</si>
  <si>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</si>
  <si>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</si>
  <si>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</si>
  <si>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</si>
  <si>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</si>
  <si>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</si>
  <si>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</si>
  <si>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</si>
  <si>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</si>
  <si>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</si>
  <si>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</si>
  <si>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</si>
  <si>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</si>
  <si>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</si>
  <si>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</si>
  <si>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</si>
  <si>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</si>
  <si>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</si>
  <si>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</si>
  <si>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</si>
  <si>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</si>
  <si>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</si>
  <si>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</si>
  <si>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</si>
  <si>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</si>
  <si>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</si>
  <si>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</si>
  <si>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</si>
  <si>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</si>
  <si>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</si>
  <si>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</si>
  <si>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</si>
  <si>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</si>
  <si>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</si>
  <si>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</si>
  <si>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</si>
  <si>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</si>
  <si>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</si>
  <si>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</si>
  <si>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</si>
  <si>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</si>
  <si>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</si>
  <si>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</si>
  <si>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</si>
  <si>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</si>
  <si>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</si>
  <si>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</si>
  <si>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</si>
  <si>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</si>
  <si>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</si>
  <si>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</si>
  <si>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</si>
  <si>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</si>
  <si>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</si>
  <si>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</si>
  <si>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</si>
  <si>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</si>
  <si>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</si>
  <si>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</si>
  <si>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</si>
  <si>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</si>
  <si>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</si>
  <si>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</si>
  <si>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</si>
  <si>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</si>
  <si>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</si>
  <si>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</si>
  <si>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</si>
  <si>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</si>
  <si>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</si>
  <si>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</si>
  <si>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</si>
  <si>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</si>
  <si>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</si>
  <si>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</si>
  <si>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</si>
  <si>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</si>
  <si>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</si>
  <si>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</si>
  <si>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</si>
  <si>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</si>
  <si>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</si>
  <si>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</si>
  <si>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</si>
  <si>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</si>
  <si>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</si>
  <si>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</si>
  <si>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</si>
  <si>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</si>
  <si>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</si>
  <si>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</si>
  <si>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</si>
  <si>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</si>
  <si>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</si>
  <si>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</si>
  <si>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</si>
  <si>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</si>
  <si>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</si>
  <si>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</si>
  <si>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</si>
  <si>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</si>
  <si>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</si>
  <si>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</si>
  <si>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</si>
  <si>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</si>
  <si>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</si>
  <si>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</si>
  <si>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</si>
  <si>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</si>
  <si>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</si>
  <si>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</si>
  <si>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</si>
  <si>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</si>
  <si>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</si>
  <si>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</si>
  <si>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</si>
  <si>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</si>
  <si>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</si>
  <si>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</si>
  <si>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</si>
  <si>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</si>
  <si>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</si>
  <si>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</si>
  <si>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</si>
  <si>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</si>
  <si>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</si>
  <si>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</si>
  <si>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</si>
  <si>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</si>
  <si>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</si>
  <si>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</si>
  <si>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</si>
  <si>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</si>
  <si>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</si>
  <si>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</si>
  <si>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</si>
  <si>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</si>
  <si>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</si>
  <si>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</si>
  <si>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</si>
  <si>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</si>
  <si>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</si>
  <si>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</si>
  <si>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</si>
  <si>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</si>
  <si>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</si>
  <si>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</si>
  <si>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</si>
  <si>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</si>
  <si>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</si>
  <si>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</si>
  <si>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</si>
  <si>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</si>
  <si>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</si>
  <si>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</si>
  <si>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</si>
  <si>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</si>
  <si>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</si>
  <si>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</si>
  <si>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</si>
  <si>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</si>
  <si>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</si>
  <si>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</si>
  <si>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</si>
  <si>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</si>
  <si>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</si>
  <si>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</si>
  <si>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</si>
  <si>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</si>
  <si>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</si>
  <si>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</si>
  <si>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</si>
  <si>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</si>
  <si>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</si>
  <si>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</si>
  <si>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</si>
  <si>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</si>
  <si>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</si>
  <si>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</si>
  <si>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</si>
  <si>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</si>
  <si>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</si>
  <si>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</si>
  <si>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</si>
  <si>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</si>
  <si>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</si>
  <si>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</si>
  <si>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</si>
  <si>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</si>
  <si>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</si>
  <si>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</si>
  <si>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</si>
  <si>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</si>
  <si>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</si>
  <si>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</si>
  <si>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</si>
  <si>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</si>
  <si>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</si>
  <si>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</si>
  <si>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</si>
  <si>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MERIC AKAR</t>
  </si>
  <si>
    <t>ISMAIL FULSER</t>
  </si>
  <si>
    <t>FATIH ASLAN</t>
  </si>
  <si>
    <t>NIHAN UNSAL</t>
  </si>
  <si>
    <t>MARIO ENJUANES</t>
  </si>
  <si>
    <t>Xavi Mateu controlled the first half. The home team's game management was impeccable.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</si>
</sst>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 activeCell="N17" sqref="N17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11_109_TTK_BOU_U2025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109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46008.791666666664</v>
      </c>
      <c r="C3" s="178"/>
      <c r="D3" s="39">
        <v>641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Turk Telekom Ankara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TTK</v>
      </c>
      <c r="I4" s="5"/>
      <c r="J4" s="119" t="s">
        <v>714</v>
      </c>
      <c r="K4" s="54" t="s">
        <v>743</v>
      </c>
      <c r="L4" s="5"/>
      <c r="M4" s="185" t="s">
        <v>831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Cosea JL Bourg-en-Bresse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BOU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827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829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109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830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REPORT_U2025109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"U2025109"</v>
      </c>
      <c r="F3" s="45" t="str">
        <f t="shared" ref="F3:F16" si="0">""""&amp;B3&amp;"""" &amp; " : " &amp;C3&amp;","</f>
        <v>"name" : "U2025109",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"U109"</v>
      </c>
      <c r="F4" s="45" t="str">
        <f t="shared" si="0"/>
        <v>"cod" : "U109",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109</v>
      </c>
      <c r="F6" s="45" t="str">
        <f t="shared" si="0"/>
        <v>"number" : 109,</v>
      </c>
    </row>
    <row r="7" spans="2:6" x14ac:dyDescent="0.2">
      <c r="B7" s="43" t="s">
        <v>116</v>
      </c>
      <c r="C7" s="43" t="str">
        <f ca="1">""""&amp;TEXT('SCOUT &amp; LOGISTICS'!B3,"dd/mm/aaaa")&amp;""""</f>
        <v>"17/12/Wednesday"</v>
      </c>
      <c r="F7" s="45" t="str">
        <f t="shared" ca="1" si="0"/>
        <v>"date" : "17/12/Wednesday",</v>
      </c>
    </row>
    <row r="8" spans="2:6" x14ac:dyDescent="0.2">
      <c r="B8" s="43" t="s">
        <v>125</v>
      </c>
      <c r="C8" s="43" t="str">
        <f>""""&amp;'SCOUT &amp; LOGISTICS'!D4 &amp;""""</f>
        <v>"Turk Telekom Ankara"</v>
      </c>
      <c r="F8" s="45" t="str">
        <f t="shared" si="0"/>
        <v>"home_team" : "Turk Telekom Ankara",</v>
      </c>
    </row>
    <row r="9" spans="2:6" x14ac:dyDescent="0.2">
      <c r="B9" s="43" t="s">
        <v>126</v>
      </c>
      <c r="C9" s="43" t="str">
        <f>""""&amp;'SCOUT &amp; LOGISTICS'!D5&amp;""""</f>
        <v>"Cosea JL Bourg-en-Bresse"</v>
      </c>
      <c r="F9" s="45" t="str">
        <f t="shared" si="0"/>
        <v>"away_team" : "Cosea JL Bourg-en-Bresse",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"MERIC AKAR"</v>
      </c>
      <c r="F11" s="45" t="str">
        <f t="shared" si="0"/>
        <v>"Caller_1" : "MERIC AKAR",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"FATIH ASLAN"</v>
      </c>
      <c r="F12" s="45" t="str">
        <f t="shared" si="0"/>
        <v>"Caller_2" : "FATIH ASLAN",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"ISMAIL FULSER"</v>
      </c>
      <c r="F13" s="45" t="str">
        <f t="shared" si="0"/>
        <v>"Timerkeeper" : "ISMAIL FULSER",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"NIHAN UNSAL"</v>
      </c>
      <c r="F14" s="45" t="str">
        <f t="shared" si="0"/>
        <v>"Shotclock" : "NIHAN UNSAL",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641</v>
      </c>
      <c r="F25" s="45" t="str">
        <f t="shared" ref="F25:F48" si="1">""""&amp;C25&amp;"""" &amp; " : " &amp;D25&amp;","</f>
        <v>"total_actions" : 641,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"Xavi Mateu controlled the first half. The home team's game management was impeccable."</v>
      </c>
      <c r="F51" s="45" t="str">
        <f>""""&amp;B51&amp;"""" &amp; " : " &amp;C51&amp;","</f>
        <v>"comments" : "Xavi Mateu controlled the first half. The home team's game management was impeccable.",</v>
      </c>
    </row>
    <row r="52" spans="2:6" x14ac:dyDescent="0.2">
      <c r="B52" s="43" t="s">
        <v>153</v>
      </c>
      <c r="C52" s="43" t="str">
        <f>TEXT('SCOUT &amp; LOGISTICS'!F1,"0,0")</f>
        <v>11_109_TTK_BOU_U2025</v>
      </c>
      <c r="F52" s="45" t="str">
        <f>""""&amp;B52&amp;"""" &amp; " : " &amp;C52</f>
        <v>"result" : 11_109_TTK_BOU_U2025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U109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Turk Telekom Ankara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Cosea Jl Bourg-En-Bresse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MERIC AKAR</v>
      </c>
      <c r="H8" s="201"/>
      <c r="I8" s="201"/>
      <c r="J8" s="201"/>
      <c r="K8" s="201"/>
      <c r="L8" s="201" t="str">
        <f>IF('SCOUT &amp; LOGISTICS'!D8="","",'SCOUT &amp; LOGISTICS'!D8)</f>
        <v>FATIH ASLAN</v>
      </c>
      <c r="M8" s="201"/>
      <c r="N8" s="201"/>
      <c r="O8" s="201"/>
      <c r="P8" s="201"/>
      <c r="Q8" s="201" t="str">
        <f>IF('SCOUT &amp; LOGISTICS'!D9="","",'SCOUT &amp; LOGISTICS'!D9)</f>
        <v>ISMAIL FULSER</v>
      </c>
      <c r="R8" s="201"/>
      <c r="S8" s="201"/>
      <c r="T8" s="201"/>
      <c r="U8" s="201"/>
      <c r="V8" s="201" t="str">
        <f>IF('SCOUT &amp; LOGISTICS'!D10="","",'SCOUT &amp; LOGISTICS'!D10)</f>
        <v>NIHAN UNSAL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641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Xavi Mateu controlled the first half. The home team's game management was impeccable.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876BA1E-79E8-4266-9CD5-AB94EFE066ED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2026-01-16T14:23:58Z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