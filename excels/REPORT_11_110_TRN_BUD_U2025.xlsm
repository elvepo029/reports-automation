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" documentId="8_{39A84350-AF22-4CDA-8D07-21D4A4E67A63}" xr6:coauthVersionLast="47" xr6:coauthVersionMax="47" xr10:uidLastSave="{B3D80319-B3DA-4CB1-A856-2AEAF6C3FEA4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<sst xmlns="http://schemas.openxmlformats.org/spreadsheetml/2006/main" count="3332" uniqueCount="834">
  <si>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</si>
  <si>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</si>
  <si>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</si>
  <si>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</si>
  <si>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</si>
  <si>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</si>
  <si>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</si>
  <si>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</si>
  <si>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</si>
  <si>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</si>
  <si>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</si>
  <si>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</si>
  <si>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</si>
  <si>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</si>
  <si>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</si>
  <si>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</si>
  <si>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</si>
  <si>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</si>
  <si>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</si>
  <si>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</si>
  <si>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</si>
  <si>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</si>
  <si>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</si>
  <si>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</si>
  <si>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</si>
  <si>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</si>
  <si>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</si>
  <si>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</si>
  <si>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</si>
  <si>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</si>
  <si>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</si>
  <si>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</si>
  <si>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</si>
  <si>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</si>
  <si>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</si>
  <si>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</si>
  <si>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</si>
  <si>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</si>
  <si>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</si>
  <si>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</si>
  <si>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</si>
  <si>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</si>
  <si>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</si>
  <si>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</si>
  <si>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</si>
  <si>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</si>
  <si>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</si>
  <si>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</si>
  <si>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</si>
  <si>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</si>
  <si>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</si>
  <si>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</si>
  <si>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</si>
  <si>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</si>
  <si>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</si>
  <si>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</si>
  <si>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</si>
  <si>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</si>
  <si>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</si>
  <si>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</si>
  <si>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</si>
  <si>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</si>
  <si>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</si>
  <si>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</si>
  <si>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</si>
  <si>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</si>
  <si>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</si>
  <si>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</si>
  <si>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</si>
  <si>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</si>
  <si>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</si>
  <si>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</si>
  <si>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</si>
  <si>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</si>
  <si>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</si>
  <si>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</si>
  <si>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</si>
  <si>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</si>
  <si>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</si>
  <si>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</si>
  <si>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</si>
  <si>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</si>
  <si>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</si>
  <si>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</si>
  <si>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</si>
  <si>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</si>
  <si>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</si>
  <si>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</si>
  <si>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</si>
  <si>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</si>
  <si>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</si>
  <si>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</si>
  <si>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</si>
  <si>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</si>
  <si>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</si>
  <si>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</si>
  <si>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</si>
  <si>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</si>
  <si>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</si>
  <si>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</si>
  <si>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</si>
  <si>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</si>
  <si>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</si>
  <si>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</si>
  <si>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</si>
  <si>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</si>
  <si>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</si>
  <si>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</si>
  <si>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</si>
  <si>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</si>
  <si>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</si>
  <si>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</si>
  <si>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</si>
  <si>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</si>
  <si>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</si>
  <si>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</si>
  <si>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</si>
  <si>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</si>
  <si>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</si>
  <si>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</si>
  <si>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</si>
  <si>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</si>
  <si>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</si>
  <si>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</si>
  <si>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</si>
  <si>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</si>
  <si>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</si>
  <si>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</si>
  <si>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</si>
  <si>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</si>
  <si>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</si>
  <si>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</si>
  <si>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</si>
  <si>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</si>
  <si>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</si>
  <si>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</si>
  <si>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</si>
  <si>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</si>
  <si>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</si>
  <si>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</si>
  <si>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</si>
  <si>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</si>
  <si>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</si>
  <si>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</si>
  <si>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</si>
  <si>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</si>
  <si>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</si>
  <si>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</si>
  <si>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</si>
  <si>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</si>
  <si>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</si>
  <si>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</si>
  <si>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</si>
  <si>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</si>
  <si>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</si>
  <si>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</si>
  <si>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</si>
  <si>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</si>
  <si>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</si>
  <si>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</si>
  <si>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</si>
  <si>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</si>
  <si>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</si>
  <si>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</si>
  <si>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</si>
  <si>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</si>
  <si>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</si>
  <si>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</si>
  <si>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</si>
  <si>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</si>
  <si>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</si>
  <si>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</si>
  <si>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</si>
  <si>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</si>
  <si>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</si>
  <si>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</si>
  <si>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</si>
  <si>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</si>
  <si>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</si>
  <si>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</si>
  <si>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</si>
  <si>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</si>
  <si>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</si>
  <si>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</si>
  <si>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</si>
  <si>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</si>
  <si>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</si>
  <si>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</si>
  <si>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</si>
  <si>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</si>
  <si>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</si>
  <si>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</si>
  <si>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</si>
  <si>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</si>
  <si>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</si>
  <si>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</si>
  <si>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</si>
  <si>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</si>
  <si>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</si>
  <si>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</si>
  <si>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</si>
  <si>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</si>
  <si>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</si>
  <si>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</si>
  <si>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</si>
  <si>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</si>
  <si>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</si>
  <si>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</si>
  <si>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</si>
  <si>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</si>
  <si>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</si>
  <si>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</si>
  <si>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</si>
  <si>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</si>
  <si>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</si>
  <si>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</si>
  <si>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</si>
  <si>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</si>
  <si>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</si>
  <si>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</si>
  <si>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</si>
  <si>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</si>
  <si>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</si>
  <si>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</si>
  <si>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</si>
  <si>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</si>
  <si>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</si>
  <si>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</si>
  <si>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</si>
  <si>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</si>
  <si>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</si>
  <si>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</si>
  <si>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</si>
  <si>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</si>
  <si>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</si>
  <si>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</si>
  <si>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</si>
  <si>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</si>
  <si>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</si>
  <si>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</si>
  <si>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</si>
  <si>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</si>
  <si>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</si>
  <si>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</si>
  <si>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</si>
  <si>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</si>
  <si>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</si>
  <si>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</si>
  <si>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</si>
  <si>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</si>
  <si>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</si>
  <si>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</si>
  <si>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</si>
  <si>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</si>
  <si>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</si>
  <si>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</si>
  <si>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</si>
  <si>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</si>
  <si>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</si>
  <si>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</si>
  <si>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</si>
  <si>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</si>
  <si>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</si>
  <si>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</si>
  <si>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</si>
  <si>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</si>
  <si>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</si>
  <si>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</si>
  <si>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</si>
  <si>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</si>
  <si>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</si>
  <si>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</si>
  <si>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</si>
  <si>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</si>
  <si>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</si>
  <si>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</si>
  <si>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</si>
  <si>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</si>
  <si>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</si>
  <si>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</si>
  <si>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</si>
  <si>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</si>
  <si>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</si>
  <si>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</si>
  <si>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</si>
  <si>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</si>
  <si>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</si>
  <si>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</si>
  <si>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</si>
  <si>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</si>
  <si>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</si>
  <si>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</si>
  <si>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</si>
  <si>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</si>
  <si>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</si>
  <si>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</si>
  <si>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</si>
  <si>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</si>
  <si>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</si>
  <si>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</si>
  <si>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</si>
  <si>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</si>
  <si>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</si>
  <si>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</si>
  <si>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</si>
  <si>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</si>
  <si>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</si>
  <si>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</si>
  <si>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</si>
  <si>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</si>
  <si>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</si>
  <si>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</si>
  <si>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</si>
  <si>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</si>
  <si>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</si>
  <si>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</si>
  <si>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</si>
  <si>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</si>
  <si>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</si>
  <si>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</si>
  <si>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</si>
  <si>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</si>
  <si>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</si>
  <si>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</si>
  <si>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</si>
  <si>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</si>
  <si>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</si>
  <si>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</si>
  <si>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</si>
  <si>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</si>
  <si>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</si>
  <si>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</si>
  <si>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</si>
  <si>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</si>
  <si>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</si>
  <si>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</si>
  <si>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</si>
  <si>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</si>
  <si>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</si>
  <si>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</si>
  <si>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</si>
  <si>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</si>
  <si>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</si>
  <si>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</si>
  <si>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</si>
  <si>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</si>
  <si>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</si>
  <si>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</si>
  <si>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</si>
  <si>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</si>
  <si>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</si>
  <si>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</si>
  <si>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</si>
  <si>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</si>
  <si>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</si>
  <si>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</si>
  <si>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</si>
  <si>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</si>
  <si>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</si>
  <si>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</si>
  <si>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</si>
  <si>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</si>
  <si>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</si>
  <si>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</si>
  <si>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</si>
  <si>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</si>
  <si>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</si>
  <si>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</si>
  <si>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</si>
  <si>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</si>
  <si>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</si>
  <si>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</si>
  <si>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</si>
  <si>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</si>
  <si>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</si>
  <si>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</si>
  <si>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</si>
  <si>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</si>
  <si>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</si>
  <si>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</si>
  <si>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</si>
  <si>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</si>
  <si>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</si>
  <si>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</si>
  <si>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</si>
  <si>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</si>
  <si>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</si>
  <si>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</si>
  <si>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</si>
  <si>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</si>
  <si>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</si>
  <si>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</si>
  <si>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</si>
  <si>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</si>
  <si>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</si>
  <si>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</si>
  <si>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</si>
  <si>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</si>
  <si>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</si>
  <si>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</si>
  <si>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</si>
  <si>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</si>
  <si>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</si>
  <si>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</si>
  <si>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</si>
  <si>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</si>
  <si>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</si>
  <si>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</si>
  <si>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</si>
  <si>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</si>
  <si>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</si>
  <si>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</si>
  <si>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</si>
  <si>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</si>
  <si>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</si>
  <si>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</si>
  <si>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</si>
  <si>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</si>
  <si>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</si>
  <si>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</si>
  <si>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</si>
  <si>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</si>
  <si>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</si>
  <si>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</si>
  <si>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</si>
  <si>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</si>
  <si>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</si>
  <si>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</si>
  <si>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</si>
  <si>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</si>
  <si>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</si>
  <si>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</si>
  <si>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</si>
  <si>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</si>
  <si>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</si>
  <si>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</si>
  <si>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</si>
  <si>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</si>
  <si>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</si>
  <si>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</si>
  <si>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</si>
  <si>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</si>
  <si>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</si>
  <si>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</si>
  <si>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</si>
  <si>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</si>
  <si>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</si>
  <si>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</si>
  <si>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</si>
  <si>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</si>
  <si>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</si>
  <si>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</si>
  <si>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</si>
  <si>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</si>
  <si>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</si>
  <si>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</si>
  <si>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</si>
  <si>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</si>
  <si>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</si>
  <si>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</si>
  <si>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</si>
  <si>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</si>
  <si>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</si>
  <si>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</si>
  <si>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</si>
  <si>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</si>
  <si>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</si>
  <si>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</si>
  <si>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</si>
  <si>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</si>
  <si>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</si>
  <si>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</si>
  <si>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</si>
  <si>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</si>
  <si>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</si>
  <si>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</si>
  <si>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</si>
  <si>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</si>
  <si>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</si>
  <si>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</si>
  <si>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</si>
  <si>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</si>
  <si>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</si>
  <si>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</si>
  <si>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</si>
  <si>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</si>
  <si>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</si>
  <si>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</si>
  <si>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</si>
  <si>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</si>
  <si>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</si>
  <si>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</si>
  <si>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</si>
  <si>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</si>
  <si>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</si>
  <si>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</si>
  <si>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</si>
  <si>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</si>
  <si>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</si>
  <si>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</si>
  <si>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</si>
  <si>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</si>
  <si>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</si>
  <si>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</si>
  <si>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</si>
  <si>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</si>
  <si>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</si>
  <si>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</si>
  <si>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</si>
  <si>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</si>
  <si>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</si>
  <si>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</si>
  <si>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</si>
  <si>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</si>
  <si>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</si>
  <si>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</si>
  <si>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</si>
  <si>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</si>
  <si>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</si>
  <si>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</si>
  <si>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</si>
  <si>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</si>
  <si>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</si>
  <si>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</si>
  <si>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</si>
  <si>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</si>
  <si>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</si>
  <si>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</si>
  <si>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</si>
  <si>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</si>
  <si>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</si>
  <si>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</si>
  <si>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</si>
  <si>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</si>
  <si>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</si>
  <si>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</si>
  <si>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</si>
  <si>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</si>
  <si>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</si>
  <si>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</si>
  <si>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</si>
  <si>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</si>
  <si>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</si>
  <si>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</si>
  <si>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</si>
  <si>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</si>
  <si>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</si>
  <si>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</si>
  <si>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</si>
  <si>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</si>
  <si>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</si>
  <si>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</si>
  <si>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</si>
  <si>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</si>
  <si>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</si>
  <si>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</si>
  <si>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</si>
  <si>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</si>
  <si>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</si>
  <si>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</si>
  <si>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</si>
  <si>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</si>
  <si>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</si>
  <si>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</si>
  <si>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</si>
  <si>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</si>
  <si>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</si>
  <si>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</si>
  <si>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</si>
  <si>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</si>
  <si>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</si>
  <si>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</si>
  <si>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</si>
  <si>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</si>
  <si>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</si>
  <si>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</si>
  <si>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</si>
  <si>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</si>
  <si>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</si>
  <si>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</si>
  <si>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</si>
  <si>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</si>
  <si>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</si>
  <si>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</si>
  <si>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</si>
  <si>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</si>
  <si>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</si>
  <si>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</si>
  <si>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</si>
  <si>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</si>
  <si>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</si>
  <si>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</si>
  <si>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</si>
  <si>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</si>
  <si>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</si>
  <si>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</si>
  <si>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</si>
  <si>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</si>
  <si>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</si>
  <si>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</si>
  <si>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</si>
  <si>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</si>
  <si>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</si>
  <si>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</si>
  <si>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</si>
  <si>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</si>
  <si>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</si>
  <si>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</si>
  <si>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</si>
  <si>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</si>
  <si>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</si>
  <si>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</si>
  <si>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</si>
  <si>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</si>
  <si>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</si>
  <si>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</si>
  <si>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</si>
  <si>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</si>
  <si>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</si>
  <si>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</si>
  <si>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</si>
  <si>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</si>
  <si>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</si>
  <si>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</si>
  <si>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</si>
  <si>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</si>
  <si>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</si>
  <si>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</si>
  <si>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</si>
  <si>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</si>
  <si>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</si>
  <si>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</si>
  <si>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</si>
  <si>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</si>
  <si>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</si>
  <si>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</si>
  <si>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</si>
  <si>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</si>
  <si>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</si>
  <si>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</si>
  <si>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</si>
  <si>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</si>
  <si>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</si>
  <si>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</si>
  <si>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</si>
  <si>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</si>
  <si>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</si>
  <si>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</si>
  <si>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</si>
  <si>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</si>
  <si>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</si>
  <si>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</si>
  <si>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</si>
  <si>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</si>
  <si>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</si>
  <si>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</si>
  <si>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</si>
  <si>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</si>
  <si>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</si>
  <si>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</si>
  <si>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</si>
  <si>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</si>
  <si>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</si>
  <si>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</si>
  <si>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</si>
  <si>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</si>
  <si>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</si>
  <si>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</si>
  <si>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</si>
  <si>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</si>
  <si>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</si>
  <si>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</si>
  <si>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</si>
  <si>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</si>
  <si>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</si>
  <si>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</si>
  <si>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</si>
  <si>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</si>
  <si>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</si>
  <si>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</si>
  <si>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</si>
  <si>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</si>
  <si>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</si>
  <si>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</si>
  <si>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</si>
  <si>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</si>
  <si>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</si>
  <si>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</si>
  <si>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</si>
  <si>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</si>
  <si>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</si>
  <si>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</si>
  <si>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</si>
  <si>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</si>
  <si>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</si>
  <si>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</si>
  <si>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</si>
  <si>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</si>
  <si>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</si>
  <si>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</si>
  <si>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</si>
  <si>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</si>
  <si>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</si>
  <si>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</si>
  <si>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</si>
  <si>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</si>
  <si>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</si>
  <si>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</si>
  <si>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</si>
  <si>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</si>
  <si>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</si>
  <si>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</si>
  <si>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</si>
  <si>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</si>
  <si>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</si>
  <si>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</si>
  <si>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</si>
  <si>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</si>
  <si>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</si>
  <si>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</si>
  <si>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</si>
  <si>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</si>
  <si>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</si>
  <si>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</si>
  <si>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</si>
  <si>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</si>
  <si>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</si>
  <si>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</si>
  <si>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</si>
  <si>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</si>
  <si>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</si>
  <si>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</si>
  <si>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</si>
  <si>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</si>
  <si>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</si>
  <si>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</si>
  <si>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</si>
  <si>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</si>
  <si>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</si>
  <si>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</si>
  <si>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</si>
  <si>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</si>
  <si>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</si>
  <si>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</si>
  <si>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</si>
  <si>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</si>
  <si>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</si>
  <si>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</si>
  <si>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</si>
  <si>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</si>
  <si>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</si>
  <si>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</si>
  <si>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</si>
  <si>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</si>
  <si>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</si>
  <si>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</si>
  <si>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</si>
  <si>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</si>
  <si>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</si>
  <si>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</si>
  <si>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</si>
  <si>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</si>
  <si>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</si>
  <si>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</si>
  <si>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</si>
  <si>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</si>
  <si>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</si>
  <si>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</si>
  <si>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</si>
  <si>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</si>
  <si>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</si>
  <si>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</si>
  <si>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</si>
  <si>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</si>
  <si>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</si>
  <si>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</si>
  <si>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</si>
  <si>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</si>
  <si>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</si>
  <si>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</si>
  <si>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</si>
  <si>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</si>
  <si>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</si>
  <si>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</si>
  <si>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</si>
  <si>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</si>
  <si>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</si>
  <si>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</si>
  <si>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</si>
  <si>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</si>
  <si>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</si>
  <si>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</si>
  <si>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</si>
  <si>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</si>
  <si>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</si>
  <si>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</si>
  <si>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</si>
  <si>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</si>
  <si>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</si>
  <si>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</si>
  <si>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</si>
  <si>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</si>
  <si>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</si>
  <si>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</si>
  <si>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</si>
  <si>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</si>
  <si>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</si>
  <si>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</si>
  <si>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</si>
  <si>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</si>
  <si>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</si>
  <si>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</si>
  <si>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</si>
  <si>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</si>
  <si>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</si>
  <si>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</si>
  <si>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</si>
  <si>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</si>
  <si>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</si>
  <si>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</si>
  <si>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</si>
  <si>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</si>
  <si>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</si>
  <si>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</si>
  <si>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</si>
  <si>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</si>
  <si>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</si>
  <si>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</si>
  <si>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SILVIA BOTTURA</t>
  </si>
  <si>
    <t>SASHA ZORDAN</t>
  </si>
  <si>
    <t>TOMMASO MOLO</t>
  </si>
  <si>
    <t>FJORENCO HYSI</t>
  </si>
  <si>
    <t>NOEMI DEIMICHEI</t>
  </si>
  <si>
    <t>Excellent job! No one mistake at the match and very good comunitacion and atitude. It should be noted that it was a very close matched game, with an overtime. Congratulations!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</si>
</sst>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12" sqref="M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11_110_TRN_BUD_U2025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46007.833333333336</v>
      </c>
      <c r="C3" s="178"/>
      <c r="D3" s="39">
        <v>693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Dolomiti Energia Trento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742</v>
      </c>
      <c r="L4" s="5"/>
      <c r="M4" s="185" t="s">
        <v>833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830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"U2025110"</v>
      </c>
      <c r="F3" s="45" t="str">
        <f t="shared" ref="F3:F16" si="0">""""&amp;B3&amp;"""" &amp; " : " &amp;C3&amp;","</f>
        <v>"name" : "U2025110",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"U110"</v>
      </c>
      <c r="F4" s="45" t="str">
        <f t="shared" si="0"/>
        <v>"cod" : "U110",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110</v>
      </c>
      <c r="F6" s="45" t="str">
        <f t="shared" si="0"/>
        <v>"number" : 110,</v>
      </c>
    </row>
    <row r="7" spans="2:6" x14ac:dyDescent="0.25">
      <c r="B7" s="43" t="s">
        <v>116</v>
      </c>
      <c r="C7" s="43" t="str">
        <f ca="1">""""&amp;TEXT('SCOUT &amp; LOGISTICS'!B3,"dd/mm/aaaa")&amp;""""</f>
        <v>"16/12/Tuesday"</v>
      </c>
      <c r="F7" s="45" t="str">
        <f t="shared" ca="1" si="0"/>
        <v>"date" : "16/12/Tuesday",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"TOMMASO MOLO"</v>
      </c>
      <c r="F12" s="45" t="str">
        <f t="shared" si="0"/>
        <v>"Caller_2" : "TOMMASO MOLO",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"FJORENCO HYSI"</v>
      </c>
      <c r="F13" s="45" t="str">
        <f t="shared" si="0"/>
        <v>"Timerkeeper" : "FJORENCO HYSI",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"NOEMI DEIMICHEI"</v>
      </c>
      <c r="F14" s="45" t="str">
        <f t="shared" si="0"/>
        <v>"Shotclock" : "NOEMI DEIMICHEI",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693</v>
      </c>
      <c r="F25" s="45" t="str">
        <f t="shared" ref="F25:F48" si="1">""""&amp;C25&amp;"""" &amp; " : " &amp;D25&amp;","</f>
        <v>"total_actions" : 693,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No one mistake at the match and very good comunitacion and atitude. It should be noted that it was a very close matched game, with an overtime. Congratulations! keep it up!"</v>
      </c>
      <c r="F51" s="45" t="str">
        <f>""""&amp;B51&amp;"""" &amp; " : " &amp;C51&amp;","</f>
        <v>"comments" : "Excellent job! No one mistake at the match and very good comunitacion and atitude. It should be noted that it was a very close matched game, with an overtime. Congratulations! keep it up!",</v>
      </c>
    </row>
    <row r="52" spans="2:6" x14ac:dyDescent="0.25">
      <c r="B52" s="43" t="s">
        <v>153</v>
      </c>
      <c r="C52" s="43" t="str">
        <f>TEXT('SCOUT &amp; LOGISTICS'!F1,"0,0")</f>
        <v>11_110_TRN_BUD_U2025</v>
      </c>
      <c r="F52" s="45" t="str">
        <f>""""&amp;B52&amp;"""" &amp; " : " &amp;C52</f>
        <v>"result" : 11_110_TRN_BUD_U2025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U110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16/12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Dolomiti Energia Trento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SILVIA BOTTURA</v>
      </c>
      <c r="C8" s="201"/>
      <c r="D8" s="201"/>
      <c r="E8" s="201"/>
      <c r="F8" s="201"/>
      <c r="G8" s="201" t="str">
        <f>IF('SCOUT &amp; LOGISTICS'!D7="","",'SCOUT &amp; LOGISTICS'!D7)</f>
        <v>SASHA ZORDAN</v>
      </c>
      <c r="H8" s="201"/>
      <c r="I8" s="201"/>
      <c r="J8" s="201"/>
      <c r="K8" s="201"/>
      <c r="L8" s="201" t="str">
        <f>IF('SCOUT &amp; LOGISTICS'!D8="","",'SCOUT &amp; LOGISTICS'!D8)</f>
        <v>TOMMASO MOLO</v>
      </c>
      <c r="M8" s="201"/>
      <c r="N8" s="201"/>
      <c r="O8" s="201"/>
      <c r="P8" s="201"/>
      <c r="Q8" s="201" t="str">
        <f>IF('SCOUT &amp; LOGISTICS'!D9="","",'SCOUT &amp; LOGISTICS'!D9)</f>
        <v>FJORENCO HYSI</v>
      </c>
      <c r="R8" s="201"/>
      <c r="S8" s="201"/>
      <c r="T8" s="201"/>
      <c r="U8" s="201"/>
      <c r="V8" s="201" t="str">
        <f>IF('SCOUT &amp; LOGISTICS'!D10="","",'SCOUT &amp; LOGISTICS'!D10)</f>
        <v>NOEMI DEIMICHEI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693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Excellent job! No one mistake at the match and very good comunitacion and atitude. It should be noted that it was a very close matched game, with an overtime. Congratulations!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5E2AEEF-003F-4AC4-9E87-BC6CD0F631A7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2025-12-17T15:23:33Z</cp:lastPrinted>
  <dcterms:created xsi:type="dcterms:W3CDTF">2023-09-19T19:50:35Z</dcterms:created>
  <dcterms:modified xsi:type="dcterms:W3CDTF">2025-12-17T15:25:56Z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