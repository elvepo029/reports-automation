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1" documentId="8_{51FF1B86-77C8-4619-B893-D59F4F5EFD3E}" xr6:coauthVersionLast="47" xr6:coauthVersionMax="47" xr10:uidLastSave="{962AAE66-3559-4E8E-9073-473D262291A1}"/>
  <bookViews>
    <workbookView xWindow="-750" yWindow="-15675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<sst xmlns="http://schemas.openxmlformats.org/spreadsheetml/2006/main" count="3270" uniqueCount="763">
  <si>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</si>
  <si>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</si>
  <si>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</si>
  <si>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</si>
  <si>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</si>
  <si>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</si>
  <si>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</si>
  <si>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</si>
  <si>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</si>
  <si>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</si>
  <si>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</si>
  <si>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</si>
  <si>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</si>
  <si>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</si>
  <si>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</si>
  <si>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</si>
  <si>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</si>
  <si>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</si>
  <si>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</si>
  <si>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</si>
  <si>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</si>
  <si>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</si>
  <si>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</si>
  <si>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</si>
  <si>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</si>
  <si>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</si>
  <si>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</si>
  <si>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</si>
  <si>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</si>
  <si>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</si>
  <si>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</si>
  <si>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</si>
  <si>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</si>
  <si>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</si>
  <si>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</si>
  <si>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</si>
  <si>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</si>
  <si>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</si>
  <si>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</si>
  <si>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</si>
  <si>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</si>
  <si>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</si>
  <si>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</si>
  <si>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</si>
  <si>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</si>
  <si>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</si>
  <si>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</si>
  <si>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</si>
  <si>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</si>
  <si>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</si>
  <si>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</si>
  <si>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</si>
  <si>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</si>
  <si>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</si>
  <si>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</si>
  <si>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</si>
  <si>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</si>
  <si>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</si>
  <si>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</si>
  <si>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</si>
  <si>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</si>
  <si>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</si>
  <si>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</si>
  <si>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</si>
  <si>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</si>
  <si>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</si>
  <si>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</si>
  <si>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</si>
  <si>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</si>
  <si>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</si>
  <si>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</si>
  <si>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</si>
  <si>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</si>
  <si>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</si>
  <si>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</si>
  <si>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</si>
  <si>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</si>
  <si>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</si>
  <si>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</si>
  <si>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</si>
  <si>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</si>
  <si>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</si>
  <si>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</si>
  <si>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</si>
  <si>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</si>
  <si>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</si>
  <si>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</si>
  <si>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</si>
  <si>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</si>
  <si>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</si>
  <si>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</si>
  <si>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</si>
  <si>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</si>
  <si>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</si>
  <si>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</si>
  <si>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</si>
  <si>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</si>
  <si>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</si>
  <si>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</si>
  <si>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</si>
  <si>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</si>
  <si>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</si>
  <si>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</si>
  <si>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</si>
  <si>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</si>
  <si>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</si>
  <si>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</si>
  <si>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</si>
  <si>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</si>
  <si>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</si>
  <si>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</si>
  <si>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</si>
  <si>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</si>
  <si>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</si>
  <si>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</si>
  <si>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</si>
  <si>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</si>
  <si>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</si>
  <si>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</si>
  <si>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</si>
  <si>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</si>
  <si>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</si>
  <si>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</si>
  <si>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</si>
  <si>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</si>
  <si>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</si>
  <si>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</si>
  <si>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</si>
  <si>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</si>
  <si>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</si>
  <si>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</si>
  <si>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</si>
  <si>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</si>
  <si>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</si>
  <si>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</si>
  <si>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</si>
  <si>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</si>
  <si>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</si>
  <si>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</si>
  <si>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</si>
  <si>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</si>
  <si>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</si>
  <si>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</si>
  <si>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</si>
  <si>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</si>
  <si>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</si>
  <si>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</si>
  <si>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</si>
  <si>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</si>
  <si>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</si>
  <si>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</si>
  <si>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</si>
  <si>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</si>
  <si>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</si>
  <si>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</si>
  <si>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</si>
  <si>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</si>
  <si>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</si>
  <si>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</si>
  <si>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</si>
  <si>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</si>
  <si>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</si>
  <si>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</si>
  <si>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</si>
  <si>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</si>
  <si>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</si>
  <si>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</si>
  <si>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</si>
  <si>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</si>
  <si>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</si>
  <si>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</si>
  <si>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</si>
  <si>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</si>
  <si>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</si>
  <si>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</si>
  <si>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</si>
  <si>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</si>
  <si>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</si>
  <si>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</si>
  <si>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</si>
  <si>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</si>
  <si>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</si>
  <si>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</si>
  <si>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</si>
  <si>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</si>
  <si>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</si>
  <si>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</si>
  <si>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</si>
  <si>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</si>
  <si>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</si>
  <si>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</si>
  <si>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</si>
  <si>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</si>
  <si>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</si>
  <si>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</si>
  <si>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</si>
  <si>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</si>
  <si>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</si>
  <si>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</si>
  <si>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</si>
  <si>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</si>
  <si>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</si>
  <si>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</si>
  <si>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</si>
  <si>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</si>
  <si>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</si>
  <si>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</si>
  <si>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</si>
  <si>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</si>
  <si>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</si>
  <si>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</si>
  <si>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</si>
  <si>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</si>
  <si>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</si>
  <si>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</si>
  <si>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</si>
  <si>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</si>
  <si>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</si>
  <si>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</si>
  <si>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</si>
  <si>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</si>
  <si>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</si>
  <si>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</si>
  <si>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</si>
  <si>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</si>
  <si>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</si>
  <si>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</si>
  <si>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</si>
  <si>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</si>
  <si>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</si>
  <si>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</si>
  <si>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</si>
  <si>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</si>
  <si>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</si>
  <si>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</si>
  <si>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</si>
  <si>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</si>
  <si>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</si>
  <si>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</si>
  <si>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</si>
  <si>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</si>
  <si>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</si>
  <si>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</si>
  <si>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</si>
  <si>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</si>
  <si>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</si>
  <si>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</si>
  <si>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</si>
  <si>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</si>
  <si>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</si>
  <si>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</si>
  <si>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</si>
  <si>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</si>
  <si>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</si>
  <si>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</si>
  <si>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</si>
  <si>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</si>
  <si>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</si>
  <si>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</si>
  <si>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</si>
  <si>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</si>
  <si>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</si>
  <si>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</si>
  <si>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</si>
  <si>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</si>
  <si>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</si>
  <si>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</si>
  <si>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</si>
  <si>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</si>
  <si>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</si>
  <si>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</si>
  <si>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</si>
  <si>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</si>
  <si>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</si>
  <si>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</si>
  <si>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</si>
  <si>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</si>
  <si>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</si>
  <si>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</si>
  <si>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</si>
  <si>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</si>
  <si>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</si>
  <si>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</si>
  <si>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</si>
  <si>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</si>
  <si>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</si>
  <si>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</si>
  <si>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</si>
  <si>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</si>
  <si>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</si>
  <si>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</si>
  <si>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</si>
  <si>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</si>
  <si>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</si>
  <si>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</si>
  <si>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</si>
  <si>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</si>
  <si>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</si>
  <si>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</si>
  <si>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</si>
  <si>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</si>
  <si>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</si>
  <si>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</si>
  <si>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</si>
  <si>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</si>
  <si>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</si>
  <si>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</si>
  <si>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</si>
  <si>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</si>
  <si>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</si>
  <si>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</si>
  <si>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</si>
  <si>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</si>
  <si>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</si>
  <si>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</si>
  <si>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</si>
  <si>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</si>
  <si>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</si>
  <si>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</si>
  <si>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</si>
  <si>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</si>
  <si>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</si>
  <si>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</si>
  <si>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</si>
  <si>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</si>
  <si>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</si>
  <si>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</si>
  <si>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</si>
  <si>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</si>
  <si>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</si>
  <si>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</si>
  <si>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</si>
  <si>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</si>
  <si>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</si>
  <si>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</si>
  <si>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</si>
  <si>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</si>
  <si>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</si>
  <si>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</si>
  <si>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</si>
  <si>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</si>
  <si>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</si>
  <si>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</si>
  <si>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</si>
  <si>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</si>
  <si>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</si>
  <si>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</si>
  <si>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</si>
  <si>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</si>
  <si>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</si>
  <si>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</si>
  <si>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</si>
  <si>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</si>
  <si>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</si>
  <si>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</si>
  <si>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</si>
  <si>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</si>
  <si>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</si>
  <si>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</si>
  <si>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</si>
  <si>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</si>
  <si>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</si>
  <si>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</si>
  <si>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</si>
  <si>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</si>
  <si>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</si>
  <si>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</si>
  <si>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</si>
  <si>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</si>
  <si>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</si>
  <si>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</si>
  <si>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</si>
  <si>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</si>
  <si>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</si>
  <si>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</si>
  <si>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</si>
  <si>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</si>
  <si>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</si>
  <si>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</si>
  <si>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</si>
  <si>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</si>
  <si>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</si>
  <si>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</si>
  <si>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</si>
  <si>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</si>
  <si>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</si>
  <si>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</si>
  <si>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</si>
  <si>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</si>
  <si>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</si>
  <si>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</si>
  <si>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</si>
  <si>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</si>
  <si>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</si>
  <si>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</si>
  <si>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</si>
  <si>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</si>
  <si>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</si>
  <si>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</si>
  <si>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</si>
  <si>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</si>
  <si>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</si>
  <si>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</si>
  <si>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</si>
  <si>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</si>
  <si>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</si>
  <si>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</si>
  <si>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</si>
  <si>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</si>
  <si>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</si>
  <si>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</si>
  <si>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</si>
  <si>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</si>
  <si>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</si>
  <si>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</si>
  <si>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</si>
  <si>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</si>
  <si>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</si>
  <si>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</si>
  <si>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</si>
  <si>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</si>
  <si>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</si>
  <si>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</si>
  <si>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</si>
  <si>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</si>
  <si>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</si>
  <si>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</si>
  <si>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</si>
  <si>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</si>
  <si>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</si>
  <si>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</si>
  <si>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</si>
  <si>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</si>
  <si>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</si>
  <si>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</si>
  <si>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</si>
  <si>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</si>
  <si>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</si>
  <si>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</si>
  <si>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</si>
  <si>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</si>
  <si>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</si>
  <si>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</si>
  <si>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</si>
  <si>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</si>
  <si>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</si>
  <si>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</si>
  <si>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</si>
  <si>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</si>
  <si>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</si>
  <si>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</si>
  <si>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</si>
  <si>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</si>
  <si>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</si>
  <si>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</si>
  <si>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</si>
  <si>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</si>
  <si>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</si>
  <si>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</si>
  <si>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</si>
  <si>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</si>
  <si>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</si>
  <si>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</si>
  <si>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</si>
  <si>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</si>
  <si>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</si>
  <si>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</si>
  <si>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</si>
  <si>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</si>
  <si>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</si>
  <si>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</si>
  <si>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</si>
  <si>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</si>
  <si>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</si>
  <si>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</si>
  <si>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</si>
  <si>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</si>
  <si>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</si>
  <si>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</si>
  <si>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</si>
  <si>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</si>
  <si>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</si>
  <si>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</si>
  <si>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</si>
  <si>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</si>
  <si>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</si>
  <si>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</si>
  <si>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</si>
  <si>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</si>
  <si>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</si>
  <si>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</si>
  <si>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</si>
  <si>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</si>
  <si>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</si>
  <si>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</si>
  <si>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</si>
  <si>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</si>
  <si>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</si>
  <si>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</si>
  <si>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</si>
  <si>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</si>
  <si>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</si>
  <si>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</si>
  <si>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</si>
  <si>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</si>
  <si>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</si>
  <si>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</si>
  <si>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</si>
  <si>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</si>
  <si>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</si>
  <si>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</si>
  <si>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</si>
  <si>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</si>
  <si>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</si>
  <si>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</si>
  <si>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</si>
  <si>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</si>
  <si>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</si>
  <si>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</si>
  <si>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</si>
  <si>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</si>
  <si>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</si>
  <si>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</si>
  <si>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</si>
  <si>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</si>
  <si>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</si>
  <si>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</si>
  <si>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</si>
  <si>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</si>
  <si>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</si>
  <si>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</si>
  <si>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</si>
  <si>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</si>
  <si>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</si>
  <si>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</si>
  <si>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</si>
  <si>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</si>
  <si>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</si>
  <si>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</si>
  <si>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</si>
  <si>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</si>
  <si>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</si>
  <si>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</si>
  <si>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</si>
  <si>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</si>
  <si>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</si>
  <si>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</si>
  <si>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</si>
  <si>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</si>
  <si>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</si>
  <si>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</si>
  <si>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</si>
  <si>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</si>
  <si>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</si>
  <si>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</si>
  <si>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</si>
  <si>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</si>
  <si>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</si>
  <si>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</si>
  <si>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</si>
  <si>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</si>
  <si>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</si>
  <si>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</si>
  <si>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</si>
  <si>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</si>
  <si>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</si>
  <si>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</si>
  <si>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</si>
  <si>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</si>
  <si>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</si>
  <si>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</si>
  <si>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</si>
  <si>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</si>
  <si>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</si>
  <si>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</si>
  <si>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</si>
  <si>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</si>
  <si>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</si>
  <si>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</si>
  <si>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</si>
  <si>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</si>
  <si>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</si>
  <si>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</si>
  <si>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</si>
  <si>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</si>
  <si>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</si>
  <si>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</si>
  <si>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</si>
  <si>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</si>
  <si>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</si>
  <si>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</si>
  <si>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</si>
  <si>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</si>
  <si>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</si>
  <si>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</si>
  <si>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</si>
  <si>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</si>
  <si>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</si>
  <si>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</si>
  <si>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</si>
  <si>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</si>
  <si>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</si>
  <si>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</si>
  <si>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</si>
  <si>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</si>
  <si>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</si>
  <si>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</si>
  <si>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</si>
  <si>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</si>
  <si>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</si>
  <si>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</si>
  <si>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</si>
  <si>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</si>
  <si>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</si>
  <si>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</si>
  <si>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</si>
  <si>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</si>
  <si>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</si>
  <si>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</si>
  <si>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</si>
  <si>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</si>
  <si>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</si>
  <si>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</si>
  <si>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</si>
  <si>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</si>
  <si>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</si>
  <si>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</si>
  <si>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</si>
  <si>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</si>
  <si>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</si>
  <si>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</si>
  <si>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</si>
  <si>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</si>
  <si>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</si>
  <si>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</si>
  <si>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</si>
  <si>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</si>
  <si>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</si>
  <si>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</si>
  <si>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</si>
  <si>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</si>
  <si>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</si>
  <si>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</si>
  <si>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</si>
  <si>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</si>
  <si>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</si>
  <si>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</si>
  <si>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</si>
  <si>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</si>
  <si>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</si>
  <si>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</si>
  <si>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</si>
  <si>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</si>
  <si>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</si>
  <si>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</si>
  <si>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</si>
  <si>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</si>
  <si>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</si>
  <si>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</si>
  <si>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</si>
  <si>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</si>
  <si>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</si>
  <si>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</si>
  <si>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</si>
  <si>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</si>
  <si>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</si>
  <si>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</si>
  <si>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</si>
  <si>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</si>
  <si>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</si>
  <si>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</si>
  <si>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</si>
  <si>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</si>
  <si>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</si>
  <si>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</si>
  <si>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</si>
  <si>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</si>
  <si>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</si>
  <si>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</si>
  <si>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</si>
  <si>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</si>
  <si>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</si>
  <si>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</si>
  <si>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</si>
  <si>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</si>
  <si>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</si>
  <si>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</si>
  <si>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</si>
  <si>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</si>
  <si>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</si>
  <si>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</si>
  <si>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</si>
  <si>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</si>
  <si>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</si>
  <si>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</si>
  <si>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</si>
  <si>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</si>
  <si>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</si>
  <si>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</si>
  <si>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</si>
  <si>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</si>
  <si>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</si>
  <si>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</si>
  <si>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</si>
  <si>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</si>
  <si>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</si>
  <si>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</si>
  <si>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</si>
  <si>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</si>
  <si>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</si>
  <si>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</si>
  <si>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</si>
  <si>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</si>
  <si>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</si>
  <si>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</si>
  <si>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</si>
  <si>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</si>
  <si>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</si>
  <si>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</si>
  <si>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</si>
  <si>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</si>
  <si>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</si>
  <si>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</si>
  <si>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</si>
  <si>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</si>
  <si>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</si>
  <si>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</si>
  <si>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</si>
  <si>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</si>
  <si>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</si>
  <si>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</si>
  <si>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</si>
  <si>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</si>
  <si>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</si>
  <si>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</si>
  <si>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</si>
  <si>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</si>
  <si>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</si>
  <si>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</si>
  <si>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</si>
  <si>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</si>
  <si>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</si>
  <si>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</si>
  <si>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</si>
  <si>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</si>
  <si>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</si>
  <si>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</si>
  <si>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</si>
  <si>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</si>
  <si>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07:48</t>
  </si>
  <si>
    <t>06:29</t>
  </si>
  <si>
    <t>05:53</t>
  </si>
  <si>
    <t>02:18</t>
  </si>
  <si>
    <t>05:52</t>
  </si>
  <si>
    <t>Fantastic job! Some missidentites on the 1st half, but on the second one you improved your focus and you nailed it with a perfect performance! Congratulations!</t>
  </si>
  <si>
    <t>STEPHANE DURIEUX</t>
  </si>
  <si>
    <t>FLORENT BOITON</t>
  </si>
  <si>
    <t>STEPHANE FITOUSSI</t>
  </si>
  <si>
    <t>CEDRIC LAURANCY</t>
  </si>
  <si>
    <t>SOPHIE GAUDIN</t>
  </si>
  <si>
    <t>YOHAN STROBEL</t>
  </si>
  <si>
    <t>ELOI VERGÉ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</si>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</sst>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12_111_ASV_MCO_E2025</v>
      </c>
      <c r="G1" s="5"/>
      <c r="H1" s="5"/>
      <c r="I1" s="5"/>
      <c r="J1" s="8" t="s">
        <v>707</v>
      </c>
      <c r="K1" s="121" t="s">
        <v>762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45980.833333333336</v>
      </c>
      <c r="C3" s="178"/>
      <c r="D3" s="39">
        <v>598</v>
      </c>
      <c r="E3" s="29"/>
      <c r="F3" s="26">
        <f>SUBTOTAL(3,I17:I106)</f>
        <v>5</v>
      </c>
      <c r="G3" s="27">
        <f>IF(OR(D3="",D3=0),"",F3/D3)</f>
        <v>8.3612040133779261E-3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742</v>
      </c>
      <c r="L4" s="5"/>
      <c r="M4" s="185" t="s">
        <v>754</v>
      </c>
      <c r="N4" s="186"/>
      <c r="O4" s="2"/>
      <c r="P4" s="2"/>
      <c r="Q4" s="84" t="s">
        <v>175</v>
      </c>
      <c r="R4" s="94">
        <f>(IF(G3="",0,G3))</f>
        <v>8.3612040133779261E-3</v>
      </c>
      <c r="S4" s="61">
        <f>SUM(I13:M13)</f>
        <v>0</v>
      </c>
      <c r="T4" s="78"/>
      <c r="U4" s="61">
        <f>AC18</f>
        <v>0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0.83612040133779264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5.8361204013377925</v>
      </c>
      <c r="N7" s="58"/>
      <c r="O7" s="2"/>
      <c r="P7" s="2"/>
      <c r="Q7" s="86">
        <f>SUM(R5,S5,AC16)</f>
        <v>5.8361204013377925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5.8361204013377925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760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761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111</v>
      </c>
      <c r="D17" s="32" t="s">
        <v>749</v>
      </c>
      <c r="E17" s="33">
        <v>1</v>
      </c>
      <c r="F17" s="36">
        <v>4</v>
      </c>
      <c r="G17" s="36">
        <v>2</v>
      </c>
      <c r="H17" s="38" t="str">
        <f>IF(I17="","",$I$14)</f>
        <v>SCOUTING</v>
      </c>
      <c r="I17" s="34">
        <v>24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111</v>
      </c>
      <c r="D18" s="32" t="s">
        <v>750</v>
      </c>
      <c r="E18" s="33">
        <v>1</v>
      </c>
      <c r="F18" s="36">
        <v>7</v>
      </c>
      <c r="G18" s="36">
        <v>4</v>
      </c>
      <c r="H18" s="38" t="str">
        <f t="shared" ref="H18:H81" si="8">IF(I18="","",$I$14)</f>
        <v>SCOUTING</v>
      </c>
      <c r="I18" s="34">
        <v>45</v>
      </c>
      <c r="J18" s="13" t="s">
        <v>4</v>
      </c>
      <c r="K18" s="13" t="s">
        <v>63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111</v>
      </c>
      <c r="D19" s="32" t="s">
        <v>751</v>
      </c>
      <c r="E19" s="33">
        <v>1</v>
      </c>
      <c r="F19" s="36">
        <v>7</v>
      </c>
      <c r="G19" s="36">
        <v>4</v>
      </c>
      <c r="H19" s="38" t="str">
        <f t="shared" si="8"/>
        <v>SCOUTING</v>
      </c>
      <c r="I19" s="34">
        <v>59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111</v>
      </c>
      <c r="D20" s="32" t="s">
        <v>752</v>
      </c>
      <c r="E20" s="33">
        <v>1</v>
      </c>
      <c r="F20" s="36">
        <v>9</v>
      </c>
      <c r="G20" s="36">
        <v>12</v>
      </c>
      <c r="H20" s="38" t="str">
        <f t="shared" si="8"/>
        <v>SCOUTING</v>
      </c>
      <c r="I20" s="34">
        <v>128</v>
      </c>
      <c r="J20" s="13" t="s">
        <v>4</v>
      </c>
      <c r="K20" s="13" t="s">
        <v>62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111</v>
      </c>
      <c r="D21" s="32" t="s">
        <v>753</v>
      </c>
      <c r="E21" s="33">
        <v>2</v>
      </c>
      <c r="F21" s="36">
        <v>13</v>
      </c>
      <c r="G21" s="36">
        <v>22</v>
      </c>
      <c r="H21" s="38" t="str">
        <f t="shared" si="8"/>
        <v>SCOUTING</v>
      </c>
      <c r="I21" s="34">
        <v>215</v>
      </c>
      <c r="J21" s="13" t="s">
        <v>4</v>
      </c>
      <c r="K21" s="13" t="s">
        <v>62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REPORT_E2025111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"E2025111"</v>
      </c>
      <c r="F3" s="45" t="str">
        <f t="shared" ref="F3:F16" si="0">""""&amp;B3&amp;"""" &amp; " : " &amp;C3&amp;","</f>
        <v>"name" : "E2025111",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"E111"</v>
      </c>
      <c r="F4" s="45" t="str">
        <f t="shared" si="0"/>
        <v>"cod" : "E111",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111</v>
      </c>
      <c r="F6" s="45" t="str">
        <f t="shared" si="0"/>
        <v>"number" : 111,</v>
      </c>
    </row>
    <row r="7" spans="2:6" x14ac:dyDescent="0.2">
      <c r="B7" s="43" t="s">
        <v>116</v>
      </c>
      <c r="C7" s="43" t="str">
        <f ca="1">""""&amp;TEXT('SCOUT &amp; LOGISTICS'!B3,"dd/mm/aaaa")&amp;""""</f>
        <v>"19/11/Wednesday"</v>
      </c>
      <c r="F7" s="45" t="str">
        <f t="shared" ca="1" si="0"/>
        <v>"date" : "19/11/Wednesday",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"FLORENT BOITON"</v>
      </c>
      <c r="F11" s="45" t="str">
        <f t="shared" si="0"/>
        <v>"Caller_1" : "FLORENT BOITON",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"CEDRIC LAURANCY"</v>
      </c>
      <c r="F13" s="45" t="str">
        <f t="shared" si="0"/>
        <v>"Timerkeeper" : "CEDRIC LAURANCY",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"SOPHIE GAUDIN"</v>
      </c>
      <c r="F14" s="45" t="str">
        <f t="shared" si="0"/>
        <v>"Shotclock" : "SOPHIE GAUDIN",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598</v>
      </c>
      <c r="F25" s="45" t="str">
        <f t="shared" ref="F25:F48" si="1">""""&amp;C25&amp;"""" &amp; " : " &amp;D25&amp;","</f>
        <v>"total_actions" : 598,</v>
      </c>
    </row>
    <row r="26" spans="2:6" x14ac:dyDescent="0.2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">
      <c r="C27" s="43" t="s">
        <v>133</v>
      </c>
      <c r="D27" s="43" t="str">
        <f>""""&amp;IF(OR(D25="",D25=0),"",TEXT(D26/D25,"0,0%"))&amp;""""</f>
        <v>"0,8%"</v>
      </c>
      <c r="F27" s="45" t="str">
        <f t="shared" si="1"/>
        <v>"%_corrections" : "0,8%",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"Fantastic job! Some missidentites on the 1st half, but on the second one you improved your focus and you nailed it with a perfect performance! Congratulations!"</v>
      </c>
      <c r="F51" s="45" t="str">
        <f>""""&amp;B51&amp;"""" &amp; " : " &amp;C51&amp;","</f>
        <v>"comments" : "Fantastic job! Some missidentites on the 1st half, but on the second one you improved your focus and you nailed it with a perfect performance! Congratulations!",</v>
      </c>
    </row>
    <row r="52" spans="2:6" x14ac:dyDescent="0.2">
      <c r="B52" s="43" t="s">
        <v>153</v>
      </c>
      <c r="C52" s="43" t="str">
        <f>TEXT('SCOUT &amp; LOGISTICS'!F1,"0,0")</f>
        <v>12_111_ASV_MCO_E2025</v>
      </c>
      <c r="F52" s="45" t="str">
        <f>""""&amp;B52&amp;"""" &amp; " : " &amp;C52</f>
        <v>"result" : 12_111_ASV_MCO_E2025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E111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DURIEUX</v>
      </c>
      <c r="C8" s="201"/>
      <c r="D8" s="201"/>
      <c r="E8" s="201"/>
      <c r="F8" s="201"/>
      <c r="G8" s="201" t="str">
        <f>IF('SCOUT &amp; LOGISTICS'!D7="","",'SCOUT &amp; LOGISTICS'!D7)</f>
        <v>FLORENT BOITON</v>
      </c>
      <c r="H8" s="201"/>
      <c r="I8" s="201"/>
      <c r="J8" s="201"/>
      <c r="K8" s="201"/>
      <c r="L8" s="201" t="str">
        <f>IF('SCOUT &amp; LOGISTICS'!D8="","",'SCOUT &amp; LOGISTICS'!D8)</f>
        <v>STEPHANE FITOUSSI</v>
      </c>
      <c r="M8" s="201"/>
      <c r="N8" s="201"/>
      <c r="O8" s="201"/>
      <c r="P8" s="201"/>
      <c r="Q8" s="201" t="str">
        <f>IF('SCOUT &amp; LOGISTICS'!D9="","",'SCOUT &amp; LOGISTICS'!D9)</f>
        <v>CEDRIC LAURANCY</v>
      </c>
      <c r="R8" s="201"/>
      <c r="S8" s="201"/>
      <c r="T8" s="201"/>
      <c r="U8" s="201"/>
      <c r="V8" s="201" t="str">
        <f>IF('SCOUT &amp; LOGISTICS'!D10="","",'SCOUT &amp; LOGISTICS'!D10)</f>
        <v>SOPHIE GAUDIN</v>
      </c>
      <c r="W8" s="201"/>
      <c r="X8" s="201"/>
      <c r="Y8" s="201"/>
      <c r="Z8" s="201"/>
      <c r="AA8" s="201" t="str">
        <f>IF('SCOUT &amp; LOGISTICS'!D11="","",'SCOUT &amp; LOGISTICS'!D11)</f>
        <v>YOHAN STROBEL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598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8.3612040133779261E-3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5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Fantastic job! Some missidentites on the 1st half, but on the second one you improved your focus and you nailed it with a perfect performance! Congratulations!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5.8361204013377925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5DD73F-9268-4564-A8B0-83E348D886E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2025-11-21T18:40:36Z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