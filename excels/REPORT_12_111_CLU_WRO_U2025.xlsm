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oi.verge\Projects\reports-automation\excels\"/>
    </mc:Choice>
  </mc:AlternateContent>
  <xr:revisionPtr revIDLastSave="0" documentId="13_ncr:1_{1A260D14-7BD2-4054-AB04-F5BF31880CFE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<sst xmlns="http://schemas.openxmlformats.org/spreadsheetml/2006/main" count="3348" uniqueCount="836">
  <si>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</si>
  <si>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</si>
  <si>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</si>
  <si>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</si>
  <si>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</si>
  <si>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</si>
  <si>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</si>
  <si>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</si>
  <si>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</si>
  <si>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</si>
  <si>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</si>
  <si>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</si>
  <si>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</si>
  <si>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</si>
  <si>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</si>
  <si>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</si>
  <si>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</si>
  <si>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</si>
  <si>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</si>
  <si>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</si>
  <si>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</si>
  <si>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</si>
  <si>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</si>
  <si>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</si>
  <si>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</si>
  <si>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</si>
  <si>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</si>
  <si>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</si>
  <si>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</si>
  <si>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</si>
  <si>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</si>
  <si>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</si>
  <si>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</si>
  <si>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</si>
  <si>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</si>
  <si>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</si>
  <si>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</si>
  <si>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</si>
  <si>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</si>
  <si>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</si>
  <si>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</si>
  <si>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</si>
  <si>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</si>
  <si>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</si>
  <si>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</si>
  <si>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</si>
  <si>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</si>
  <si>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</si>
  <si>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</si>
  <si>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</si>
  <si>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</si>
  <si>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</si>
  <si>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</si>
  <si>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</si>
  <si>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</si>
  <si>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</si>
  <si>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</si>
  <si>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</si>
  <si>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</si>
  <si>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</si>
  <si>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</si>
  <si>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</si>
  <si>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</si>
  <si>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</si>
  <si>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</si>
  <si>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</si>
  <si>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</si>
  <si>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</si>
  <si>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</si>
  <si>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</si>
  <si>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</si>
  <si>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</si>
  <si>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</si>
  <si>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</si>
  <si>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</si>
  <si>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</si>
  <si>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</si>
  <si>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</si>
  <si>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</si>
  <si>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</si>
  <si>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</si>
  <si>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</si>
  <si>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</si>
  <si>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</si>
  <si>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</si>
  <si>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</si>
  <si>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</si>
  <si>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</si>
  <si>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</si>
  <si>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</si>
  <si>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</si>
  <si>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</si>
  <si>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</si>
  <si>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</si>
  <si>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</si>
  <si>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</si>
  <si>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</si>
  <si>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</si>
  <si>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</si>
  <si>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</si>
  <si>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</si>
  <si>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</si>
  <si>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</si>
  <si>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</si>
  <si>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</si>
  <si>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</si>
  <si>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</si>
  <si>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</si>
  <si>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</si>
  <si>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</si>
  <si>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</si>
  <si>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</si>
  <si>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</si>
  <si>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</si>
  <si>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</si>
  <si>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</si>
  <si>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</si>
  <si>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</si>
  <si>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</si>
  <si>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</si>
  <si>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</si>
  <si>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</si>
  <si>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</si>
  <si>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</si>
  <si>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</si>
  <si>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</si>
  <si>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</si>
  <si>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</si>
  <si>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</si>
  <si>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</si>
  <si>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</si>
  <si>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</si>
  <si>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</si>
  <si>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</si>
  <si>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</si>
  <si>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</si>
  <si>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</si>
  <si>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</si>
  <si>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</si>
  <si>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</si>
  <si>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</si>
  <si>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</si>
  <si>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</si>
  <si>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</si>
  <si>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</si>
  <si>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</si>
  <si>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</si>
  <si>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</si>
  <si>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</si>
  <si>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</si>
  <si>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</si>
  <si>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</si>
  <si>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</si>
  <si>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</si>
  <si>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</si>
  <si>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</si>
  <si>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</si>
  <si>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</si>
  <si>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</si>
  <si>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</si>
  <si>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</si>
  <si>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</si>
  <si>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</si>
  <si>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</si>
  <si>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</si>
  <si>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</si>
  <si>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</si>
  <si>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</si>
  <si>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</si>
  <si>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</si>
  <si>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</si>
  <si>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</si>
  <si>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</si>
  <si>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</si>
  <si>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</si>
  <si>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</si>
  <si>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</si>
  <si>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</si>
  <si>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</si>
  <si>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</si>
  <si>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</si>
  <si>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</si>
  <si>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</si>
  <si>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</si>
  <si>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</si>
  <si>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</si>
  <si>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</si>
  <si>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</si>
  <si>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</si>
  <si>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</si>
  <si>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</si>
  <si>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</si>
  <si>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</si>
  <si>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</si>
  <si>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</si>
  <si>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</si>
  <si>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</si>
  <si>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</si>
  <si>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</si>
  <si>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</si>
  <si>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</si>
  <si>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</si>
  <si>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</si>
  <si>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</si>
  <si>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</si>
  <si>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</si>
  <si>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</si>
  <si>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</si>
  <si>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</si>
  <si>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</si>
  <si>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</si>
  <si>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</si>
  <si>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</si>
  <si>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</si>
  <si>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</si>
  <si>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</si>
  <si>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</si>
  <si>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</si>
  <si>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</si>
  <si>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</si>
  <si>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</si>
  <si>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</si>
  <si>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</si>
  <si>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</si>
  <si>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</si>
  <si>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</si>
  <si>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</si>
  <si>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</si>
  <si>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</si>
  <si>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</si>
  <si>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</si>
  <si>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</si>
  <si>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</si>
  <si>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</si>
  <si>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</si>
  <si>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</si>
  <si>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</si>
  <si>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</si>
  <si>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</si>
  <si>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</si>
  <si>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</si>
  <si>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</si>
  <si>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</si>
  <si>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</si>
  <si>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</si>
  <si>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</si>
  <si>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</si>
  <si>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</si>
  <si>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</si>
  <si>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</si>
  <si>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</si>
  <si>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</si>
  <si>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</si>
  <si>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</si>
  <si>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</si>
  <si>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</si>
  <si>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</si>
  <si>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</si>
  <si>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</si>
  <si>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</si>
  <si>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</si>
  <si>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</si>
  <si>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</si>
  <si>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</si>
  <si>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</si>
  <si>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</si>
  <si>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</si>
  <si>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</si>
  <si>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</si>
  <si>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</si>
  <si>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</si>
  <si>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</si>
  <si>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</si>
  <si>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</si>
  <si>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</si>
  <si>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</si>
  <si>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</si>
  <si>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</si>
  <si>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</si>
  <si>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</si>
  <si>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</si>
  <si>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</si>
  <si>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</si>
  <si>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</si>
  <si>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</si>
  <si>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</si>
  <si>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</si>
  <si>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</si>
  <si>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</si>
  <si>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</si>
  <si>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</si>
  <si>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</si>
  <si>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</si>
  <si>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</si>
  <si>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</si>
  <si>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</si>
  <si>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</si>
  <si>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</si>
  <si>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</si>
  <si>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</si>
  <si>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</si>
  <si>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</si>
  <si>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</si>
  <si>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</si>
  <si>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</si>
  <si>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</si>
  <si>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</si>
  <si>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</si>
  <si>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</si>
  <si>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</si>
  <si>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</si>
  <si>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</si>
  <si>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</si>
  <si>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</si>
  <si>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</si>
  <si>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</si>
  <si>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</si>
  <si>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</si>
  <si>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</si>
  <si>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</si>
  <si>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</si>
  <si>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</si>
  <si>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</si>
  <si>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</si>
  <si>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</si>
  <si>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</si>
  <si>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</si>
  <si>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</si>
  <si>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</si>
  <si>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</si>
  <si>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</si>
  <si>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</si>
  <si>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</si>
  <si>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</si>
  <si>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</si>
  <si>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</si>
  <si>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</si>
  <si>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</si>
  <si>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</si>
  <si>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</si>
  <si>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</si>
  <si>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</si>
  <si>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</si>
  <si>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</si>
  <si>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</si>
  <si>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</si>
  <si>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</si>
  <si>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</si>
  <si>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</si>
  <si>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</si>
  <si>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</si>
  <si>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</si>
  <si>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</si>
  <si>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</si>
  <si>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</si>
  <si>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</si>
  <si>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</si>
  <si>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</si>
  <si>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</si>
  <si>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</si>
  <si>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</si>
  <si>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</si>
  <si>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</si>
  <si>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</si>
  <si>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</si>
  <si>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</si>
  <si>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</si>
  <si>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</si>
  <si>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</si>
  <si>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</si>
  <si>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</si>
  <si>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</si>
  <si>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</si>
  <si>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</si>
  <si>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</si>
  <si>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</si>
  <si>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</si>
  <si>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</si>
  <si>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</si>
  <si>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</si>
  <si>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</si>
  <si>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</si>
  <si>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</si>
  <si>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</si>
  <si>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</si>
  <si>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</si>
  <si>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</si>
  <si>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</si>
  <si>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</si>
  <si>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</si>
  <si>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</si>
  <si>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</si>
  <si>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</si>
  <si>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</si>
  <si>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</si>
  <si>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</si>
  <si>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</si>
  <si>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</si>
  <si>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</si>
  <si>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</si>
  <si>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</si>
  <si>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</si>
  <si>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</si>
  <si>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</si>
  <si>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</si>
  <si>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</si>
  <si>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</si>
  <si>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</si>
  <si>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</si>
  <si>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</si>
  <si>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</si>
  <si>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</si>
  <si>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</si>
  <si>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</si>
  <si>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</si>
  <si>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</si>
  <si>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</si>
  <si>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</si>
  <si>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</si>
  <si>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</si>
  <si>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</si>
  <si>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</si>
  <si>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</si>
  <si>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</si>
  <si>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</si>
  <si>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</si>
  <si>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</si>
  <si>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</si>
  <si>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</si>
  <si>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</si>
  <si>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</si>
  <si>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</si>
  <si>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</si>
  <si>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</si>
  <si>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</si>
  <si>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</si>
  <si>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</si>
  <si>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</si>
  <si>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</si>
  <si>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</si>
  <si>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</si>
  <si>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</si>
  <si>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</si>
  <si>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</si>
  <si>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</si>
  <si>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</si>
  <si>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</si>
  <si>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</si>
  <si>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</si>
  <si>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</si>
  <si>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</si>
  <si>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</si>
  <si>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</si>
  <si>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</si>
  <si>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</si>
  <si>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</si>
  <si>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</si>
  <si>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</si>
  <si>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</si>
  <si>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</si>
  <si>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</si>
  <si>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</si>
  <si>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</si>
  <si>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</si>
  <si>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</si>
  <si>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</si>
  <si>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</si>
  <si>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</si>
  <si>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</si>
  <si>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</si>
  <si>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</si>
  <si>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</si>
  <si>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</si>
  <si>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</si>
  <si>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</si>
  <si>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</si>
  <si>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</si>
  <si>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</si>
  <si>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</si>
  <si>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</si>
  <si>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</si>
  <si>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</si>
  <si>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</si>
  <si>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</si>
  <si>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</si>
  <si>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</si>
  <si>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</si>
  <si>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</si>
  <si>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</si>
  <si>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</si>
  <si>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</si>
  <si>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</si>
  <si>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</si>
  <si>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</si>
  <si>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</si>
  <si>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</si>
  <si>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</si>
  <si>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</si>
  <si>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</si>
  <si>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</si>
  <si>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</si>
  <si>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</si>
  <si>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</si>
  <si>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</si>
  <si>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</si>
  <si>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</si>
  <si>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</si>
  <si>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</si>
  <si>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</si>
  <si>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</si>
  <si>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</si>
  <si>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</si>
  <si>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</si>
  <si>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</si>
  <si>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</si>
  <si>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</si>
  <si>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</si>
  <si>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</si>
  <si>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</si>
  <si>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</si>
  <si>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</si>
  <si>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</si>
  <si>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</si>
  <si>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</si>
  <si>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</si>
  <si>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</si>
  <si>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</si>
  <si>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</si>
  <si>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</si>
  <si>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</si>
  <si>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</si>
  <si>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</si>
  <si>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</si>
  <si>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</si>
  <si>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</si>
  <si>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</si>
  <si>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</si>
  <si>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</si>
  <si>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</si>
  <si>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</si>
  <si>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</si>
  <si>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</si>
  <si>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</si>
  <si>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</si>
  <si>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</si>
  <si>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</si>
  <si>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</si>
  <si>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</si>
  <si>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</si>
  <si>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</si>
  <si>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</si>
  <si>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</si>
  <si>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</si>
  <si>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</si>
  <si>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</si>
  <si>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</si>
  <si>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</si>
  <si>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</si>
  <si>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</si>
  <si>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</si>
  <si>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</si>
  <si>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</si>
  <si>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</si>
  <si>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</si>
  <si>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</si>
  <si>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</si>
  <si>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</si>
  <si>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</si>
  <si>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</si>
  <si>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</si>
  <si>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</si>
  <si>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</si>
  <si>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</si>
  <si>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</si>
  <si>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</si>
  <si>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</si>
  <si>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</si>
  <si>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</si>
  <si>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</si>
  <si>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</si>
  <si>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</si>
  <si>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</si>
  <si>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</si>
  <si>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</si>
  <si>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</si>
  <si>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</si>
  <si>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</si>
  <si>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</si>
  <si>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</si>
  <si>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</si>
  <si>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</si>
  <si>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</si>
  <si>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</si>
  <si>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</si>
  <si>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</si>
  <si>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</si>
  <si>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</si>
  <si>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</si>
  <si>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</si>
  <si>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</si>
  <si>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</si>
  <si>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</si>
  <si>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</si>
  <si>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</si>
  <si>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</si>
  <si>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</si>
  <si>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</si>
  <si>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</si>
  <si>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</si>
  <si>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</si>
  <si>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</si>
  <si>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</si>
  <si>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</si>
  <si>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</si>
  <si>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</si>
  <si>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</si>
  <si>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</si>
  <si>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</si>
  <si>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</si>
  <si>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</si>
  <si>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</si>
  <si>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</si>
  <si>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</si>
  <si>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</si>
  <si>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</si>
  <si>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</si>
  <si>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</si>
  <si>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</si>
  <si>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</si>
  <si>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</si>
  <si>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</si>
  <si>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</si>
  <si>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</si>
  <si>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</si>
  <si>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</si>
  <si>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</si>
  <si>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</si>
  <si>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</si>
  <si>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</si>
  <si>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</si>
  <si>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</si>
  <si>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</si>
  <si>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</si>
  <si>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</si>
  <si>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</si>
  <si>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</si>
  <si>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</si>
  <si>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</si>
  <si>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</si>
  <si>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</si>
  <si>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</si>
  <si>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</si>
  <si>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</si>
  <si>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</si>
  <si>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</si>
  <si>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</si>
  <si>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</si>
  <si>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</si>
  <si>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</si>
  <si>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</si>
  <si>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</si>
  <si>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</si>
  <si>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</si>
  <si>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</si>
  <si>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</si>
  <si>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</si>
  <si>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</si>
  <si>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</si>
  <si>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</si>
  <si>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</si>
  <si>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</si>
  <si>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</si>
  <si>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</si>
  <si>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</si>
  <si>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</si>
  <si>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</si>
  <si>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</si>
  <si>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</si>
  <si>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</si>
  <si>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</si>
  <si>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</si>
  <si>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</si>
  <si>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</si>
  <si>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</si>
  <si>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</si>
  <si>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</si>
  <si>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</si>
  <si>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</si>
  <si>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</si>
  <si>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</si>
  <si>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</si>
  <si>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</si>
  <si>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</si>
  <si>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</si>
  <si>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</si>
  <si>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</si>
  <si>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</si>
  <si>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</si>
  <si>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</si>
  <si>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</si>
  <si>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</si>
  <si>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</si>
  <si>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</si>
  <si>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</si>
  <si>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</si>
  <si>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</si>
  <si>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</si>
  <si>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</si>
  <si>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</si>
  <si>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</si>
  <si>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</si>
  <si>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</si>
  <si>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</si>
  <si>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</si>
  <si>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</si>
  <si>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</si>
  <si>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</si>
  <si>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</si>
  <si>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</si>
  <si>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</si>
  <si>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</si>
  <si>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</si>
  <si>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</si>
  <si>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</si>
  <si>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</si>
  <si>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</si>
  <si>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</si>
  <si>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</si>
  <si>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</si>
  <si>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</si>
  <si>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</si>
  <si>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</si>
  <si>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</si>
  <si>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</si>
  <si>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</si>
  <si>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</si>
  <si>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</si>
  <si>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</si>
  <si>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</si>
  <si>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</si>
  <si>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</si>
  <si>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</si>
  <si>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</si>
  <si>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</si>
  <si>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</si>
  <si>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</si>
  <si>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</si>
  <si>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</si>
  <si>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</si>
  <si>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</si>
  <si>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</si>
  <si>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</si>
  <si>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</si>
  <si>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</si>
  <si>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</si>
  <si>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</si>
  <si>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</si>
  <si>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</si>
  <si>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</si>
  <si>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</si>
  <si>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</si>
  <si>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</si>
  <si>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</si>
  <si>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</si>
  <si>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</si>
  <si>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</si>
  <si>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</si>
  <si>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</si>
  <si>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</si>
  <si>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</si>
  <si>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</si>
  <si>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</si>
  <si>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</si>
  <si>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</si>
  <si>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</si>
  <si>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</si>
  <si>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</si>
  <si>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</si>
  <si>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</si>
  <si>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</si>
  <si>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</si>
  <si>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</si>
  <si>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</si>
  <si>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</si>
  <si>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</si>
  <si>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</si>
  <si>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</si>
  <si>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</si>
  <si>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</si>
  <si>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</si>
  <si>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</si>
  <si>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</si>
  <si>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</si>
  <si>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</si>
  <si>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</si>
  <si>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</si>
  <si>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</si>
  <si>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</si>
  <si>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</si>
  <si>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</si>
  <si>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</si>
  <si>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</si>
  <si>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</si>
  <si>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</si>
  <si>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</si>
  <si>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</si>
  <si>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</si>
  <si>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</si>
  <si>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</si>
  <si>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</si>
  <si>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</si>
  <si>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</si>
  <si>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</si>
  <si>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</si>
  <si>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</si>
  <si>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</si>
  <si>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</si>
  <si>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</si>
  <si>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</si>
  <si>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</si>
  <si>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</si>
  <si>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</si>
  <si>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</si>
  <si>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</si>
  <si>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</si>
  <si>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</si>
  <si>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</si>
  <si>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DALIA UTIU</t>
  </si>
  <si>
    <t>ZSOLT CSIKI</t>
  </si>
  <si>
    <t>GEORGE PRIDEA</t>
  </si>
  <si>
    <t>ANGEL CRISAN</t>
  </si>
  <si>
    <t>IOANA OLARIU</t>
  </si>
  <si>
    <t>MARIO ENJUANES</t>
  </si>
  <si>
    <t>07:26</t>
  </si>
  <si>
    <t>03:01</t>
  </si>
  <si>
    <t>Good communication, quick corrections. No problems at all!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</si>
</sst>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6" fillId="18" borderId="38" xfId="0" applyFont="1" applyFill="1" applyBorder="1" applyAlignment="1">
      <alignment horizontal="center" vertical="center"/>
    </xf>
    <xf numFmtId="164" fontId="25" fillId="18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I4" sqref="I4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92.7265625" style="3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54">
        <v>12</v>
      </c>
      <c r="D1" s="122" t="s">
        <v>748</v>
      </c>
      <c r="E1" s="123">
        <v>2025</v>
      </c>
      <c r="F1" s="119" t="str">
        <f>TEXT(C1,"00") &amp; "_" &amp; TEXT(C2,"000")&amp; "_" &amp; H4 &amp; "_" &amp; H5 &amp; "_" &amp; B2</f>
        <v>12_111_CLU_WRO_U2025</v>
      </c>
      <c r="G1" s="5"/>
      <c r="H1" s="5"/>
      <c r="I1" s="5"/>
      <c r="J1" s="8" t="s">
        <v>707</v>
      </c>
      <c r="K1" s="120" t="s">
        <v>826</v>
      </c>
      <c r="L1" s="120"/>
      <c r="M1" s="121" t="s">
        <v>239</v>
      </c>
      <c r="N1" s="120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6" t="str">
        <f>D1&amp;E1</f>
        <v>U2025</v>
      </c>
      <c r="C2" s="155">
        <v>111</v>
      </c>
      <c r="D2" s="114" t="s">
        <v>73</v>
      </c>
      <c r="E2" s="115"/>
      <c r="F2" s="55" t="s">
        <v>112</v>
      </c>
      <c r="G2" s="56" t="s">
        <v>72</v>
      </c>
      <c r="H2" s="5"/>
      <c r="I2" s="5"/>
      <c r="J2" s="8" t="s">
        <v>240</v>
      </c>
      <c r="K2" s="120"/>
      <c r="L2" s="2"/>
      <c r="M2" s="57"/>
      <c r="N2" s="120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 t="s">
        <v>825</v>
      </c>
      <c r="C3" s="178"/>
      <c r="D3" s="39">
        <v>682</v>
      </c>
      <c r="E3" s="29"/>
      <c r="F3" s="26">
        <f>SUBTOTAL(3,I17:I106)</f>
        <v>3</v>
      </c>
      <c r="G3" s="27">
        <f>IF(OR(D3="",D3=0),"",F3/D3)</f>
        <v>4.3988269794721412E-3</v>
      </c>
      <c r="H3" s="5"/>
      <c r="I3" s="5"/>
      <c r="J3" s="118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U-BT Cluj-Napoca</v>
      </c>
      <c r="E4" s="182"/>
      <c r="F4" s="182"/>
      <c r="G4" s="183"/>
      <c r="H4" s="117" t="str">
        <f>IF(ISERROR(VLOOKUP($B$2&amp;TEXT($C$2,"000"),GAMES!$A$3:$I$562,6,FALSE)),"LOC",VLOOKUP($B$2&amp;TEXT($C$2,"000"),GAMES!$A$3:$I$562,6,FALSE))</f>
        <v>CLU</v>
      </c>
      <c r="I4" s="5"/>
      <c r="J4" s="118" t="s">
        <v>714</v>
      </c>
      <c r="K4" s="54" t="s">
        <v>742</v>
      </c>
      <c r="L4" s="5"/>
      <c r="M4" s="185" t="s">
        <v>835</v>
      </c>
      <c r="N4" s="186"/>
      <c r="O4" s="2"/>
      <c r="P4" s="2"/>
      <c r="Q4" s="84" t="s">
        <v>175</v>
      </c>
      <c r="R4" s="94">
        <f>(IF(G3="",0,G3))</f>
        <v>4.3988269794721412E-3</v>
      </c>
      <c r="S4" s="61">
        <f>SUM(I13:M13)</f>
        <v>0</v>
      </c>
      <c r="T4" s="78"/>
      <c r="U4" s="61">
        <f>AC18</f>
        <v>0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Slask Wroclaw</v>
      </c>
      <c r="E5" s="192"/>
      <c r="F5" s="192"/>
      <c r="G5" s="193"/>
      <c r="H5" s="117" t="str">
        <f>IF(ISERROR(VLOOKUP($B$2&amp;TEXT($C$2,"000"),GAMES!$A$3:$I$562,7,FALSE)),"VIS",VLOOKUP($B$2&amp;TEXT($C$2,"000"),GAMES!$A$3:$I$562,7,FALSE))</f>
        <v>WRO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0.43988269794721413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828</v>
      </c>
      <c r="E7" s="159"/>
      <c r="F7" s="159"/>
      <c r="G7" s="160"/>
      <c r="H7" s="127" t="s">
        <v>709</v>
      </c>
      <c r="I7" s="127" t="s">
        <v>710</v>
      </c>
      <c r="J7" s="127" t="s">
        <v>711</v>
      </c>
      <c r="K7" s="127" t="s">
        <v>712</v>
      </c>
      <c r="L7" s="127" t="s">
        <v>713</v>
      </c>
      <c r="M7" s="58">
        <f>Q7</f>
        <v>4.9398826979472137</v>
      </c>
      <c r="N7" s="58"/>
      <c r="O7" s="2"/>
      <c r="P7" s="2"/>
      <c r="Q7" s="86">
        <f>SUM(R5,S5,AC16)</f>
        <v>4.9398826979472137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829</v>
      </c>
      <c r="E8" s="162"/>
      <c r="F8" s="162"/>
      <c r="G8" s="163"/>
      <c r="H8" s="127" t="s">
        <v>746</v>
      </c>
      <c r="I8" s="127" t="s">
        <v>746</v>
      </c>
      <c r="J8" s="127" t="s">
        <v>747</v>
      </c>
      <c r="K8" s="127" t="s">
        <v>743</v>
      </c>
      <c r="L8" s="127" t="s">
        <v>744</v>
      </c>
      <c r="M8" s="127" t="s">
        <v>108</v>
      </c>
      <c r="N8" s="2"/>
      <c r="O8" s="2"/>
      <c r="P8" s="2"/>
      <c r="Q8" s="85">
        <f>SUM(R5:BA5)</f>
        <v>4.9398826979472137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28">
        <f>VLOOKUP($H$4,Teams!$B$3:$O$44,3,FALSE)</f>
        <v>0</v>
      </c>
      <c r="I9" s="128">
        <f>VLOOKUP($H$4,Teams!$B$3:$O$44,3,FALSE)</f>
        <v>0</v>
      </c>
      <c r="J9" s="128">
        <f>VLOOKUP($H$4,Teams!$B$3:$O$44,5,FALSE)</f>
        <v>0</v>
      </c>
      <c r="K9" s="128">
        <f>VLOOKUP($H$4,Teams!$B$3:$O$44,6,FALSE)</f>
        <v>0</v>
      </c>
      <c r="L9" s="128">
        <f>VLOOKUP($H$4,Teams!$B$3:$O$44,7,FALSE)</f>
        <v>0</v>
      </c>
      <c r="M9" s="129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111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111</v>
      </c>
      <c r="D17" s="32" t="s">
        <v>833</v>
      </c>
      <c r="E17" s="33">
        <v>1</v>
      </c>
      <c r="F17" s="36">
        <v>4</v>
      </c>
      <c r="G17" s="36">
        <v>6</v>
      </c>
      <c r="H17" s="38" t="str">
        <f>IF(I17="","",$I$14)</f>
        <v>SCOUTING</v>
      </c>
      <c r="I17" s="34">
        <v>32</v>
      </c>
      <c r="J17" s="13" t="s">
        <v>4</v>
      </c>
      <c r="K17" s="13" t="s">
        <v>62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111</v>
      </c>
      <c r="D18" s="32" t="s">
        <v>834</v>
      </c>
      <c r="E18" s="33">
        <v>1</v>
      </c>
      <c r="F18" s="36">
        <v>12</v>
      </c>
      <c r="G18" s="36">
        <v>9</v>
      </c>
      <c r="H18" s="38" t="str">
        <f t="shared" ref="H18:H81" si="8">IF(I18="","",$I$14)</f>
        <v>SCOUTING</v>
      </c>
      <c r="I18" s="34">
        <v>88</v>
      </c>
      <c r="J18" s="13" t="s">
        <v>4</v>
      </c>
      <c r="K18" s="13" t="s">
        <v>63</v>
      </c>
      <c r="L18" s="13" t="s">
        <v>6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111</v>
      </c>
      <c r="D19" s="32" t="s">
        <v>833</v>
      </c>
      <c r="E19" s="33">
        <v>2</v>
      </c>
      <c r="F19" s="36">
        <v>26</v>
      </c>
      <c r="G19" s="36">
        <v>27</v>
      </c>
      <c r="H19" s="38" t="str">
        <f t="shared" si="8"/>
        <v>SCOUTING</v>
      </c>
      <c r="I19" s="34">
        <v>192</v>
      </c>
      <c r="J19" s="13" t="s">
        <v>4</v>
      </c>
      <c r="K19" s="13" t="s">
        <v>62</v>
      </c>
      <c r="L19" s="13" t="s">
        <v>7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48" customWidth="1"/>
    <col min="3" max="3" width="23.54296875" style="148" bestFit="1" customWidth="1"/>
    <col min="4" max="15" width="14" style="25" customWidth="1"/>
  </cols>
  <sheetData>
    <row r="1" spans="2:15" ht="13" thickBot="1" x14ac:dyDescent="0.3">
      <c r="D1" s="124">
        <v>1</v>
      </c>
      <c r="E1" s="125"/>
      <c r="F1" s="125"/>
      <c r="G1" s="125"/>
      <c r="H1" s="126"/>
      <c r="I1" s="125"/>
      <c r="J1" s="124">
        <v>2</v>
      </c>
      <c r="K1" s="125"/>
      <c r="L1" s="125"/>
      <c r="M1" s="125"/>
      <c r="N1" s="125"/>
      <c r="O1" s="126"/>
    </row>
    <row r="2" spans="2:15" ht="13" thickBot="1" x14ac:dyDescent="0.3">
      <c r="B2" s="148" t="s">
        <v>176</v>
      </c>
      <c r="D2" s="124" t="s">
        <v>709</v>
      </c>
      <c r="E2" s="125" t="s">
        <v>710</v>
      </c>
      <c r="F2" s="125" t="s">
        <v>711</v>
      </c>
      <c r="G2" s="125" t="s">
        <v>712</v>
      </c>
      <c r="H2" s="126" t="s">
        <v>713</v>
      </c>
      <c r="I2" s="125" t="s">
        <v>716</v>
      </c>
      <c r="J2" s="124" t="s">
        <v>709</v>
      </c>
      <c r="K2" s="125" t="s">
        <v>710</v>
      </c>
      <c r="L2" s="125" t="s">
        <v>711</v>
      </c>
      <c r="M2" s="125" t="s">
        <v>712</v>
      </c>
      <c r="N2" s="126" t="s">
        <v>713</v>
      </c>
      <c r="O2" s="126" t="s">
        <v>716</v>
      </c>
    </row>
    <row r="3" spans="2:15" x14ac:dyDescent="0.25">
      <c r="B3" s="149" t="s">
        <v>177</v>
      </c>
      <c r="C3" s="150" t="s">
        <v>227</v>
      </c>
      <c r="D3" s="130" t="s">
        <v>803</v>
      </c>
      <c r="E3" s="131" t="s">
        <v>804</v>
      </c>
      <c r="F3" s="131" t="s">
        <v>805</v>
      </c>
      <c r="G3" s="131" t="s">
        <v>806</v>
      </c>
      <c r="H3" s="131" t="s">
        <v>807</v>
      </c>
      <c r="I3" s="132" t="s">
        <v>808</v>
      </c>
      <c r="J3" s="133"/>
      <c r="K3" s="131"/>
      <c r="L3" s="131"/>
      <c r="M3" s="131"/>
      <c r="N3" s="132"/>
      <c r="O3" s="132"/>
    </row>
    <row r="4" spans="2:15" x14ac:dyDescent="0.25">
      <c r="B4" s="151" t="s">
        <v>178</v>
      </c>
      <c r="C4" s="148" t="s">
        <v>223</v>
      </c>
      <c r="D4" s="134" t="s">
        <v>764</v>
      </c>
      <c r="E4" s="135" t="s">
        <v>765</v>
      </c>
      <c r="F4" s="135" t="s">
        <v>766</v>
      </c>
      <c r="G4" s="135" t="s">
        <v>767</v>
      </c>
      <c r="H4" s="135" t="s">
        <v>768</v>
      </c>
      <c r="I4" s="136" t="s">
        <v>769</v>
      </c>
      <c r="J4" s="137"/>
      <c r="K4" s="135"/>
      <c r="L4" s="135"/>
      <c r="M4" s="135"/>
      <c r="N4" s="138"/>
      <c r="O4" s="136"/>
    </row>
    <row r="5" spans="2:15" x14ac:dyDescent="0.25">
      <c r="B5" s="151" t="s">
        <v>179</v>
      </c>
      <c r="C5" s="148" t="s">
        <v>219</v>
      </c>
      <c r="D5" s="134"/>
      <c r="E5" s="135"/>
      <c r="F5" s="135"/>
      <c r="G5" s="135"/>
      <c r="H5" s="135"/>
      <c r="I5" s="136"/>
      <c r="J5" s="137"/>
      <c r="K5" s="135"/>
      <c r="L5" s="135"/>
      <c r="M5" s="135"/>
      <c r="N5" s="138"/>
      <c r="O5" s="136"/>
    </row>
    <row r="6" spans="2:15" x14ac:dyDescent="0.25">
      <c r="B6" s="151" t="s">
        <v>180</v>
      </c>
      <c r="C6" s="148" t="s">
        <v>221</v>
      </c>
      <c r="D6" s="134" t="s">
        <v>787</v>
      </c>
      <c r="E6" s="135" t="s">
        <v>788</v>
      </c>
      <c r="F6" s="135" t="s">
        <v>789</v>
      </c>
      <c r="G6" s="135" t="s">
        <v>780</v>
      </c>
      <c r="H6" s="135" t="s">
        <v>779</v>
      </c>
      <c r="I6" s="136" t="s">
        <v>790</v>
      </c>
      <c r="J6" s="137"/>
      <c r="K6" s="135"/>
      <c r="L6" s="135"/>
      <c r="M6" s="135"/>
      <c r="N6" s="138"/>
      <c r="O6" s="136"/>
    </row>
    <row r="7" spans="2:15" x14ac:dyDescent="0.25">
      <c r="B7" s="151" t="s">
        <v>181</v>
      </c>
      <c r="C7" s="148" t="s">
        <v>226</v>
      </c>
      <c r="D7" s="134" t="s">
        <v>729</v>
      </c>
      <c r="E7" s="135" t="s">
        <v>754</v>
      </c>
      <c r="F7" s="135" t="s">
        <v>755</v>
      </c>
      <c r="G7" s="135" t="s">
        <v>756</v>
      </c>
      <c r="H7" s="135" t="s">
        <v>757</v>
      </c>
      <c r="I7" s="135" t="s">
        <v>824</v>
      </c>
      <c r="J7" s="137"/>
      <c r="K7" s="135"/>
      <c r="L7" s="135"/>
      <c r="M7" s="135"/>
      <c r="N7" s="138"/>
      <c r="O7" s="136"/>
    </row>
    <row r="8" spans="2:15" x14ac:dyDescent="0.25">
      <c r="B8" s="151" t="s">
        <v>182</v>
      </c>
      <c r="C8" s="148" t="s">
        <v>217</v>
      </c>
      <c r="D8" s="134" t="s">
        <v>735</v>
      </c>
      <c r="E8" s="135" t="s">
        <v>770</v>
      </c>
      <c r="F8" s="135" t="s">
        <v>771</v>
      </c>
      <c r="G8" s="135" t="s">
        <v>772</v>
      </c>
      <c r="H8" s="135" t="s">
        <v>773</v>
      </c>
      <c r="I8" s="136" t="s">
        <v>740</v>
      </c>
      <c r="J8" s="137" t="s">
        <v>717</v>
      </c>
      <c r="K8" s="135" t="s">
        <v>718</v>
      </c>
      <c r="L8" s="135" t="s">
        <v>719</v>
      </c>
      <c r="M8" s="135" t="s">
        <v>720</v>
      </c>
      <c r="N8" s="138" t="s">
        <v>721</v>
      </c>
      <c r="O8" s="136" t="s">
        <v>722</v>
      </c>
    </row>
    <row r="9" spans="2:15" x14ac:dyDescent="0.25">
      <c r="B9" s="151" t="s">
        <v>183</v>
      </c>
      <c r="C9" s="148" t="s">
        <v>233</v>
      </c>
      <c r="D9" s="134" t="s">
        <v>818</v>
      </c>
      <c r="E9" s="135" t="s">
        <v>819</v>
      </c>
      <c r="F9" s="135" t="s">
        <v>820</v>
      </c>
      <c r="G9" s="135" t="s">
        <v>821</v>
      </c>
      <c r="H9" s="135" t="s">
        <v>822</v>
      </c>
      <c r="I9" s="136" t="s">
        <v>823</v>
      </c>
      <c r="J9" s="137"/>
      <c r="K9" s="135"/>
      <c r="L9" s="135"/>
      <c r="M9" s="135"/>
      <c r="N9" s="138"/>
      <c r="O9" s="136"/>
    </row>
    <row r="10" spans="2:15" x14ac:dyDescent="0.25">
      <c r="B10" s="151" t="s">
        <v>184</v>
      </c>
      <c r="C10" s="148" t="s">
        <v>218</v>
      </c>
      <c r="D10" s="134" t="s">
        <v>809</v>
      </c>
      <c r="E10" s="135" t="s">
        <v>810</v>
      </c>
      <c r="F10" s="135" t="s">
        <v>811</v>
      </c>
      <c r="G10" s="135" t="s">
        <v>812</v>
      </c>
      <c r="H10" s="135" t="s">
        <v>813</v>
      </c>
      <c r="I10" s="136" t="s">
        <v>814</v>
      </c>
      <c r="J10" s="137"/>
      <c r="K10" s="135"/>
      <c r="L10" s="135"/>
      <c r="M10" s="135"/>
      <c r="N10" s="138"/>
      <c r="O10" s="136"/>
    </row>
    <row r="11" spans="2:15" x14ac:dyDescent="0.25">
      <c r="B11" s="151" t="s">
        <v>185</v>
      </c>
      <c r="C11" s="148" t="s">
        <v>222</v>
      </c>
      <c r="D11" s="134"/>
      <c r="E11" s="135"/>
      <c r="F11" s="135"/>
      <c r="G11" s="135"/>
      <c r="H11" s="135"/>
      <c r="I11" s="136"/>
      <c r="J11" s="137"/>
      <c r="K11" s="135"/>
      <c r="L11" s="135"/>
      <c r="M11" s="135"/>
      <c r="N11" s="138"/>
      <c r="O11" s="136"/>
    </row>
    <row r="12" spans="2:15" x14ac:dyDescent="0.25">
      <c r="B12" s="151" t="s">
        <v>186</v>
      </c>
      <c r="C12" s="148" t="s">
        <v>224</v>
      </c>
      <c r="D12" s="134" t="s">
        <v>723</v>
      </c>
      <c r="E12" s="135" t="s">
        <v>724</v>
      </c>
      <c r="F12" s="135" t="s">
        <v>725</v>
      </c>
      <c r="G12" s="135" t="s">
        <v>726</v>
      </c>
      <c r="H12" s="135" t="s">
        <v>727</v>
      </c>
      <c r="I12" s="136" t="s">
        <v>728</v>
      </c>
      <c r="J12" s="137"/>
      <c r="K12" s="135"/>
      <c r="L12" s="135"/>
      <c r="M12" s="135"/>
      <c r="N12" s="138"/>
      <c r="O12" s="136"/>
    </row>
    <row r="13" spans="2:15" x14ac:dyDescent="0.25">
      <c r="B13" s="151" t="s">
        <v>187</v>
      </c>
      <c r="C13" s="148" t="s">
        <v>229</v>
      </c>
      <c r="D13" s="134" t="s">
        <v>758</v>
      </c>
      <c r="E13" s="135" t="s">
        <v>759</v>
      </c>
      <c r="F13" s="135" t="s">
        <v>760</v>
      </c>
      <c r="G13" s="135" t="s">
        <v>761</v>
      </c>
      <c r="H13" s="135" t="s">
        <v>762</v>
      </c>
      <c r="I13" s="136" t="s">
        <v>763</v>
      </c>
      <c r="J13" s="137"/>
      <c r="K13" s="135" t="s">
        <v>774</v>
      </c>
      <c r="L13" s="135"/>
      <c r="M13" s="135"/>
      <c r="N13" s="138"/>
      <c r="O13" s="136"/>
    </row>
    <row r="14" spans="2:15" x14ac:dyDescent="0.25">
      <c r="B14" s="151" t="s">
        <v>188</v>
      </c>
      <c r="C14" s="148" t="s">
        <v>234</v>
      </c>
      <c r="D14" s="134" t="s">
        <v>781</v>
      </c>
      <c r="E14" s="135" t="s">
        <v>782</v>
      </c>
      <c r="F14" s="135" t="s">
        <v>783</v>
      </c>
      <c r="G14" s="135" t="s">
        <v>784</v>
      </c>
      <c r="H14" s="135" t="s">
        <v>785</v>
      </c>
      <c r="I14" s="136" t="s">
        <v>786</v>
      </c>
      <c r="J14" s="137"/>
      <c r="K14" s="135" t="s">
        <v>775</v>
      </c>
      <c r="L14" s="135"/>
      <c r="M14" s="135"/>
      <c r="N14" s="138"/>
      <c r="O14" s="136"/>
    </row>
    <row r="15" spans="2:15" x14ac:dyDescent="0.25">
      <c r="B15" s="151" t="s">
        <v>189</v>
      </c>
      <c r="C15" s="148" t="s">
        <v>230</v>
      </c>
      <c r="D15" s="134" t="s">
        <v>729</v>
      </c>
      <c r="E15" s="135" t="s">
        <v>730</v>
      </c>
      <c r="F15" s="135" t="s">
        <v>731</v>
      </c>
      <c r="G15" s="135" t="s">
        <v>732</v>
      </c>
      <c r="H15" s="135" t="s">
        <v>733</v>
      </c>
      <c r="I15" s="136" t="s">
        <v>734</v>
      </c>
      <c r="J15" s="137"/>
      <c r="K15" s="135" t="s">
        <v>776</v>
      </c>
      <c r="L15" s="135"/>
      <c r="M15" s="135"/>
      <c r="N15" s="138"/>
      <c r="O15" s="136"/>
    </row>
    <row r="16" spans="2:15" x14ac:dyDescent="0.25">
      <c r="B16" s="151" t="s">
        <v>190</v>
      </c>
      <c r="C16" s="148" t="s">
        <v>232</v>
      </c>
      <c r="D16" s="134" t="s">
        <v>746</v>
      </c>
      <c r="E16" s="135" t="s">
        <v>745</v>
      </c>
      <c r="F16" s="135" t="s">
        <v>747</v>
      </c>
      <c r="G16" s="135" t="s">
        <v>743</v>
      </c>
      <c r="H16" s="135" t="s">
        <v>744</v>
      </c>
      <c r="I16" s="135" t="s">
        <v>780</v>
      </c>
      <c r="J16" s="137"/>
      <c r="K16" s="135" t="s">
        <v>777</v>
      </c>
      <c r="L16" s="135"/>
      <c r="M16" s="135"/>
      <c r="N16" s="138"/>
      <c r="O16" s="136"/>
    </row>
    <row r="17" spans="2:15" x14ac:dyDescent="0.25">
      <c r="B17" s="151" t="s">
        <v>191</v>
      </c>
      <c r="C17" s="148" t="s">
        <v>231</v>
      </c>
      <c r="D17" s="134" t="s">
        <v>749</v>
      </c>
      <c r="E17" s="135" t="s">
        <v>750</v>
      </c>
      <c r="F17" s="135" t="s">
        <v>751</v>
      </c>
      <c r="G17" s="135" t="s">
        <v>752</v>
      </c>
      <c r="H17" s="135" t="s">
        <v>753</v>
      </c>
      <c r="I17" s="136"/>
      <c r="J17" s="137"/>
      <c r="K17" s="135" t="s">
        <v>778</v>
      </c>
      <c r="L17" s="135"/>
      <c r="M17" s="135"/>
      <c r="N17" s="138"/>
      <c r="O17" s="136"/>
    </row>
    <row r="18" spans="2:15" x14ac:dyDescent="0.25">
      <c r="B18" s="151" t="s">
        <v>192</v>
      </c>
      <c r="C18" s="148" t="s">
        <v>220</v>
      </c>
      <c r="D18" s="134" t="s">
        <v>791</v>
      </c>
      <c r="E18" s="135" t="s">
        <v>792</v>
      </c>
      <c r="F18" s="135" t="s">
        <v>793</v>
      </c>
      <c r="G18" s="135" t="s">
        <v>794</v>
      </c>
      <c r="H18" s="135" t="s">
        <v>795</v>
      </c>
      <c r="I18" s="136" t="s">
        <v>796</v>
      </c>
      <c r="J18" s="137"/>
      <c r="K18" s="135"/>
      <c r="L18" s="135"/>
      <c r="M18" s="135"/>
      <c r="N18" s="138"/>
      <c r="O18" s="136"/>
    </row>
    <row r="19" spans="2:15" x14ac:dyDescent="0.25">
      <c r="B19" s="151" t="s">
        <v>193</v>
      </c>
      <c r="C19" s="148" t="s">
        <v>228</v>
      </c>
      <c r="D19" s="134" t="s">
        <v>815</v>
      </c>
      <c r="E19" s="135" t="s">
        <v>792</v>
      </c>
      <c r="F19" s="135" t="s">
        <v>816</v>
      </c>
      <c r="G19" s="135" t="s">
        <v>817</v>
      </c>
      <c r="H19" s="135" t="s">
        <v>795</v>
      </c>
      <c r="I19" s="136" t="s">
        <v>796</v>
      </c>
      <c r="J19" s="137" t="s">
        <v>774</v>
      </c>
      <c r="K19" s="135" t="s">
        <v>775</v>
      </c>
      <c r="L19" s="135" t="s">
        <v>776</v>
      </c>
      <c r="M19" s="135" t="s">
        <v>777</v>
      </c>
      <c r="N19" s="138" t="s">
        <v>778</v>
      </c>
      <c r="O19" s="136"/>
    </row>
    <row r="20" spans="2:15" x14ac:dyDescent="0.25">
      <c r="B20" s="151" t="s">
        <v>194</v>
      </c>
      <c r="C20" s="148" t="s">
        <v>225</v>
      </c>
      <c r="D20" s="134" t="s">
        <v>735</v>
      </c>
      <c r="E20" s="135" t="s">
        <v>736</v>
      </c>
      <c r="F20" s="135" t="s">
        <v>737</v>
      </c>
      <c r="G20" s="135" t="s">
        <v>738</v>
      </c>
      <c r="H20" s="135" t="s">
        <v>739</v>
      </c>
      <c r="I20" s="136" t="s">
        <v>740</v>
      </c>
      <c r="J20" s="137"/>
      <c r="K20" s="135"/>
      <c r="L20" s="135"/>
      <c r="M20" s="135"/>
      <c r="N20" s="138"/>
      <c r="O20" s="136"/>
    </row>
    <row r="21" spans="2:15" x14ac:dyDescent="0.25">
      <c r="B21" s="151" t="s">
        <v>195</v>
      </c>
      <c r="C21" s="148" t="s">
        <v>235</v>
      </c>
      <c r="D21" s="134"/>
      <c r="E21" s="135"/>
      <c r="F21" s="135"/>
      <c r="G21" s="135"/>
      <c r="H21" s="135"/>
      <c r="I21" s="136"/>
      <c r="J21" s="137"/>
      <c r="K21" s="135"/>
      <c r="L21" s="135"/>
      <c r="M21" s="135"/>
      <c r="N21" s="138"/>
      <c r="O21" s="136"/>
    </row>
    <row r="22" spans="2:15" ht="13" thickBot="1" x14ac:dyDescent="0.3">
      <c r="B22" s="152" t="s">
        <v>196</v>
      </c>
      <c r="C22" s="153" t="s">
        <v>236</v>
      </c>
      <c r="D22" s="139" t="s">
        <v>797</v>
      </c>
      <c r="E22" s="140" t="s">
        <v>798</v>
      </c>
      <c r="F22" s="140" t="s">
        <v>799</v>
      </c>
      <c r="G22" s="140" t="s">
        <v>800</v>
      </c>
      <c r="H22" s="140" t="s">
        <v>801</v>
      </c>
      <c r="I22" s="141" t="s">
        <v>802</v>
      </c>
      <c r="J22" s="142"/>
      <c r="K22" s="140"/>
      <c r="L22" s="140"/>
      <c r="M22" s="140"/>
      <c r="N22" s="143"/>
      <c r="O22" s="141"/>
    </row>
    <row r="23" spans="2:15" x14ac:dyDescent="0.25">
      <c r="B23" s="149" t="s">
        <v>197</v>
      </c>
      <c r="C23" s="150" t="s">
        <v>241</v>
      </c>
      <c r="D23" s="144"/>
      <c r="E23" s="145"/>
      <c r="F23" s="145"/>
      <c r="G23" s="145"/>
      <c r="H23" s="145"/>
      <c r="I23" s="145"/>
      <c r="J23" s="145"/>
      <c r="K23" s="145"/>
      <c r="L23" s="145"/>
      <c r="M23" s="145"/>
      <c r="N23" s="146"/>
      <c r="O23" s="147"/>
    </row>
    <row r="24" spans="2:15" x14ac:dyDescent="0.25">
      <c r="B24" s="151" t="s">
        <v>198</v>
      </c>
      <c r="C24" s="148" t="s">
        <v>242</v>
      </c>
      <c r="D24" s="134"/>
      <c r="E24" s="135"/>
      <c r="F24" s="135"/>
      <c r="G24" s="135"/>
      <c r="H24" s="135"/>
      <c r="I24" s="135"/>
      <c r="J24" s="135"/>
      <c r="K24" s="135"/>
      <c r="L24" s="135"/>
      <c r="M24" s="135"/>
      <c r="N24" s="138"/>
      <c r="O24" s="136"/>
    </row>
    <row r="25" spans="2:15" x14ac:dyDescent="0.25">
      <c r="B25" s="151" t="s">
        <v>199</v>
      </c>
      <c r="C25" s="148" t="s">
        <v>244</v>
      </c>
      <c r="D25" s="134"/>
      <c r="E25" s="135"/>
      <c r="F25" s="135"/>
      <c r="G25" s="135"/>
      <c r="H25" s="135"/>
      <c r="I25" s="135"/>
      <c r="J25" s="135"/>
      <c r="K25" s="135"/>
      <c r="L25" s="135"/>
      <c r="M25" s="135"/>
      <c r="N25" s="138"/>
      <c r="O25" s="136"/>
    </row>
    <row r="26" spans="2:15" x14ac:dyDescent="0.25">
      <c r="B26" s="151" t="s">
        <v>200</v>
      </c>
      <c r="C26" s="148" t="s">
        <v>247</v>
      </c>
      <c r="D26" s="134"/>
      <c r="E26" s="135"/>
      <c r="F26" s="135"/>
      <c r="G26" s="135"/>
      <c r="H26" s="135"/>
      <c r="I26" s="135"/>
      <c r="J26" s="135"/>
      <c r="K26" s="135"/>
      <c r="L26" s="135"/>
      <c r="M26" s="135"/>
      <c r="N26" s="138"/>
      <c r="O26" s="136"/>
    </row>
    <row r="27" spans="2:15" x14ac:dyDescent="0.25">
      <c r="B27" s="151" t="s">
        <v>201</v>
      </c>
      <c r="C27" s="148" t="s">
        <v>245</v>
      </c>
      <c r="D27" s="134"/>
      <c r="E27" s="135"/>
      <c r="F27" s="135"/>
      <c r="G27" s="135"/>
      <c r="H27" s="135"/>
      <c r="I27" s="135"/>
      <c r="J27" s="135"/>
      <c r="K27" s="135"/>
      <c r="L27" s="135"/>
      <c r="M27" s="135"/>
      <c r="N27" s="138"/>
      <c r="O27" s="136"/>
    </row>
    <row r="28" spans="2:15" x14ac:dyDescent="0.25">
      <c r="B28" s="151" t="s">
        <v>202</v>
      </c>
      <c r="C28" s="148" t="s">
        <v>258</v>
      </c>
      <c r="D28" s="134"/>
      <c r="E28" s="135"/>
      <c r="F28" s="135"/>
      <c r="G28" s="135"/>
      <c r="H28" s="135"/>
      <c r="I28" s="135"/>
      <c r="J28" s="135"/>
      <c r="K28" s="135"/>
      <c r="L28" s="135"/>
      <c r="M28" s="135"/>
      <c r="N28" s="138"/>
      <c r="O28" s="136"/>
    </row>
    <row r="29" spans="2:15" x14ac:dyDescent="0.25">
      <c r="B29" s="151" t="s">
        <v>203</v>
      </c>
      <c r="C29" s="148" t="s">
        <v>260</v>
      </c>
      <c r="D29" s="134"/>
      <c r="E29" s="135"/>
      <c r="F29" s="135"/>
      <c r="G29" s="135"/>
      <c r="H29" s="135"/>
      <c r="I29" s="135"/>
      <c r="J29" s="135"/>
      <c r="K29" s="135"/>
      <c r="L29" s="135"/>
      <c r="M29" s="135"/>
      <c r="N29" s="138"/>
      <c r="O29" s="136"/>
    </row>
    <row r="30" spans="2:15" x14ac:dyDescent="0.25">
      <c r="B30" s="151" t="s">
        <v>204</v>
      </c>
      <c r="C30" s="148" t="s">
        <v>249</v>
      </c>
      <c r="D30" s="134" t="s">
        <v>746</v>
      </c>
      <c r="E30" s="135" t="s">
        <v>745</v>
      </c>
      <c r="F30" s="135" t="s">
        <v>747</v>
      </c>
      <c r="G30" s="135" t="s">
        <v>743</v>
      </c>
      <c r="H30" s="135" t="s">
        <v>744</v>
      </c>
      <c r="I30" s="135"/>
      <c r="J30" s="135"/>
      <c r="K30" s="135"/>
      <c r="L30" s="135"/>
      <c r="M30" s="135"/>
      <c r="N30" s="138"/>
      <c r="O30" s="136"/>
    </row>
    <row r="31" spans="2:15" x14ac:dyDescent="0.25">
      <c r="B31" s="151" t="s">
        <v>205</v>
      </c>
      <c r="C31" s="148" t="s">
        <v>252</v>
      </c>
      <c r="D31" s="134"/>
      <c r="E31" s="135"/>
      <c r="F31" s="135"/>
      <c r="G31" s="135"/>
      <c r="H31" s="135"/>
      <c r="I31" s="135"/>
      <c r="J31" s="135"/>
      <c r="K31" s="135"/>
      <c r="L31" s="135"/>
      <c r="M31" s="135"/>
      <c r="N31" s="138"/>
      <c r="O31" s="136"/>
    </row>
    <row r="32" spans="2:15" x14ac:dyDescent="0.25">
      <c r="B32" s="151" t="s">
        <v>206</v>
      </c>
      <c r="C32" s="148" t="s">
        <v>246</v>
      </c>
      <c r="D32" s="134"/>
      <c r="E32" s="135"/>
      <c r="F32" s="135"/>
      <c r="G32" s="135"/>
      <c r="H32" s="135"/>
      <c r="I32" s="135"/>
      <c r="J32" s="135"/>
      <c r="K32" s="135"/>
      <c r="L32" s="135"/>
      <c r="M32" s="135"/>
      <c r="N32" s="138"/>
      <c r="O32" s="136"/>
    </row>
    <row r="33" spans="2:15" x14ac:dyDescent="0.25">
      <c r="B33" s="151" t="s">
        <v>207</v>
      </c>
      <c r="C33" s="148" t="s">
        <v>250</v>
      </c>
      <c r="D33" s="134"/>
      <c r="E33" s="135"/>
      <c r="F33" s="135"/>
      <c r="G33" s="135"/>
      <c r="H33" s="135"/>
      <c r="I33" s="135"/>
      <c r="J33" s="135"/>
      <c r="K33" s="135"/>
      <c r="L33" s="135"/>
      <c r="M33" s="135"/>
      <c r="N33" s="138"/>
      <c r="O33" s="136"/>
    </row>
    <row r="34" spans="2:15" x14ac:dyDescent="0.25">
      <c r="B34" s="151" t="s">
        <v>208</v>
      </c>
      <c r="C34" s="148" t="s">
        <v>251</v>
      </c>
      <c r="D34" s="134"/>
      <c r="E34" s="135"/>
      <c r="F34" s="135"/>
      <c r="G34" s="135"/>
      <c r="H34" s="135"/>
      <c r="I34" s="135"/>
      <c r="J34" s="135"/>
      <c r="K34" s="135"/>
      <c r="L34" s="135"/>
      <c r="M34" s="135"/>
      <c r="N34" s="138"/>
      <c r="O34" s="136"/>
    </row>
    <row r="35" spans="2:15" x14ac:dyDescent="0.25">
      <c r="B35" s="151" t="s">
        <v>209</v>
      </c>
      <c r="C35" s="148" t="s">
        <v>243</v>
      </c>
      <c r="D35" s="134"/>
      <c r="E35" s="135"/>
      <c r="F35" s="135"/>
      <c r="G35" s="135"/>
      <c r="H35" s="135"/>
      <c r="I35" s="135"/>
      <c r="J35" s="135"/>
      <c r="K35" s="135"/>
      <c r="L35" s="135"/>
      <c r="M35" s="135"/>
      <c r="N35" s="138"/>
      <c r="O35" s="136"/>
    </row>
    <row r="36" spans="2:15" x14ac:dyDescent="0.25">
      <c r="B36" s="151" t="s">
        <v>210</v>
      </c>
      <c r="C36" s="148" t="s">
        <v>253</v>
      </c>
      <c r="D36" s="134"/>
      <c r="E36" s="135"/>
      <c r="F36" s="135"/>
      <c r="G36" s="135"/>
      <c r="H36" s="135"/>
      <c r="I36" s="135"/>
      <c r="J36" s="135"/>
      <c r="K36" s="135"/>
      <c r="L36" s="135"/>
      <c r="M36" s="135"/>
      <c r="N36" s="138"/>
      <c r="O36" s="136"/>
    </row>
    <row r="37" spans="2:15" x14ac:dyDescent="0.25">
      <c r="B37" s="151" t="s">
        <v>211</v>
      </c>
      <c r="C37" s="148" t="s">
        <v>254</v>
      </c>
      <c r="D37" s="134"/>
      <c r="E37" s="135"/>
      <c r="F37" s="135"/>
      <c r="G37" s="135"/>
      <c r="H37" s="135"/>
      <c r="I37" s="135"/>
      <c r="J37" s="135"/>
      <c r="K37" s="135"/>
      <c r="L37" s="135"/>
      <c r="M37" s="135"/>
      <c r="N37" s="138"/>
      <c r="O37" s="136"/>
    </row>
    <row r="38" spans="2:15" x14ac:dyDescent="0.25">
      <c r="B38" s="151" t="s">
        <v>212</v>
      </c>
      <c r="C38" s="148" t="s">
        <v>248</v>
      </c>
      <c r="D38" s="134"/>
      <c r="E38" s="135"/>
      <c r="F38" s="135"/>
      <c r="G38" s="135"/>
      <c r="H38" s="135"/>
      <c r="I38" s="135"/>
      <c r="J38" s="135"/>
      <c r="K38" s="135"/>
      <c r="L38" s="135"/>
      <c r="M38" s="135"/>
      <c r="N38" s="138"/>
      <c r="O38" s="136"/>
    </row>
    <row r="39" spans="2:15" x14ac:dyDescent="0.25">
      <c r="B39" s="151" t="s">
        <v>213</v>
      </c>
      <c r="C39" s="148" t="s">
        <v>257</v>
      </c>
      <c r="D39" s="134"/>
      <c r="E39" s="135"/>
      <c r="F39" s="135"/>
      <c r="G39" s="135"/>
      <c r="H39" s="135"/>
      <c r="I39" s="135"/>
      <c r="J39" s="135"/>
      <c r="K39" s="135"/>
      <c r="L39" s="135"/>
      <c r="M39" s="135"/>
      <c r="N39" s="138"/>
      <c r="O39" s="136"/>
    </row>
    <row r="40" spans="2:15" x14ac:dyDescent="0.25">
      <c r="B40" s="151" t="s">
        <v>214</v>
      </c>
      <c r="C40" s="148" t="s">
        <v>255</v>
      </c>
      <c r="D40" s="134"/>
      <c r="E40" s="135"/>
      <c r="F40" s="135"/>
      <c r="G40" s="135"/>
      <c r="H40" s="135"/>
      <c r="I40" s="135"/>
      <c r="J40" s="135"/>
      <c r="K40" s="135"/>
      <c r="L40" s="135"/>
      <c r="M40" s="135"/>
      <c r="N40" s="138"/>
      <c r="O40" s="136"/>
    </row>
    <row r="41" spans="2:15" x14ac:dyDescent="0.25">
      <c r="B41" s="151" t="s">
        <v>215</v>
      </c>
      <c r="C41" s="148" t="s">
        <v>259</v>
      </c>
      <c r="D41" s="134"/>
      <c r="E41" s="135"/>
      <c r="F41" s="135"/>
      <c r="G41" s="135"/>
      <c r="H41" s="135"/>
      <c r="I41" s="135"/>
      <c r="J41" s="135"/>
      <c r="K41" s="135"/>
      <c r="L41" s="135"/>
      <c r="M41" s="135"/>
      <c r="N41" s="138"/>
      <c r="O41" s="136"/>
    </row>
    <row r="42" spans="2:15" x14ac:dyDescent="0.25">
      <c r="B42" s="151" t="s">
        <v>216</v>
      </c>
      <c r="C42" s="148" t="s">
        <v>256</v>
      </c>
      <c r="D42" s="134"/>
      <c r="E42" s="135"/>
      <c r="F42" s="135"/>
      <c r="G42" s="135"/>
      <c r="H42" s="135"/>
      <c r="I42" s="135"/>
      <c r="J42" s="135"/>
      <c r="K42" s="135"/>
      <c r="L42" s="135"/>
      <c r="M42" s="135"/>
      <c r="N42" s="138"/>
      <c r="O42" s="136"/>
    </row>
    <row r="43" spans="2:15" x14ac:dyDescent="0.25">
      <c r="B43" s="151" t="s">
        <v>237</v>
      </c>
      <c r="C43" s="148" t="s">
        <v>705</v>
      </c>
      <c r="D43" s="134"/>
      <c r="E43" s="135"/>
      <c r="F43" s="135"/>
      <c r="G43" s="135"/>
      <c r="H43" s="135"/>
      <c r="I43" s="135"/>
      <c r="J43" s="135"/>
      <c r="K43" s="135"/>
      <c r="L43" s="135"/>
      <c r="M43" s="135"/>
      <c r="N43" s="138"/>
      <c r="O43" s="136"/>
    </row>
    <row r="44" spans="2:15" ht="13" thickBot="1" x14ac:dyDescent="0.3">
      <c r="B44" s="152" t="s">
        <v>238</v>
      </c>
      <c r="C44" s="153" t="s">
        <v>706</v>
      </c>
      <c r="D44" s="139"/>
      <c r="E44" s="140"/>
      <c r="F44" s="140"/>
      <c r="G44" s="140"/>
      <c r="H44" s="140"/>
      <c r="I44" s="140"/>
      <c r="J44" s="140"/>
      <c r="K44" s="140"/>
      <c r="L44" s="140"/>
      <c r="M44" s="140"/>
      <c r="N44" s="143"/>
      <c r="O44" s="141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2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REPORT_U2025111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"U2025111"</v>
      </c>
      <c r="F3" s="45" t="str">
        <f t="shared" ref="F3:F16" si="0">""""&amp;B3&amp;"""" &amp; " : " &amp;C3&amp;","</f>
        <v>"name" : "U2025111",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"U111"</v>
      </c>
      <c r="F4" s="45" t="str">
        <f t="shared" si="0"/>
        <v>"cod" : "U111",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111</v>
      </c>
      <c r="F6" s="45" t="str">
        <f t="shared" si="0"/>
        <v>"number" : 111,</v>
      </c>
    </row>
    <row r="7" spans="2:6" x14ac:dyDescent="0.25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5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5">
      <c r="B9" s="43" t="s">
        <v>126</v>
      </c>
      <c r="C9" s="43" t="str">
        <f>""""&amp;'SCOUT &amp; LOGISTICS'!D5&amp;""""</f>
        <v>"Slask Wroclaw"</v>
      </c>
      <c r="F9" s="45" t="str">
        <f t="shared" si="0"/>
        <v>"away_team" : "Slask Wroclaw",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"DALIA UTIU"</v>
      </c>
      <c r="F10" s="45" t="str">
        <f t="shared" si="0"/>
        <v>"Data_entry" : "DALIA UTIU",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"ZSOLT CSIKI"</v>
      </c>
      <c r="F11" s="45" t="str">
        <f t="shared" si="0"/>
        <v>"Caller_1" : "ZSOLT CSIKI",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"GEORGE PRIDEA"</v>
      </c>
      <c r="F12" s="45" t="str">
        <f t="shared" si="0"/>
        <v>"Caller_2" : "GEORGE PRIDEA",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 CRISAN"</v>
      </c>
      <c r="F13" s="45" t="str">
        <f t="shared" si="0"/>
        <v>"Timerkeeper" : "ANGEL CRISAN",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"IOANA OLARIU"</v>
      </c>
      <c r="F14" s="45" t="str">
        <f t="shared" si="0"/>
        <v>"Shotclock" : "IOANA OLARIU",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682</v>
      </c>
      <c r="F25" s="45" t="str">
        <f t="shared" ref="F25:F48" si="1">""""&amp;C25&amp;"""" &amp; " : " &amp;D25&amp;","</f>
        <v>"total_actions" : 682,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"0,4%"</v>
      </c>
      <c r="F27" s="45" t="str">
        <f t="shared" si="1"/>
        <v>"%_corrections" : "0,4%",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communication, quick corrections. No problems at all!"</v>
      </c>
      <c r="F51" s="45" t="str">
        <f>""""&amp;B51&amp;"""" &amp; " : " &amp;C51&amp;","</f>
        <v>"comments" : "Good communication, quick corrections. No problems at all!",</v>
      </c>
    </row>
    <row r="52" spans="2:6" x14ac:dyDescent="0.25">
      <c r="B52" s="43" t="s">
        <v>153</v>
      </c>
      <c r="C52" s="43" t="str">
        <f>TEXT('SCOUT &amp; LOGISTICS'!F1,"0,0")</f>
        <v>12_111_CLU_WRO_U2025</v>
      </c>
      <c r="F52" s="45" t="str">
        <f>""""&amp;B52&amp;"""" &amp; " : " &amp;C52</f>
        <v>"result" : 12_111_CLU_WRO_U2025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U111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>"DATE: " &amp; TEXT('SCOUT &amp; LOGISTICS'!B3,"dd/mm")</f>
        <v>DATE: Date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U-Bt Cluj-Napoca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Slask Wroclaw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DALIA UTIU</v>
      </c>
      <c r="C8" s="201"/>
      <c r="D8" s="201"/>
      <c r="E8" s="201"/>
      <c r="F8" s="201"/>
      <c r="G8" s="201" t="str">
        <f>IF('SCOUT &amp; LOGISTICS'!D7="","",'SCOUT &amp; LOGISTICS'!D7)</f>
        <v>ZSOLT CSIKI</v>
      </c>
      <c r="H8" s="201"/>
      <c r="I8" s="201"/>
      <c r="J8" s="201"/>
      <c r="K8" s="201"/>
      <c r="L8" s="201" t="str">
        <f>IF('SCOUT &amp; LOGISTICS'!D8="","",'SCOUT &amp; LOGISTICS'!D8)</f>
        <v>GEORGE PRIDEA</v>
      </c>
      <c r="M8" s="201"/>
      <c r="N8" s="201"/>
      <c r="O8" s="201"/>
      <c r="P8" s="201"/>
      <c r="Q8" s="201" t="str">
        <f>IF('SCOUT &amp; LOGISTICS'!D9="","",'SCOUT &amp; LOGISTICS'!D9)</f>
        <v>ANGEL CRISAN</v>
      </c>
      <c r="R8" s="201"/>
      <c r="S8" s="201"/>
      <c r="T8" s="201"/>
      <c r="U8" s="201"/>
      <c r="V8" s="201" t="str">
        <f>IF('SCOUT &amp; LOGISTICS'!D10="","",'SCOUT &amp; LOGISTICS'!D10)</f>
        <v>IOANA OLARIU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682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4.3988269794721412E-3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Good communication, quick corrections. No problems at all!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4.9398826979472137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2026-02-11T20:55:11Z</cp:lastPrinted>
  <dcterms:created xsi:type="dcterms:W3CDTF">2023-09-19T19:50:35Z</dcterms:created>
  <dcterms:modified xsi:type="dcterms:W3CDTF">2026-04-09T14:43:00Z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