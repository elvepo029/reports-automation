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6C64454-AFA3-47A0-932B-6D46C5938CE8}" xr6:coauthVersionLast="47" xr6:coauthVersionMax="47" xr10:uidLastSave="{00000000-0000-0000-0000-000000000000}"/>
  <bookViews>
    <workbookView xWindow="-4275" yWindow="-14250" windowWidth="21600" windowHeight="13185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<sst xmlns="http://schemas.openxmlformats.org/spreadsheetml/2006/main" count="3321" uniqueCount="826">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</sst>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12_111_CLU_WRO_U2025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111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46021.791666666664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U-BT Cluj-Napoca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CLU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Slask Wroclaw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WRO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/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/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/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/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/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REPORT_U2025111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"U2025111"</v>
      </c>
      <c r="F3" s="45" t="str">
        <f t="shared" ref="F3:F16" si="0">""""&amp;B3&amp;"""" &amp; " : " &amp;C3&amp;","</f>
        <v>"name" : "U2025111",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"U111"</v>
      </c>
      <c r="F4" s="45" t="str">
        <f t="shared" si="0"/>
        <v>"cod" : "U111",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111</v>
      </c>
      <c r="F6" s="45" t="str">
        <f t="shared" si="0"/>
        <v>"number" : 111,</v>
      </c>
    </row>
    <row r="7" spans="2:6" x14ac:dyDescent="0.2">
      <c r="B7" s="43" t="s">
        <v>116</v>
      </c>
      <c r="C7" s="43" t="str">
        <f ca="1">""""&amp;TEXT('SCOUT &amp; LOGISTICS'!B3,"dd/mm/aaaa")&amp;""""</f>
        <v>"30/12/Tuesday"</v>
      </c>
      <c r="F7" s="45" t="str">
        <f t="shared" ca="1" si="0"/>
        <v>"date" : "30/12/Tuesday",</v>
      </c>
    </row>
    <row r="8" spans="2:6" x14ac:dyDescent="0.2">
      <c r="B8" s="43" t="s">
        <v>125</v>
      </c>
      <c r="C8" s="43" t="str">
        <f>""""&amp;'SCOUT &amp; LOGISTICS'!D4 &amp;""""</f>
        <v>"U-BT Cluj-Napoca"</v>
      </c>
      <c r="F8" s="45" t="str">
        <f t="shared" si="0"/>
        <v>"home_team" : "U-BT Cluj-Napoca",</v>
      </c>
    </row>
    <row r="9" spans="2:6" x14ac:dyDescent="0.2">
      <c r="B9" s="43" t="s">
        <v>126</v>
      </c>
      <c r="C9" s="43" t="str">
        <f>""""&amp;'SCOUT &amp; LOGISTICS'!D5&amp;""""</f>
        <v>"Slask Wroclaw"</v>
      </c>
      <c r="F9" s="45" t="str">
        <f t="shared" si="0"/>
        <v>"away_team" : "Slask Wroclaw",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""</v>
      </c>
      <c r="F10" s="45" t="str">
        <f t="shared" si="0"/>
        <v>"Data_entry" : "",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""</v>
      </c>
      <c r="F11" s="45" t="str">
        <f t="shared" si="0"/>
        <v>"Caller_1" : "",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""</v>
      </c>
      <c r="F12" s="45" t="str">
        <f t="shared" si="0"/>
        <v>"Caller_2" : "",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""</v>
      </c>
      <c r="F13" s="45" t="str">
        <f t="shared" si="0"/>
        <v>"Timerkeeper" : "",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""</v>
      </c>
      <c r="F14" s="45" t="str">
        <f t="shared" si="0"/>
        <v>"Shotclock" : "",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12_111_CLU_WRO_U2025</v>
      </c>
      <c r="F52" s="45" t="str">
        <f>""""&amp;B52&amp;"""" &amp; " : " &amp;C52</f>
        <v>"result" : 12_111_CLU_WRO_U2025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U111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30/12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U-Bt Cluj-Napoca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Slask Wroclaw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/>
      </c>
      <c r="C8" s="201"/>
      <c r="D8" s="201"/>
      <c r="E8" s="201"/>
      <c r="F8" s="201"/>
      <c r="G8" s="201" t="str">
        <f>IF('SCOUT &amp; LOGISTICS'!D7="","",'SCOUT &amp; LOGISTICS'!D7)</f>
        <v/>
      </c>
      <c r="H8" s="201"/>
      <c r="I8" s="201"/>
      <c r="J8" s="201"/>
      <c r="K8" s="201"/>
      <c r="L8" s="201" t="str">
        <f>IF('SCOUT &amp; LOGISTICS'!D8="","",'SCOUT &amp; LOGISTICS'!D8)</f>
        <v/>
      </c>
      <c r="M8" s="201"/>
      <c r="N8" s="201"/>
      <c r="O8" s="201"/>
      <c r="P8" s="201"/>
      <c r="Q8" s="201" t="str">
        <f>IF('SCOUT &amp; LOGISTICS'!D9="","",'SCOUT &amp; LOGISTICS'!D9)</f>
        <v/>
      </c>
      <c r="R8" s="201"/>
      <c r="S8" s="201"/>
      <c r="T8" s="201"/>
      <c r="U8" s="201"/>
      <c r="V8" s="201" t="str">
        <f>IF('SCOUT &amp; LOGISTICS'!D10="","",'SCOUT &amp; LOGISTICS'!D10)</f>
        <v/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8348201-D178-445C-B8DA-80079D5D6D5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2025-12-23T17:33:43Z</cp:lastPrinted>
  <dcterms:created xsi:type="dcterms:W3CDTF">2023-09-19T19:50:35Z</dcterms:created>
  <dcterms:modified xsi:type="dcterms:W3CDTF">2025-12-23T17:33:56Z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