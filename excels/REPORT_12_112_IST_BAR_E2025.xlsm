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761E0288-E289-401A-BEFD-08E58A838CD9}" xr6:coauthVersionLast="47" xr6:coauthVersionMax="47" xr10:uidLastSave="{00000000-0000-0000-0000-000000000000}"/>
  <bookViews>
    <workbookView xWindow="-750" yWindow="-15675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<sst xmlns="http://schemas.openxmlformats.org/spreadsheetml/2006/main" count="3249" uniqueCount="758">
  <si>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</si>
  <si>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</si>
  <si>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</si>
  <si>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</si>
  <si>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</si>
  <si>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</si>
  <si>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</si>
  <si>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</si>
  <si>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</si>
  <si>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</si>
  <si>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</si>
  <si>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</si>
  <si>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</si>
  <si>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</si>
  <si>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</si>
  <si>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</si>
  <si>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</si>
  <si>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</si>
  <si>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</si>
  <si>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</si>
  <si>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</si>
  <si>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</si>
  <si>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</si>
  <si>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</si>
  <si>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</si>
  <si>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</si>
  <si>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</si>
  <si>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</si>
  <si>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</si>
  <si>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</si>
  <si>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</si>
  <si>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</si>
  <si>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</si>
  <si>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</si>
  <si>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</si>
  <si>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</si>
  <si>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</si>
  <si>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</si>
  <si>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</si>
  <si>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</si>
  <si>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</si>
  <si>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</si>
  <si>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</si>
  <si>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</si>
  <si>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</si>
  <si>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</si>
  <si>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</si>
  <si>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</si>
  <si>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</si>
  <si>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</si>
  <si>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</si>
  <si>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</si>
  <si>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</si>
  <si>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</si>
  <si>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</si>
  <si>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</si>
  <si>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</si>
  <si>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</si>
  <si>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</si>
  <si>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</si>
  <si>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</si>
  <si>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</si>
  <si>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</si>
  <si>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</si>
  <si>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</si>
  <si>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</si>
  <si>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</si>
  <si>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</si>
  <si>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</si>
  <si>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</si>
  <si>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</si>
  <si>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</si>
  <si>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</si>
  <si>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</si>
  <si>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</si>
  <si>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</si>
  <si>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</si>
  <si>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</si>
  <si>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</si>
  <si>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</si>
  <si>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</si>
  <si>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</si>
  <si>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</si>
  <si>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</si>
  <si>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</si>
  <si>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</si>
  <si>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</si>
  <si>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</si>
  <si>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</si>
  <si>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</si>
  <si>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</si>
  <si>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</si>
  <si>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</si>
  <si>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</si>
  <si>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</si>
  <si>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</si>
  <si>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</si>
  <si>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</si>
  <si>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</si>
  <si>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</si>
  <si>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</si>
  <si>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</si>
  <si>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</si>
  <si>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</si>
  <si>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</si>
  <si>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</si>
  <si>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</si>
  <si>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</si>
  <si>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</si>
  <si>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</si>
  <si>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</si>
  <si>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</si>
  <si>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</si>
  <si>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</si>
  <si>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</si>
  <si>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</si>
  <si>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</si>
  <si>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</si>
  <si>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</si>
  <si>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</si>
  <si>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</si>
  <si>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</si>
  <si>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</si>
  <si>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</si>
  <si>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</si>
  <si>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</si>
  <si>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</si>
  <si>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</si>
  <si>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</si>
  <si>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</si>
  <si>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</si>
  <si>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</si>
  <si>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</si>
  <si>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</si>
  <si>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</si>
  <si>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</si>
  <si>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</si>
  <si>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</si>
  <si>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</si>
  <si>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</si>
  <si>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</si>
  <si>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</si>
  <si>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</si>
  <si>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</si>
  <si>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</si>
  <si>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</si>
  <si>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</si>
  <si>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</si>
  <si>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</si>
  <si>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</si>
  <si>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</si>
  <si>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</si>
  <si>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</si>
  <si>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</si>
  <si>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</si>
  <si>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</si>
  <si>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</si>
  <si>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</si>
  <si>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</si>
  <si>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</si>
  <si>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</si>
  <si>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</si>
  <si>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</si>
  <si>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</si>
  <si>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</si>
  <si>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</si>
  <si>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</si>
  <si>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</si>
  <si>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</si>
  <si>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</si>
  <si>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</si>
  <si>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</si>
  <si>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</si>
  <si>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</si>
  <si>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</si>
  <si>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</si>
  <si>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</si>
  <si>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</si>
  <si>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</si>
  <si>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</si>
  <si>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</si>
  <si>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</si>
  <si>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</si>
  <si>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</si>
  <si>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</si>
  <si>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</si>
  <si>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</si>
  <si>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</si>
  <si>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</si>
  <si>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</si>
  <si>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</si>
  <si>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</si>
  <si>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</si>
  <si>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</si>
  <si>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</si>
  <si>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</si>
  <si>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</si>
  <si>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</si>
  <si>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</si>
  <si>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</si>
  <si>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</si>
  <si>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</si>
  <si>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</si>
  <si>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</si>
  <si>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</si>
  <si>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</si>
  <si>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</si>
  <si>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</si>
  <si>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</si>
  <si>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</si>
  <si>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</si>
  <si>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</si>
  <si>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</si>
  <si>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</si>
  <si>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</si>
  <si>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</si>
  <si>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</si>
  <si>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</si>
  <si>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</si>
  <si>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</si>
  <si>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</si>
  <si>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</si>
  <si>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</si>
  <si>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</si>
  <si>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</si>
  <si>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</si>
  <si>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</si>
  <si>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</si>
  <si>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</si>
  <si>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</si>
  <si>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</si>
  <si>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</si>
  <si>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</si>
  <si>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</si>
  <si>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</si>
  <si>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</si>
  <si>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</si>
  <si>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</si>
  <si>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</si>
  <si>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</si>
  <si>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</si>
  <si>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</si>
  <si>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</si>
  <si>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</si>
  <si>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</si>
  <si>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</si>
  <si>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</si>
  <si>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</si>
  <si>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</si>
  <si>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</si>
  <si>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</si>
  <si>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</si>
  <si>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</si>
  <si>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</si>
  <si>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</si>
  <si>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</si>
  <si>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</si>
  <si>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</si>
  <si>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</si>
  <si>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</si>
  <si>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</si>
  <si>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</si>
  <si>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</si>
  <si>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</si>
  <si>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</si>
  <si>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</si>
  <si>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</si>
  <si>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</si>
  <si>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</si>
  <si>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</si>
  <si>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</si>
  <si>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</si>
  <si>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</si>
  <si>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</si>
  <si>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</si>
  <si>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</si>
  <si>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</si>
  <si>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</si>
  <si>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</si>
  <si>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</si>
  <si>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</si>
  <si>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</si>
  <si>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</si>
  <si>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</si>
  <si>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</si>
  <si>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</si>
  <si>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</si>
  <si>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</si>
  <si>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</si>
  <si>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</si>
  <si>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</si>
  <si>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</si>
  <si>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</si>
  <si>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</si>
  <si>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</si>
  <si>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</si>
  <si>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</si>
  <si>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</si>
  <si>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</si>
  <si>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</si>
  <si>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</si>
  <si>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</si>
  <si>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</si>
  <si>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</si>
  <si>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</si>
  <si>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</si>
  <si>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</si>
  <si>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</si>
  <si>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</si>
  <si>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</si>
  <si>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</si>
  <si>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</si>
  <si>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</si>
  <si>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</si>
  <si>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</si>
  <si>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</si>
  <si>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</si>
  <si>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</si>
  <si>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</si>
  <si>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</si>
  <si>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</si>
  <si>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</si>
  <si>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</si>
  <si>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</si>
  <si>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</si>
  <si>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</si>
  <si>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</si>
  <si>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</si>
  <si>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</si>
  <si>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</si>
  <si>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</si>
  <si>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</si>
  <si>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</si>
  <si>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</si>
  <si>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</si>
  <si>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</si>
  <si>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</si>
  <si>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</si>
  <si>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</si>
  <si>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</si>
  <si>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</si>
  <si>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</si>
  <si>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</si>
  <si>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</si>
  <si>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</si>
  <si>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</si>
  <si>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</si>
  <si>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</si>
  <si>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</si>
  <si>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</si>
  <si>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</si>
  <si>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</si>
  <si>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</si>
  <si>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</si>
  <si>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</si>
  <si>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</si>
  <si>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</si>
  <si>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</si>
  <si>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</si>
  <si>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</si>
  <si>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</si>
  <si>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</si>
  <si>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</si>
  <si>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</si>
  <si>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</si>
  <si>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</si>
  <si>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</si>
  <si>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</si>
  <si>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</si>
  <si>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</si>
  <si>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</si>
  <si>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</si>
  <si>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</si>
  <si>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</si>
  <si>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</si>
  <si>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</si>
  <si>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</si>
  <si>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</si>
  <si>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</si>
  <si>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</si>
  <si>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</si>
  <si>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</si>
  <si>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</si>
  <si>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</si>
  <si>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</si>
  <si>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</si>
  <si>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</si>
  <si>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</si>
  <si>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</si>
  <si>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</si>
  <si>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</si>
  <si>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</si>
  <si>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</si>
  <si>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</si>
  <si>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</si>
  <si>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</si>
  <si>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</si>
  <si>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</si>
  <si>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</si>
  <si>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</si>
  <si>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</si>
  <si>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</si>
  <si>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</si>
  <si>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</si>
  <si>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</si>
  <si>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</si>
  <si>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</si>
  <si>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</si>
  <si>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</si>
  <si>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</si>
  <si>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</si>
  <si>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</si>
  <si>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</si>
  <si>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</si>
  <si>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</si>
  <si>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</si>
  <si>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</si>
  <si>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</si>
  <si>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</si>
  <si>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</si>
  <si>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</si>
  <si>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</si>
  <si>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</si>
  <si>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</si>
  <si>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</si>
  <si>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</si>
  <si>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</si>
  <si>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</si>
  <si>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</si>
  <si>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</si>
  <si>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</si>
  <si>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</si>
  <si>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</si>
  <si>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</si>
  <si>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</si>
  <si>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</si>
  <si>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</si>
  <si>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</si>
  <si>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</si>
  <si>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</si>
  <si>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</si>
  <si>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</si>
  <si>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</si>
  <si>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</si>
  <si>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</si>
  <si>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</si>
  <si>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</si>
  <si>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</si>
  <si>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</si>
  <si>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</si>
  <si>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</si>
  <si>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</si>
  <si>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</si>
  <si>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</si>
  <si>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</si>
  <si>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</si>
  <si>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</si>
  <si>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</si>
  <si>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</si>
  <si>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</si>
  <si>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</si>
  <si>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</si>
  <si>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</si>
  <si>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</si>
  <si>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</si>
  <si>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</si>
  <si>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</si>
  <si>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</si>
  <si>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</si>
  <si>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</si>
  <si>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</si>
  <si>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</si>
  <si>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</si>
  <si>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</si>
  <si>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</si>
  <si>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</si>
  <si>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</si>
  <si>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</si>
  <si>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</si>
  <si>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</si>
  <si>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</si>
  <si>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</si>
  <si>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</si>
  <si>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</si>
  <si>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</si>
  <si>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</si>
  <si>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</si>
  <si>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</si>
  <si>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</si>
  <si>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</si>
  <si>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</si>
  <si>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</si>
  <si>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</si>
  <si>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</si>
  <si>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</si>
  <si>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</si>
  <si>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</si>
  <si>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</si>
  <si>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</si>
  <si>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</si>
  <si>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</si>
  <si>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</si>
  <si>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</si>
  <si>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</si>
  <si>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</si>
  <si>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</si>
  <si>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</si>
  <si>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</si>
  <si>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</si>
  <si>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</si>
  <si>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</si>
  <si>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</si>
  <si>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</si>
  <si>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</si>
  <si>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</si>
  <si>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</si>
  <si>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</si>
  <si>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</si>
  <si>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</si>
  <si>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</si>
  <si>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</si>
  <si>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</si>
  <si>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</si>
  <si>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</si>
  <si>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</si>
  <si>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</si>
  <si>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</si>
  <si>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</si>
  <si>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</si>
  <si>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</si>
  <si>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</si>
  <si>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</si>
  <si>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</si>
  <si>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</si>
  <si>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</si>
  <si>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</si>
  <si>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</si>
  <si>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</si>
  <si>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</si>
  <si>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</si>
  <si>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</si>
  <si>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</si>
  <si>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</si>
  <si>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</si>
  <si>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</si>
  <si>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</si>
  <si>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</si>
  <si>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</si>
  <si>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</si>
  <si>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</si>
  <si>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</si>
  <si>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</si>
  <si>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</si>
  <si>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</si>
  <si>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</si>
  <si>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</si>
  <si>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</si>
  <si>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</si>
  <si>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</si>
  <si>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</si>
  <si>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</si>
  <si>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</si>
  <si>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</si>
  <si>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</si>
  <si>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</si>
  <si>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</si>
  <si>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</si>
  <si>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</si>
  <si>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</si>
  <si>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</si>
  <si>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</si>
  <si>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</si>
  <si>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</si>
  <si>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</si>
  <si>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</si>
  <si>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</si>
  <si>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</si>
  <si>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</si>
  <si>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</si>
  <si>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</si>
  <si>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</si>
  <si>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</si>
  <si>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</si>
  <si>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</si>
  <si>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</si>
  <si>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</si>
  <si>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</si>
  <si>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</si>
  <si>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</si>
  <si>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</si>
  <si>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</si>
  <si>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</si>
  <si>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</si>
  <si>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</si>
  <si>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</si>
  <si>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</si>
  <si>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</si>
  <si>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</si>
  <si>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</si>
  <si>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</si>
  <si>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</si>
  <si>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</si>
  <si>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</si>
  <si>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</si>
  <si>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</si>
  <si>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</si>
  <si>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</si>
  <si>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</si>
  <si>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</si>
  <si>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</si>
  <si>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</si>
  <si>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</si>
  <si>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</si>
  <si>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</si>
  <si>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</si>
  <si>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</si>
  <si>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</si>
  <si>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</si>
  <si>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</si>
  <si>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</si>
  <si>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</si>
  <si>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</si>
  <si>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</si>
  <si>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</si>
  <si>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</si>
  <si>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</si>
  <si>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</si>
  <si>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</si>
  <si>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</si>
  <si>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</si>
  <si>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</si>
  <si>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</si>
  <si>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</si>
  <si>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</si>
  <si>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</si>
  <si>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</si>
  <si>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</si>
  <si>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</si>
  <si>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</si>
  <si>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</si>
  <si>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</si>
  <si>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</si>
  <si>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</si>
  <si>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</si>
  <si>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</si>
  <si>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</si>
  <si>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</si>
  <si>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</si>
  <si>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</si>
  <si>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</si>
  <si>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</si>
  <si>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</si>
  <si>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</si>
  <si>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</si>
  <si>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</si>
  <si>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</si>
  <si>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</si>
  <si>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</si>
  <si>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</si>
  <si>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</si>
  <si>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</si>
  <si>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</si>
  <si>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</si>
  <si>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</si>
  <si>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</si>
  <si>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</si>
  <si>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</si>
  <si>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</si>
  <si>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</si>
  <si>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</si>
  <si>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</si>
  <si>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</si>
  <si>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</si>
  <si>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</si>
  <si>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</si>
  <si>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</si>
  <si>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</si>
  <si>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</si>
  <si>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</si>
  <si>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</si>
  <si>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</si>
  <si>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</si>
  <si>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</si>
  <si>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</si>
  <si>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</si>
  <si>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</si>
  <si>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</si>
  <si>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</si>
  <si>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</si>
  <si>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</si>
  <si>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</si>
  <si>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</si>
  <si>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</si>
  <si>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</si>
  <si>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</si>
  <si>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</si>
  <si>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</si>
  <si>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</si>
  <si>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</si>
  <si>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</si>
  <si>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</si>
  <si>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</si>
  <si>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</si>
  <si>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</si>
  <si>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</si>
  <si>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</si>
  <si>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</si>
  <si>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</si>
  <si>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</si>
  <si>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</si>
  <si>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</si>
  <si>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</si>
  <si>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</si>
  <si>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</si>
  <si>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</si>
  <si>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</si>
  <si>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</si>
  <si>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</si>
  <si>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</si>
  <si>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</si>
  <si>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</si>
  <si>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</si>
  <si>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</si>
  <si>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</si>
  <si>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</si>
  <si>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</si>
  <si>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</si>
  <si>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</si>
  <si>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</si>
  <si>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</si>
  <si>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</si>
  <si>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</si>
  <si>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</si>
  <si>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</si>
  <si>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</si>
  <si>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</si>
  <si>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</si>
  <si>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</si>
  <si>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</si>
  <si>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</si>
  <si>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</si>
  <si>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</si>
  <si>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</si>
  <si>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</si>
  <si>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</si>
  <si>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</si>
  <si>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</si>
  <si>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</si>
  <si>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</si>
  <si>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</si>
  <si>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</si>
  <si>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KUTLUATA, CAN</t>
  </si>
  <si>
    <t>DOSTEL,SERTAC</t>
  </si>
  <si>
    <t>YENIHAYAT, ORHAN</t>
  </si>
  <si>
    <t>YILDIZ, AHMET</t>
  </si>
  <si>
    <t>KUS, MURAT</t>
  </si>
  <si>
    <t>05:05</t>
  </si>
  <si>
    <t>Fast self corrections, well 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</si>
</sst>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84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12_112_IST_BAR_E2025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112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45981.854166666664</v>
      </c>
      <c r="C3" s="157"/>
      <c r="D3" s="39">
        <v>562</v>
      </c>
      <c r="E3" s="29"/>
      <c r="F3" s="26">
        <f>SUBTOTAL(3,I17:I106)</f>
        <v>1</v>
      </c>
      <c r="G3" s="27">
        <f>IF(OR(D3="",D3=0),"",F3/D3)</f>
        <v>1.7793594306049821E-3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1.7793594306049821E-3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0.1779359430604982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1.1779359430604983</v>
      </c>
      <c r="N7" s="58"/>
      <c r="O7" s="2"/>
      <c r="P7" s="2"/>
      <c r="Q7" s="86">
        <f>SUM(R5,S5,AC16)</f>
        <v>1.1779359430604983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1.1779359430604983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112</v>
      </c>
      <c r="D17" s="32" t="s">
        <v>756</v>
      </c>
      <c r="E17" s="33">
        <v>1</v>
      </c>
      <c r="F17" s="36">
        <v>9</v>
      </c>
      <c r="G17" s="36">
        <v>7</v>
      </c>
      <c r="H17" s="38" t="str">
        <f>IF(I17="","",$I$14)</f>
        <v>SCOUTING</v>
      </c>
      <c r="I17" s="34">
        <v>60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REPORT_E2025112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"E2025112"</v>
      </c>
      <c r="F3" s="45" t="str">
        <f t="shared" ref="F3:F16" si="0">""""&amp;B3&amp;"""" &amp; " : " &amp;C3&amp;","</f>
        <v>"name" : "E2025112",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"E112"</v>
      </c>
      <c r="F4" s="45" t="str">
        <f t="shared" si="0"/>
        <v>"cod" : "E112",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112</v>
      </c>
      <c r="F6" s="45" t="str">
        <f t="shared" si="0"/>
        <v>"number" : 112,</v>
      </c>
    </row>
    <row r="7" spans="2:6" x14ac:dyDescent="0.2">
      <c r="B7" s="43" t="s">
        <v>116</v>
      </c>
      <c r="C7" s="43" t="str">
        <f ca="1">""""&amp;TEXT('SCOUT &amp; LOGISTICS'!B3,"dd/mm/aaaa")&amp;""""</f>
        <v>"20/11/Thursday"</v>
      </c>
      <c r="F7" s="45" t="str">
        <f t="shared" ca="1" si="0"/>
        <v>"date" : "20/11/Thursday",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"KUTLUATA, CAN"</v>
      </c>
      <c r="F10" s="45" t="str">
        <f t="shared" si="0"/>
        <v>"Data_entry" : "KUTLUATA, CAN",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"DOSTEL,SERTAC"</v>
      </c>
      <c r="F11" s="45" t="str">
        <f t="shared" si="0"/>
        <v>"Caller_1" : "DOSTEL,SERTAC",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"YENIHAYAT, ORHAN"</v>
      </c>
      <c r="F12" s="45" t="str">
        <f t="shared" si="0"/>
        <v>"Caller_2" : "YENIHAYAT, ORHAN",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"YILDIZ, AHMET"</v>
      </c>
      <c r="F13" s="45" t="str">
        <f t="shared" si="0"/>
        <v>"Timerkeeper" : "YILDIZ, AHMET",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"KUS, MURAT"</v>
      </c>
      <c r="F14" s="45" t="str">
        <f t="shared" si="0"/>
        <v>"Shotclock" : "KUS, MURAT",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562</v>
      </c>
      <c r="F25" s="45" t="str">
        <f t="shared" ref="F25:F48" si="1">""""&amp;C25&amp;"""" &amp; " : " &amp;D25&amp;","</f>
        <v>"total_actions" : 562,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"Fast self corrections, well done!"</v>
      </c>
      <c r="F51" s="45" t="str">
        <f>""""&amp;B51&amp;"""" &amp; " : " &amp;C51&amp;","</f>
        <v>"comments" : "Fast self corrections, well done!",</v>
      </c>
    </row>
    <row r="52" spans="2:6" x14ac:dyDescent="0.2">
      <c r="B52" s="43" t="s">
        <v>153</v>
      </c>
      <c r="C52" s="43" t="str">
        <f>TEXT('SCOUT &amp; LOGISTICS'!F1,"0,0")</f>
        <v>12_112_IST_BAR_E2025</v>
      </c>
      <c r="F52" s="45" t="str">
        <f>""""&amp;B52&amp;"""" &amp; " : " &amp;C52</f>
        <v>"result" : 12_112_IST_BAR_E2025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E112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20/11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KUTLUATA, CAN</v>
      </c>
      <c r="C8" s="206"/>
      <c r="D8" s="206"/>
      <c r="E8" s="206"/>
      <c r="F8" s="206"/>
      <c r="G8" s="206" t="str">
        <f>IF('SCOUT &amp; LOGISTICS'!D7="","",'SCOUT &amp; LOGISTICS'!D7)</f>
        <v>DOSTEL,SERTAC</v>
      </c>
      <c r="H8" s="206"/>
      <c r="I8" s="206"/>
      <c r="J8" s="206"/>
      <c r="K8" s="206"/>
      <c r="L8" s="206" t="str">
        <f>IF('SCOUT &amp; LOGISTICS'!D8="","",'SCOUT &amp; LOGISTICS'!D8)</f>
        <v>YENIHAYAT, ORHAN</v>
      </c>
      <c r="M8" s="206"/>
      <c r="N8" s="206"/>
      <c r="O8" s="206"/>
      <c r="P8" s="206"/>
      <c r="Q8" s="206" t="str">
        <f>IF('SCOUT &amp; LOGISTICS'!D9="","",'SCOUT &amp; LOGISTICS'!D9)</f>
        <v>YILDIZ, AHMET</v>
      </c>
      <c r="R8" s="206"/>
      <c r="S8" s="206"/>
      <c r="T8" s="206"/>
      <c r="U8" s="206"/>
      <c r="V8" s="206" t="str">
        <f>IF('SCOUT &amp; LOGISTICS'!D10="","",'SCOUT &amp; LOGISTICS'!D10)</f>
        <v>KUS, MURAT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562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1.7793594306049821E-3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Fast self corrections, well done!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1.1779359430604983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EBE84C-02C1-4A66-9537-941429664F5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2025-11-20T19:58:53Z</cp:lastPrinted>
  <dcterms:created xsi:type="dcterms:W3CDTF">2023-09-19T19:50:35Z</dcterms:created>
  <dcterms:modified xsi:type="dcterms:W3CDTF">2025-11-21T18:40:50Z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