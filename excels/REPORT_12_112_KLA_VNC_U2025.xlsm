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90" documentId="8_{762B780B-243F-4DCB-8CF5-DB7D4020D4ED}" xr6:coauthVersionLast="47" xr6:coauthVersionMax="47" xr10:uidLastSave="{6376D8D1-4F69-493E-9924-04802197CFD1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<sst xmlns="http://schemas.openxmlformats.org/spreadsheetml/2006/main" count="3372" uniqueCount="841">
  <si>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</si>
  <si>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</si>
  <si>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</si>
  <si>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</si>
  <si>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</si>
  <si>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</si>
  <si>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</si>
  <si>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</si>
  <si>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</si>
  <si>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</si>
  <si>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</si>
  <si>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</si>
  <si>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</si>
  <si>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</si>
  <si>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</si>
  <si>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</si>
  <si>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</si>
  <si>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</si>
  <si>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</si>
  <si>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</si>
  <si>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</si>
  <si>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</si>
  <si>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</si>
  <si>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</si>
  <si>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</si>
  <si>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</si>
  <si>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</si>
  <si>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</si>
  <si>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</si>
  <si>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</si>
  <si>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</si>
  <si>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</si>
  <si>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</si>
  <si>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</si>
  <si>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</si>
  <si>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</si>
  <si>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</si>
  <si>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</si>
  <si>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</si>
  <si>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</si>
  <si>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</si>
  <si>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</si>
  <si>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</si>
  <si>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</si>
  <si>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</si>
  <si>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</si>
  <si>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</si>
  <si>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</si>
  <si>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</si>
  <si>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</si>
  <si>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</si>
  <si>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</si>
  <si>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</si>
  <si>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</si>
  <si>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</si>
  <si>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</si>
  <si>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</si>
  <si>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</si>
  <si>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</si>
  <si>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</si>
  <si>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</si>
  <si>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</si>
  <si>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</si>
  <si>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</si>
  <si>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</si>
  <si>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</si>
  <si>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</si>
  <si>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</si>
  <si>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</si>
  <si>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</si>
  <si>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</si>
  <si>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</si>
  <si>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</si>
  <si>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</si>
  <si>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</si>
  <si>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</si>
  <si>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</si>
  <si>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</si>
  <si>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</si>
  <si>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</si>
  <si>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</si>
  <si>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</si>
  <si>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</si>
  <si>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</si>
  <si>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</si>
  <si>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</si>
  <si>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</si>
  <si>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</si>
  <si>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</si>
  <si>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</si>
  <si>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</si>
  <si>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</si>
  <si>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</si>
  <si>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</si>
  <si>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</si>
  <si>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</si>
  <si>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</si>
  <si>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</si>
  <si>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</si>
  <si>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</si>
  <si>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</si>
  <si>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</si>
  <si>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</si>
  <si>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</si>
  <si>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</si>
  <si>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</si>
  <si>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</si>
  <si>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</si>
  <si>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</si>
  <si>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</si>
  <si>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</si>
  <si>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</si>
  <si>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</si>
  <si>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</si>
  <si>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</si>
  <si>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</si>
  <si>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</si>
  <si>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</si>
  <si>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</si>
  <si>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</si>
  <si>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</si>
  <si>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</si>
  <si>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</si>
  <si>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</si>
  <si>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</si>
  <si>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</si>
  <si>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</si>
  <si>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</si>
  <si>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</si>
  <si>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</si>
  <si>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</si>
  <si>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</si>
  <si>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</si>
  <si>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</si>
  <si>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</si>
  <si>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</si>
  <si>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</si>
  <si>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</si>
  <si>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</si>
  <si>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</si>
  <si>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</si>
  <si>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</si>
  <si>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</si>
  <si>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</si>
  <si>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</si>
  <si>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</si>
  <si>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</si>
  <si>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</si>
  <si>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</si>
  <si>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</si>
  <si>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</si>
  <si>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</si>
  <si>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</si>
  <si>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</si>
  <si>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</si>
  <si>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</si>
  <si>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</si>
  <si>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</si>
  <si>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</si>
  <si>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</si>
  <si>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</si>
  <si>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</si>
  <si>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</si>
  <si>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</si>
  <si>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</si>
  <si>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</si>
  <si>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</si>
  <si>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</si>
  <si>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</si>
  <si>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</si>
  <si>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</si>
  <si>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</si>
  <si>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</si>
  <si>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</si>
  <si>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</si>
  <si>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</si>
  <si>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</si>
  <si>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</si>
  <si>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</si>
  <si>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</si>
  <si>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</si>
  <si>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</si>
  <si>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</si>
  <si>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</si>
  <si>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</si>
  <si>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</si>
  <si>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</si>
  <si>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</si>
  <si>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</si>
  <si>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</si>
  <si>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</si>
  <si>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</si>
  <si>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</si>
  <si>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</si>
  <si>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</si>
  <si>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</si>
  <si>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</si>
  <si>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</si>
  <si>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</si>
  <si>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</si>
  <si>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</si>
  <si>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</si>
  <si>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</si>
  <si>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</si>
  <si>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</si>
  <si>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</si>
  <si>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</si>
  <si>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</si>
  <si>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</si>
  <si>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</si>
  <si>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</si>
  <si>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</si>
  <si>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</si>
  <si>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</si>
  <si>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</si>
  <si>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</si>
  <si>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</si>
  <si>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</si>
  <si>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</si>
  <si>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</si>
  <si>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</si>
  <si>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</si>
  <si>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</si>
  <si>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</si>
  <si>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</si>
  <si>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</si>
  <si>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</si>
  <si>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</si>
  <si>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</si>
  <si>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</si>
  <si>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</si>
  <si>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</si>
  <si>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</si>
  <si>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</si>
  <si>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</si>
  <si>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</si>
  <si>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</si>
  <si>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</si>
  <si>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</si>
  <si>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</si>
  <si>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</si>
  <si>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</si>
  <si>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</si>
  <si>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</si>
  <si>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</si>
  <si>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</si>
  <si>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</si>
  <si>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</si>
  <si>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</si>
  <si>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</si>
  <si>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</si>
  <si>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</si>
  <si>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</si>
  <si>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</si>
  <si>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</si>
  <si>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</si>
  <si>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</si>
  <si>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</si>
  <si>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</si>
  <si>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</si>
  <si>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</si>
  <si>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</si>
  <si>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</si>
  <si>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</si>
  <si>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</si>
  <si>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</si>
  <si>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</si>
  <si>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</si>
  <si>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</si>
  <si>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</si>
  <si>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</si>
  <si>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</si>
  <si>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</si>
  <si>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</si>
  <si>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</si>
  <si>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</si>
  <si>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</si>
  <si>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</si>
  <si>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</si>
  <si>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</si>
  <si>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</si>
  <si>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</si>
  <si>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</si>
  <si>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</si>
  <si>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</si>
  <si>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</si>
  <si>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</si>
  <si>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</si>
  <si>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</si>
  <si>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</si>
  <si>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</si>
  <si>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</si>
  <si>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</si>
  <si>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</si>
  <si>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</si>
  <si>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</si>
  <si>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</si>
  <si>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</si>
  <si>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</si>
  <si>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</si>
  <si>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</si>
  <si>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</si>
  <si>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</si>
  <si>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</si>
  <si>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</si>
  <si>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</si>
  <si>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</si>
  <si>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</si>
  <si>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</si>
  <si>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</si>
  <si>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</si>
  <si>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</si>
  <si>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</si>
  <si>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</si>
  <si>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</si>
  <si>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</si>
  <si>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</si>
  <si>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</si>
  <si>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</si>
  <si>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</si>
  <si>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</si>
  <si>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</si>
  <si>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</si>
  <si>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</si>
  <si>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</si>
  <si>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</si>
  <si>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</si>
  <si>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</si>
  <si>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</si>
  <si>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</si>
  <si>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</si>
  <si>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</si>
  <si>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</si>
  <si>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</si>
  <si>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</si>
  <si>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</si>
  <si>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</si>
  <si>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</si>
  <si>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</si>
  <si>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</si>
  <si>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</si>
  <si>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</si>
  <si>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</si>
  <si>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</si>
  <si>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</si>
  <si>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</si>
  <si>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</si>
  <si>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</si>
  <si>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</si>
  <si>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</si>
  <si>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</si>
  <si>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</si>
  <si>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</si>
  <si>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</si>
  <si>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</si>
  <si>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</si>
  <si>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</si>
  <si>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</si>
  <si>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</si>
  <si>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</si>
  <si>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</si>
  <si>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</si>
  <si>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</si>
  <si>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</si>
  <si>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</si>
  <si>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</si>
  <si>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</si>
  <si>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</si>
  <si>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</si>
  <si>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</si>
  <si>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</si>
  <si>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</si>
  <si>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</si>
  <si>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</si>
  <si>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</si>
  <si>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</si>
  <si>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</si>
  <si>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</si>
  <si>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</si>
  <si>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</si>
  <si>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</si>
  <si>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</si>
  <si>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</si>
  <si>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</si>
  <si>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</si>
  <si>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</si>
  <si>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</si>
  <si>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</si>
  <si>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</si>
  <si>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</si>
  <si>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</si>
  <si>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</si>
  <si>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</si>
  <si>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</si>
  <si>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</si>
  <si>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</si>
  <si>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</si>
  <si>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</si>
  <si>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</si>
  <si>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</si>
  <si>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</si>
  <si>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</si>
  <si>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</si>
  <si>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</si>
  <si>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</si>
  <si>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</si>
  <si>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</si>
  <si>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</si>
  <si>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</si>
  <si>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</si>
  <si>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</si>
  <si>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</si>
  <si>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</si>
  <si>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</si>
  <si>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</si>
  <si>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</si>
  <si>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</si>
  <si>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</si>
  <si>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</si>
  <si>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</si>
  <si>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</si>
  <si>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</si>
  <si>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</si>
  <si>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</si>
  <si>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</si>
  <si>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</si>
  <si>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</si>
  <si>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</si>
  <si>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</si>
  <si>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</si>
  <si>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</si>
  <si>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</si>
  <si>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</si>
  <si>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</si>
  <si>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</si>
  <si>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</si>
  <si>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</si>
  <si>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</si>
  <si>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</si>
  <si>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</si>
  <si>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</si>
  <si>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</si>
  <si>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</si>
  <si>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</si>
  <si>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</si>
  <si>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</si>
  <si>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</si>
  <si>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</si>
  <si>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</si>
  <si>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</si>
  <si>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</si>
  <si>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</si>
  <si>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</si>
  <si>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</si>
  <si>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</si>
  <si>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</si>
  <si>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</si>
  <si>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</si>
  <si>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</si>
  <si>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</si>
  <si>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</si>
  <si>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</si>
  <si>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</si>
  <si>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</si>
  <si>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</si>
  <si>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</si>
  <si>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</si>
  <si>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</si>
  <si>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</si>
  <si>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</si>
  <si>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</si>
  <si>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</si>
  <si>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</si>
  <si>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</si>
  <si>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</si>
  <si>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</si>
  <si>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</si>
  <si>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</si>
  <si>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</si>
  <si>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</si>
  <si>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</si>
  <si>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</si>
  <si>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</si>
  <si>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</si>
  <si>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</si>
  <si>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</si>
  <si>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</si>
  <si>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</si>
  <si>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</si>
  <si>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</si>
  <si>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</si>
  <si>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</si>
  <si>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</si>
  <si>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</si>
  <si>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</si>
  <si>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</si>
  <si>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</si>
  <si>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</si>
  <si>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</si>
  <si>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</si>
  <si>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</si>
  <si>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</si>
  <si>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</si>
  <si>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</si>
  <si>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</si>
  <si>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</si>
  <si>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</si>
  <si>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</si>
  <si>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</si>
  <si>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</si>
  <si>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</si>
  <si>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</si>
  <si>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</si>
  <si>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</si>
  <si>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</si>
  <si>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</si>
  <si>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</si>
  <si>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</si>
  <si>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</si>
  <si>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</si>
  <si>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</si>
  <si>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</si>
  <si>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</si>
  <si>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</si>
  <si>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</si>
  <si>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</si>
  <si>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</si>
  <si>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</si>
  <si>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</si>
  <si>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</si>
  <si>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</si>
  <si>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</si>
  <si>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</si>
  <si>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</si>
  <si>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</si>
  <si>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</si>
  <si>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</si>
  <si>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</si>
  <si>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</si>
  <si>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</si>
  <si>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</si>
  <si>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</si>
  <si>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</si>
  <si>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</si>
  <si>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</si>
  <si>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</si>
  <si>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</si>
  <si>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</si>
  <si>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</si>
  <si>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</si>
  <si>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</si>
  <si>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</si>
  <si>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</si>
  <si>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</si>
  <si>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</si>
  <si>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</si>
  <si>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</si>
  <si>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</si>
  <si>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</si>
  <si>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</si>
  <si>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</si>
  <si>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</si>
  <si>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</si>
  <si>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</si>
  <si>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</si>
  <si>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</si>
  <si>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</si>
  <si>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</si>
  <si>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</si>
  <si>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</si>
  <si>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</si>
  <si>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</si>
  <si>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</si>
  <si>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</si>
  <si>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</si>
  <si>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</si>
  <si>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</si>
  <si>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</si>
  <si>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</si>
  <si>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</si>
  <si>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</si>
  <si>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</si>
  <si>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</si>
  <si>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</si>
  <si>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</si>
  <si>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</si>
  <si>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</si>
  <si>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</si>
  <si>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</si>
  <si>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</si>
  <si>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</si>
  <si>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</si>
  <si>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</si>
  <si>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</si>
  <si>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</si>
  <si>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</si>
  <si>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</si>
  <si>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</si>
  <si>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</si>
  <si>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</si>
  <si>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</si>
  <si>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</si>
  <si>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</si>
  <si>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</si>
  <si>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</si>
  <si>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</si>
  <si>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</si>
  <si>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</si>
  <si>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</si>
  <si>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</si>
  <si>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</si>
  <si>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</si>
  <si>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</si>
  <si>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</si>
  <si>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</si>
  <si>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</si>
  <si>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</si>
  <si>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</si>
  <si>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</si>
  <si>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</si>
  <si>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</si>
  <si>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</si>
  <si>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</si>
  <si>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</si>
  <si>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</si>
  <si>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</si>
  <si>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</si>
  <si>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</si>
  <si>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</si>
  <si>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</si>
  <si>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</si>
  <si>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</si>
  <si>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</si>
  <si>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</si>
  <si>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</si>
  <si>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</si>
  <si>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</si>
  <si>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</si>
  <si>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</si>
  <si>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</si>
  <si>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</si>
  <si>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</si>
  <si>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</si>
  <si>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</si>
  <si>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</si>
  <si>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</si>
  <si>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</si>
  <si>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</si>
  <si>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</si>
  <si>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</si>
  <si>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</si>
  <si>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</si>
  <si>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</si>
  <si>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</si>
  <si>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</si>
  <si>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</si>
  <si>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</si>
  <si>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</si>
  <si>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</si>
  <si>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</si>
  <si>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</si>
  <si>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</si>
  <si>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</si>
  <si>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</si>
  <si>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</si>
  <si>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</si>
  <si>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</si>
  <si>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</si>
  <si>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</si>
  <si>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</si>
  <si>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</si>
  <si>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</si>
  <si>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</si>
  <si>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</si>
  <si>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</si>
  <si>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</si>
  <si>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</si>
  <si>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</si>
  <si>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</si>
  <si>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</si>
  <si>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</si>
  <si>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</si>
  <si>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</si>
  <si>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</si>
  <si>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</si>
  <si>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</si>
  <si>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</si>
  <si>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</si>
  <si>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</si>
  <si>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</si>
  <si>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</si>
  <si>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</si>
  <si>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</si>
  <si>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</si>
  <si>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</si>
  <si>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</si>
  <si>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</si>
  <si>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</si>
  <si>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</si>
  <si>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</si>
  <si>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</si>
  <si>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</si>
  <si>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</si>
  <si>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</si>
  <si>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</si>
  <si>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</si>
  <si>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</si>
  <si>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</si>
  <si>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</si>
  <si>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</si>
  <si>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</si>
  <si>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</si>
  <si>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</si>
  <si>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</si>
  <si>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</si>
  <si>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</si>
  <si>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</si>
  <si>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</si>
  <si>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</si>
  <si>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</si>
  <si>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</si>
  <si>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</si>
  <si>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</si>
  <si>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</si>
  <si>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</si>
  <si>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</si>
  <si>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</si>
  <si>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</si>
  <si>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</si>
  <si>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</si>
  <si>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</si>
  <si>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</si>
  <si>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</si>
  <si>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</si>
  <si>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</si>
  <si>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</si>
  <si>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</si>
  <si>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</si>
  <si>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</si>
  <si>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</si>
  <si>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</si>
  <si>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</si>
  <si>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</si>
  <si>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</si>
  <si>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</si>
  <si>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</si>
  <si>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</si>
  <si>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</si>
  <si>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</si>
  <si>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</si>
  <si>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</si>
  <si>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</si>
  <si>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</si>
  <si>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</si>
  <si>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</si>
  <si>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</si>
  <si>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</si>
  <si>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</si>
  <si>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</si>
  <si>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</si>
  <si>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</si>
  <si>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</si>
  <si>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</si>
  <si>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</si>
  <si>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</si>
  <si>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</si>
  <si>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</si>
  <si>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</si>
  <si>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</si>
  <si>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</si>
  <si>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</si>
  <si>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</si>
  <si>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</si>
  <si>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</si>
  <si>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</si>
  <si>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</si>
  <si>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</si>
  <si>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</si>
  <si>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</si>
  <si>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</si>
  <si>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</si>
  <si>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</si>
  <si>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</si>
  <si>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</si>
  <si>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</si>
  <si>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</si>
  <si>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</si>
  <si>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</si>
  <si>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</si>
  <si>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</si>
  <si>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</si>
  <si>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</si>
  <si>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</si>
  <si>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</si>
  <si>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</si>
  <si>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</si>
  <si>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</si>
  <si>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</si>
  <si>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</si>
  <si>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</si>
  <si>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</si>
  <si>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</si>
  <si>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</si>
  <si>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</si>
  <si>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</si>
  <si>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</si>
  <si>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</si>
  <si>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</si>
  <si>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</si>
  <si>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</si>
  <si>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</si>
  <si>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</si>
  <si>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</si>
  <si>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</si>
  <si>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</si>
  <si>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</si>
  <si>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</si>
  <si>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</si>
  <si>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</si>
  <si>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</si>
  <si>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</si>
  <si>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</si>
  <si>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</si>
  <si>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</si>
  <si>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</si>
  <si>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</si>
  <si>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 xml:space="preserve">KAROLIS STIRBYS </t>
  </si>
  <si>
    <t>INGA VAITEKUNIENE</t>
  </si>
  <si>
    <t>DOMANTAS TEVELIS</t>
  </si>
  <si>
    <t>OVIDIJUS SIDEIKIS</t>
  </si>
  <si>
    <t>GINTAUTAS PLATUKIS</t>
  </si>
  <si>
    <t>XAVIER MATEU</t>
  </si>
  <si>
    <t>09:04</t>
  </si>
  <si>
    <t>04:47</t>
  </si>
  <si>
    <t>04.06</t>
  </si>
  <si>
    <t>00:56</t>
  </si>
  <si>
    <t>09:42</t>
  </si>
  <si>
    <t>02:07</t>
  </si>
  <si>
    <t>04:13</t>
  </si>
  <si>
    <t>The scouting for the game has been very good, but please stay alert for all substitutions and IRS.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</si>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</sst>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4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20" fontId="5" fillId="0" borderId="7" xfId="0" applyNumberFormat="1" applyFont="1" applyBorder="1" applyAlignment="1" applyProtection="1">
      <alignment horizontal="center" vertical="center"/>
      <protection locked="0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12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12_112_KLA_VNC_U2025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840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112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46024.75</v>
      </c>
      <c r="C3" s="157"/>
      <c r="D3" s="39">
        <v>651</v>
      </c>
      <c r="E3" s="29"/>
      <c r="F3" s="26">
        <f>SUBTOTAL(3,I17:I106)</f>
        <v>8</v>
      </c>
      <c r="G3" s="27">
        <f>IF(OR(D3="",D3=0),"",F3/D3)</f>
        <v>1.2288786482334869E-2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Neptunas Klaipeda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KLA</v>
      </c>
      <c r="I4" s="5"/>
      <c r="J4" s="119" t="s">
        <v>714</v>
      </c>
      <c r="K4" s="54" t="s">
        <v>743</v>
      </c>
      <c r="L4" s="5"/>
      <c r="M4" s="167" t="s">
        <v>839</v>
      </c>
      <c r="N4" s="168"/>
      <c r="O4" s="2"/>
      <c r="P4" s="2"/>
      <c r="Q4" s="84" t="s">
        <v>175</v>
      </c>
      <c r="R4" s="94">
        <f>(IF(G3="",0,G3))</f>
        <v>1.2288786482334869E-2</v>
      </c>
      <c r="S4" s="61">
        <f>SUM(I13:M13)</f>
        <v>0</v>
      </c>
      <c r="T4" s="78"/>
      <c r="U4" s="61">
        <f>AC18</f>
        <v>1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3</v>
      </c>
      <c r="AC4" s="61">
        <f>AC17</f>
        <v>0</v>
      </c>
      <c r="AD4" s="61">
        <f>AC20</f>
        <v>1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Umana Reyer Venice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VNC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1.228878648233487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15</v>
      </c>
      <c r="AC5" s="70">
        <f t="shared" si="1"/>
        <v>0</v>
      </c>
      <c r="AD5" s="70">
        <f t="shared" si="1"/>
        <v>10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826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827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31.228878648233486</v>
      </c>
      <c r="N7" s="58"/>
      <c r="O7" s="2"/>
      <c r="P7" s="2"/>
      <c r="Q7" s="86">
        <f>SUM(R5,S5,AC16)</f>
        <v>31.228878648233486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828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31.228878648233486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829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830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112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831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1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8</v>
      </c>
      <c r="Z16" s="90" t="s">
        <v>110</v>
      </c>
      <c r="AA16" s="75">
        <f>SUM(AA17:AA24)</f>
        <v>8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30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8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112</v>
      </c>
      <c r="D17" s="32" t="s">
        <v>832</v>
      </c>
      <c r="E17" s="33">
        <v>1</v>
      </c>
      <c r="F17" s="36">
        <v>4</v>
      </c>
      <c r="G17" s="36">
        <v>0</v>
      </c>
      <c r="H17" s="38" t="str">
        <f>IF(I17="","",$I$14)</f>
        <v>SCOUTING</v>
      </c>
      <c r="I17" s="34">
        <v>8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5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112</v>
      </c>
      <c r="D18" s="32" t="s">
        <v>833</v>
      </c>
      <c r="E18" s="33">
        <v>1</v>
      </c>
      <c r="F18" s="36">
        <v>20</v>
      </c>
      <c r="G18" s="36">
        <v>15</v>
      </c>
      <c r="H18" s="38" t="str">
        <f t="shared" ref="H18:H81" si="8">IF(I18="","",$I$14)</f>
        <v>SCOUTING</v>
      </c>
      <c r="I18" s="34">
        <v>71</v>
      </c>
      <c r="J18" s="13" t="s">
        <v>4</v>
      </c>
      <c r="K18" s="13" t="s">
        <v>63</v>
      </c>
      <c r="L18" s="13" t="s">
        <v>6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4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112</v>
      </c>
      <c r="D19" s="32" t="s">
        <v>834</v>
      </c>
      <c r="E19" s="33">
        <v>1</v>
      </c>
      <c r="F19" s="36">
        <v>22</v>
      </c>
      <c r="G19" s="36">
        <v>20</v>
      </c>
      <c r="H19" s="38" t="str">
        <f t="shared" si="8"/>
        <v>SCOUTING</v>
      </c>
      <c r="I19" s="34">
        <v>80</v>
      </c>
      <c r="J19" s="13" t="s">
        <v>4</v>
      </c>
      <c r="K19" s="13" t="s">
        <v>62</v>
      </c>
      <c r="L19" s="13" t="s">
        <v>6</v>
      </c>
      <c r="M19" s="13" t="s">
        <v>22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112</v>
      </c>
      <c r="D20" s="32" t="s">
        <v>835</v>
      </c>
      <c r="E20" s="33">
        <v>1</v>
      </c>
      <c r="F20" s="36">
        <v>30</v>
      </c>
      <c r="G20" s="36">
        <v>29</v>
      </c>
      <c r="H20" s="38" t="str">
        <f t="shared" si="8"/>
        <v>SCOUTING</v>
      </c>
      <c r="I20" s="34">
        <v>120</v>
      </c>
      <c r="J20" s="13" t="s">
        <v>4</v>
      </c>
      <c r="K20" s="13" t="s">
        <v>63</v>
      </c>
      <c r="L20" s="13" t="s">
        <v>7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1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1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112</v>
      </c>
      <c r="D21" s="32" t="s">
        <v>836</v>
      </c>
      <c r="E21" s="33">
        <v>2</v>
      </c>
      <c r="F21" s="36">
        <v>56</v>
      </c>
      <c r="G21" s="36">
        <v>58</v>
      </c>
      <c r="H21" s="38" t="str">
        <f t="shared" si="8"/>
        <v>SCOUTING</v>
      </c>
      <c r="I21" s="34">
        <v>316</v>
      </c>
      <c r="J21" s="13" t="s">
        <v>3</v>
      </c>
      <c r="K21" s="13" t="s">
        <v>63</v>
      </c>
      <c r="L21" s="13" t="s">
        <v>78</v>
      </c>
      <c r="M21" s="13" t="s">
        <v>78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112</v>
      </c>
      <c r="D22" s="32" t="s">
        <v>53</v>
      </c>
      <c r="E22" s="33">
        <v>2</v>
      </c>
      <c r="F22" s="36">
        <v>87</v>
      </c>
      <c r="G22" s="36">
        <v>89</v>
      </c>
      <c r="H22" s="38" t="str">
        <f t="shared" si="8"/>
        <v>SCOUTING</v>
      </c>
      <c r="I22" s="34">
        <v>458</v>
      </c>
      <c r="J22" s="13" t="s">
        <v>3</v>
      </c>
      <c r="K22" s="13" t="s">
        <v>61</v>
      </c>
      <c r="L22" s="13" t="s">
        <v>24</v>
      </c>
      <c r="M22" s="13" t="s">
        <v>24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112</v>
      </c>
      <c r="D23" s="32" t="s">
        <v>837</v>
      </c>
      <c r="E23" s="33">
        <v>3</v>
      </c>
      <c r="F23" s="36">
        <v>80</v>
      </c>
      <c r="G23" s="36">
        <v>81</v>
      </c>
      <c r="H23" s="38" t="str">
        <f t="shared" si="8"/>
        <v>SCOUTING</v>
      </c>
      <c r="I23" s="34">
        <v>427</v>
      </c>
      <c r="J23" s="13" t="s">
        <v>3</v>
      </c>
      <c r="K23" s="13" t="s">
        <v>63</v>
      </c>
      <c r="L23" s="13" t="s">
        <v>78</v>
      </c>
      <c r="M23" s="13" t="s">
        <v>78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112</v>
      </c>
      <c r="D24" s="32" t="s">
        <v>838</v>
      </c>
      <c r="E24" s="33">
        <v>4</v>
      </c>
      <c r="F24" s="36">
        <v>96</v>
      </c>
      <c r="G24" s="36">
        <v>104</v>
      </c>
      <c r="H24" s="38" t="str">
        <f t="shared" si="8"/>
        <v>SCOUTING</v>
      </c>
      <c r="I24" s="213">
        <v>0.17569444444444443</v>
      </c>
      <c r="J24" s="13" t="s">
        <v>3</v>
      </c>
      <c r="K24" s="13" t="s">
        <v>63</v>
      </c>
      <c r="L24" s="13" t="s">
        <v>78</v>
      </c>
      <c r="M24" s="13" t="s">
        <v>78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3</v>
      </c>
      <c r="AD27" s="61">
        <f>P27</f>
        <v>5</v>
      </c>
      <c r="AE27" s="66" t="s">
        <v>24</v>
      </c>
      <c r="AF27" s="65">
        <f t="shared" si="7"/>
        <v>1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3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REPORT_U2025112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"U2025112"</v>
      </c>
      <c r="F3" s="45" t="str">
        <f t="shared" ref="F3:F16" si="0">""""&amp;B3&amp;"""" &amp; " : " &amp;C3&amp;","</f>
        <v>"name" : "U2025112",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"U112"</v>
      </c>
      <c r="F4" s="45" t="str">
        <f t="shared" si="0"/>
        <v>"cod" : "U112",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112</v>
      </c>
      <c r="F6" s="45" t="str">
        <f t="shared" si="0"/>
        <v>"number" : 112,</v>
      </c>
    </row>
    <row r="7" spans="2:6" x14ac:dyDescent="0.25">
      <c r="B7" s="43" t="s">
        <v>116</v>
      </c>
      <c r="C7" s="43" t="str">
        <f ca="1">""""&amp;TEXT('SCOUT &amp; LOGISTICS'!B3,"dd/mm/aaaa")&amp;""""</f>
        <v>"02/01/Friday"</v>
      </c>
      <c r="F7" s="45" t="str">
        <f t="shared" ca="1" si="0"/>
        <v>"date" : "02/01/Friday",</v>
      </c>
    </row>
    <row r="8" spans="2:6" x14ac:dyDescent="0.25">
      <c r="B8" s="43" t="s">
        <v>125</v>
      </c>
      <c r="C8" s="43" t="str">
        <f>""""&amp;'SCOUT &amp; LOGISTICS'!D4 &amp;""""</f>
        <v>"Neptunas Klaipeda"</v>
      </c>
      <c r="F8" s="45" t="str">
        <f t="shared" si="0"/>
        <v>"home_team" : "Neptunas Klaipeda",</v>
      </c>
    </row>
    <row r="9" spans="2:6" x14ac:dyDescent="0.25">
      <c r="B9" s="43" t="s">
        <v>126</v>
      </c>
      <c r="C9" s="43" t="str">
        <f>""""&amp;'SCOUT &amp; LOGISTICS'!D5&amp;""""</f>
        <v>"Umana Reyer Venice"</v>
      </c>
      <c r="F9" s="45" t="str">
        <f t="shared" si="0"/>
        <v>"away_team" : "Umana Reyer Venice",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"KAROLIS STIRBYS "</v>
      </c>
      <c r="F10" s="45" t="str">
        <f t="shared" si="0"/>
        <v>"Data_entry" : "KAROLIS STIRBYS 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"INGA VAITEKUNIENE"</v>
      </c>
      <c r="F11" s="45" t="str">
        <f t="shared" si="0"/>
        <v>"Caller_1" : "INGA VAITEKUNIENE",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"DOMANTAS TEVELIS"</v>
      </c>
      <c r="F12" s="45" t="str">
        <f t="shared" si="0"/>
        <v>"Caller_2" : "DOMANTAS TEVELIS",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"OVIDIJUS SIDEIKIS"</v>
      </c>
      <c r="F13" s="45" t="str">
        <f t="shared" si="0"/>
        <v>"Timerkeeper" : "OVIDIJUS SIDEIKIS",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"GINTAUTAS PLATUKIS"</v>
      </c>
      <c r="F14" s="45" t="str">
        <f t="shared" si="0"/>
        <v>"Shotclock" : "GINTAUTAS PLATUKIS",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651</v>
      </c>
      <c r="F25" s="45" t="str">
        <f t="shared" ref="F25:F48" si="1">""""&amp;C25&amp;"""" &amp; " : " &amp;D25&amp;","</f>
        <v>"total_actions" : 651,</v>
      </c>
    </row>
    <row r="26" spans="2:6" x14ac:dyDescent="0.25">
      <c r="C26" s="43" t="s">
        <v>132</v>
      </c>
      <c r="D26" s="43">
        <f>'SCOUT &amp; LOGISTICS'!F3</f>
        <v>8</v>
      </c>
      <c r="F26" s="45" t="str">
        <f t="shared" si="1"/>
        <v>"total_correcions" : 8,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5</v>
      </c>
      <c r="F28" s="45" t="str">
        <f t="shared" si="1"/>
        <v>"home_team" : 5,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4</v>
      </c>
      <c r="F36" s="45" t="str">
        <f t="shared" si="1"/>
        <v>"boxscore_corrections" : 4,</v>
      </c>
    </row>
    <row r="37" spans="3:6" x14ac:dyDescent="0.25">
      <c r="C37" s="43" t="s">
        <v>140</v>
      </c>
      <c r="D37" s="43">
        <f>'SCOUT &amp; LOGISTICS'!Y16</f>
        <v>8</v>
      </c>
      <c r="F37" s="45" t="str">
        <f t="shared" si="1"/>
        <v>"scoresheet_corrections" : 8,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1</v>
      </c>
      <c r="F44" s="45" t="str">
        <f t="shared" si="1"/>
        <v>"not_happened" : 1,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1</v>
      </c>
      <c r="F49" s="45" t="str">
        <f>""""&amp;C49&amp;"""" &amp; " : " &amp;D49</f>
        <v>"points" : 1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"The scouting for the game has been very good, but please stay alert for all substitutions and IRS."</v>
      </c>
      <c r="F51" s="45" t="str">
        <f>""""&amp;B51&amp;"""" &amp; " : " &amp;C51&amp;","</f>
        <v>"comments" : "The scouting for the game has been very good, but please stay alert for all substitutions and IRS.",</v>
      </c>
    </row>
    <row r="52" spans="2:6" x14ac:dyDescent="0.25">
      <c r="B52" s="43" t="s">
        <v>153</v>
      </c>
      <c r="C52" s="43" t="str">
        <f>TEXT('SCOUT &amp; LOGISTICS'!F1,"0,0")</f>
        <v>12_112_KLA_VNC_U2025</v>
      </c>
      <c r="F52" s="45" t="str">
        <f>""""&amp;B52&amp;"""" &amp; " : " &amp;C52</f>
        <v>"result" : 12_112_KLA_VNC_U2025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U112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02/01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Neptunas Klaipeda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Umana Reyer Venice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 xml:space="preserve">KAROLIS STIRBYS </v>
      </c>
      <c r="C8" s="206"/>
      <c r="D8" s="206"/>
      <c r="E8" s="206"/>
      <c r="F8" s="206"/>
      <c r="G8" s="206" t="str">
        <f>IF('SCOUT &amp; LOGISTICS'!D7="","",'SCOUT &amp; LOGISTICS'!D7)</f>
        <v>INGA VAITEKUNIENE</v>
      </c>
      <c r="H8" s="206"/>
      <c r="I8" s="206"/>
      <c r="J8" s="206"/>
      <c r="K8" s="206"/>
      <c r="L8" s="206" t="str">
        <f>IF('SCOUT &amp; LOGISTICS'!D8="","",'SCOUT &amp; LOGISTICS'!D8)</f>
        <v>DOMANTAS TEVELIS</v>
      </c>
      <c r="M8" s="206"/>
      <c r="N8" s="206"/>
      <c r="O8" s="206"/>
      <c r="P8" s="206"/>
      <c r="Q8" s="206" t="str">
        <f>IF('SCOUT &amp; LOGISTICS'!D9="","",'SCOUT &amp; LOGISTICS'!D9)</f>
        <v>OVIDIJUS SIDEIKIS</v>
      </c>
      <c r="R8" s="206"/>
      <c r="S8" s="206"/>
      <c r="T8" s="206"/>
      <c r="U8" s="206"/>
      <c r="V8" s="206" t="str">
        <f>IF('SCOUT &amp; LOGISTICS'!D10="","",'SCOUT &amp; LOGISTICS'!D10)</f>
        <v>GINTAUTAS PLATUKIS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651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8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1.2288786482334869E-2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5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4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4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3</v>
      </c>
      <c r="W27" s="197"/>
      <c r="X27" s="197"/>
      <c r="Y27" s="197"/>
      <c r="Z27" s="197"/>
      <c r="AA27" s="197">
        <f>'SCOUT &amp; LOGISTICS'!AC17+'SCOUT &amp; LOGISTICS'!AC20</f>
        <v>1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The scouting for the game has been very good, but please stay alert for all substitutions and IRS.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31.228878648233486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8AB9C75-74E3-462C-B713-FB8D016AC3F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2026-01-06T14:45:41Z</cp:lastPrinted>
  <dcterms:created xsi:type="dcterms:W3CDTF">2023-09-19T19:50:35Z</dcterms:created>
  <dcterms:modified xsi:type="dcterms:W3CDTF">2026-01-06T14:45:44Z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