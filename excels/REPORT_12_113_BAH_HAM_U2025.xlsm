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4" documentId="8_{B59A7E9D-F560-4E2D-9BF2-4AD98307453C}" xr6:coauthVersionLast="47" xr6:coauthVersionMax="47" xr10:uidLastSave="{81BA3AFB-6F5B-4CD0-A876-BCEFB72F5D5B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<sst xmlns="http://schemas.openxmlformats.org/spreadsheetml/2006/main" count="3342" uniqueCount="834">
  <si>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</si>
  <si>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</si>
  <si>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</si>
  <si>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</si>
  <si>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</si>
  <si>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</si>
  <si>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</si>
  <si>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</si>
  <si>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</si>
  <si>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</si>
  <si>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</si>
  <si>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</si>
  <si>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</si>
  <si>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</si>
  <si>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</si>
  <si>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</si>
  <si>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</si>
  <si>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</si>
  <si>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</si>
  <si>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</si>
  <si>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</si>
  <si>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</si>
  <si>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</si>
  <si>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</si>
  <si>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</si>
  <si>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</si>
  <si>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</si>
  <si>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</si>
  <si>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</si>
  <si>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</si>
  <si>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</si>
  <si>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</si>
  <si>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</si>
  <si>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</si>
  <si>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</si>
  <si>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</si>
  <si>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</si>
  <si>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</si>
  <si>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</si>
  <si>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</si>
  <si>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</si>
  <si>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</si>
  <si>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</si>
  <si>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</si>
  <si>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</si>
  <si>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</si>
  <si>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</si>
  <si>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</si>
  <si>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</si>
  <si>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</si>
  <si>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</si>
  <si>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</si>
  <si>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</si>
  <si>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</si>
  <si>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</si>
  <si>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</si>
  <si>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</si>
  <si>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</si>
  <si>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</si>
  <si>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</si>
  <si>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</si>
  <si>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</si>
  <si>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</si>
  <si>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</si>
  <si>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</si>
  <si>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</si>
  <si>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</si>
  <si>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</si>
  <si>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</si>
  <si>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</si>
  <si>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</si>
  <si>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</si>
  <si>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</si>
  <si>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</si>
  <si>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</si>
  <si>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</si>
  <si>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</si>
  <si>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</si>
  <si>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</si>
  <si>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</si>
  <si>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</si>
  <si>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</si>
  <si>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</si>
  <si>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</si>
  <si>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</si>
  <si>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</si>
  <si>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</si>
  <si>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</si>
  <si>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</si>
  <si>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</si>
  <si>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</si>
  <si>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</si>
  <si>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</si>
  <si>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</si>
  <si>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</si>
  <si>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</si>
  <si>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</si>
  <si>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</si>
  <si>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</si>
  <si>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</si>
  <si>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</si>
  <si>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</si>
  <si>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</si>
  <si>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</si>
  <si>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</si>
  <si>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</si>
  <si>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</si>
  <si>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</si>
  <si>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</si>
  <si>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</si>
  <si>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</si>
  <si>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</si>
  <si>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</si>
  <si>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</si>
  <si>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</si>
  <si>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</si>
  <si>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</si>
  <si>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</si>
  <si>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</si>
  <si>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</si>
  <si>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</si>
  <si>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</si>
  <si>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</si>
  <si>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</si>
  <si>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</si>
  <si>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</si>
  <si>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</si>
  <si>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</si>
  <si>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</si>
  <si>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</si>
  <si>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</si>
  <si>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</si>
  <si>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</si>
  <si>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</si>
  <si>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</si>
  <si>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</si>
  <si>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</si>
  <si>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</si>
  <si>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</si>
  <si>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</si>
  <si>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</si>
  <si>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</si>
  <si>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</si>
  <si>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</si>
  <si>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</si>
  <si>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</si>
  <si>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</si>
  <si>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</si>
  <si>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</si>
  <si>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</si>
  <si>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</si>
  <si>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</si>
  <si>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</si>
  <si>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</si>
  <si>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</si>
  <si>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</si>
  <si>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</si>
  <si>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</si>
  <si>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</si>
  <si>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</si>
  <si>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</si>
  <si>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</si>
  <si>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</si>
  <si>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</si>
  <si>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</si>
  <si>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</si>
  <si>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</si>
  <si>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</si>
  <si>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</si>
  <si>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</si>
  <si>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</si>
  <si>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</si>
  <si>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</si>
  <si>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</si>
  <si>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</si>
  <si>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</si>
  <si>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</si>
  <si>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</si>
  <si>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</si>
  <si>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</si>
  <si>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</si>
  <si>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</si>
  <si>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</si>
  <si>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</si>
  <si>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</si>
  <si>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</si>
  <si>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</si>
  <si>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</si>
  <si>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</si>
  <si>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</si>
  <si>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</si>
  <si>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</si>
  <si>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</si>
  <si>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</si>
  <si>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</si>
  <si>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</si>
  <si>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</si>
  <si>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</si>
  <si>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</si>
  <si>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</si>
  <si>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</si>
  <si>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</si>
  <si>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</si>
  <si>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</si>
  <si>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</si>
  <si>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</si>
  <si>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</si>
  <si>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</si>
  <si>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</si>
  <si>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</si>
  <si>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</si>
  <si>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</si>
  <si>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</si>
  <si>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</si>
  <si>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</si>
  <si>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</si>
  <si>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</si>
  <si>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</si>
  <si>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</si>
  <si>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</si>
  <si>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</si>
  <si>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</si>
  <si>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</si>
  <si>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</si>
  <si>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</si>
  <si>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</si>
  <si>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</si>
  <si>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</si>
  <si>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</si>
  <si>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</si>
  <si>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</si>
  <si>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</si>
  <si>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</si>
  <si>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</si>
  <si>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</si>
  <si>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</si>
  <si>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</si>
  <si>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</si>
  <si>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</si>
  <si>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</si>
  <si>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</si>
  <si>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</si>
  <si>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</si>
  <si>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</si>
  <si>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</si>
  <si>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</si>
  <si>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</si>
  <si>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</si>
  <si>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</si>
  <si>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</si>
  <si>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</si>
  <si>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</si>
  <si>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</si>
  <si>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</si>
  <si>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</si>
  <si>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</si>
  <si>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</si>
  <si>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</si>
  <si>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</si>
  <si>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</si>
  <si>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</si>
  <si>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</si>
  <si>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</si>
  <si>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</si>
  <si>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</si>
  <si>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</si>
  <si>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</si>
  <si>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</si>
  <si>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</si>
  <si>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</si>
  <si>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</si>
  <si>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</si>
  <si>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</si>
  <si>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</si>
  <si>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</si>
  <si>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</si>
  <si>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</si>
  <si>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</si>
  <si>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</si>
  <si>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</si>
  <si>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</si>
  <si>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</si>
  <si>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</si>
  <si>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</si>
  <si>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</si>
  <si>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</si>
  <si>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</si>
  <si>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</si>
  <si>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</si>
  <si>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</si>
  <si>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</si>
  <si>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</si>
  <si>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</si>
  <si>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</si>
  <si>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</si>
  <si>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</si>
  <si>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</si>
  <si>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</si>
  <si>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</si>
  <si>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</si>
  <si>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</si>
  <si>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</si>
  <si>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</si>
  <si>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</si>
  <si>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</si>
  <si>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</si>
  <si>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</si>
  <si>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</si>
  <si>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</si>
  <si>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</si>
  <si>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</si>
  <si>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</si>
  <si>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</si>
  <si>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</si>
  <si>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</si>
  <si>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</si>
  <si>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</si>
  <si>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</si>
  <si>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</si>
  <si>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</si>
  <si>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</si>
  <si>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</si>
  <si>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</si>
  <si>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</si>
  <si>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</si>
  <si>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</si>
  <si>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</si>
  <si>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</si>
  <si>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</si>
  <si>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</si>
  <si>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</si>
  <si>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</si>
  <si>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</si>
  <si>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</si>
  <si>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</si>
  <si>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</si>
  <si>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</si>
  <si>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</si>
  <si>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</si>
  <si>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</si>
  <si>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</si>
  <si>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</si>
  <si>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</si>
  <si>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</si>
  <si>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</si>
  <si>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</si>
  <si>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</si>
  <si>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</si>
  <si>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</si>
  <si>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</si>
  <si>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</si>
  <si>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</si>
  <si>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</si>
  <si>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</si>
  <si>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</si>
  <si>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</si>
  <si>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</si>
  <si>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</si>
  <si>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</si>
  <si>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</si>
  <si>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</si>
  <si>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</si>
  <si>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</si>
  <si>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</si>
  <si>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</si>
  <si>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</si>
  <si>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</si>
  <si>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</si>
  <si>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</si>
  <si>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</si>
  <si>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</si>
  <si>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</si>
  <si>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</si>
  <si>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</si>
  <si>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</si>
  <si>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</si>
  <si>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</si>
  <si>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</si>
  <si>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</si>
  <si>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</si>
  <si>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</si>
  <si>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</si>
  <si>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</si>
  <si>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</si>
  <si>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</si>
  <si>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</si>
  <si>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</si>
  <si>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</si>
  <si>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</si>
  <si>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</si>
  <si>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</si>
  <si>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</si>
  <si>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</si>
  <si>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</si>
  <si>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</si>
  <si>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</si>
  <si>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</si>
  <si>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</si>
  <si>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</si>
  <si>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</si>
  <si>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</si>
  <si>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</si>
  <si>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</si>
  <si>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</si>
  <si>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</si>
  <si>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</si>
  <si>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</si>
  <si>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</si>
  <si>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</si>
  <si>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</si>
  <si>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</si>
  <si>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</si>
  <si>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</si>
  <si>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</si>
  <si>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</si>
  <si>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</si>
  <si>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</si>
  <si>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</si>
  <si>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</si>
  <si>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</si>
  <si>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</si>
  <si>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</si>
  <si>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</si>
  <si>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</si>
  <si>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</si>
  <si>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</si>
  <si>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</si>
  <si>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</si>
  <si>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</si>
  <si>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</si>
  <si>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</si>
  <si>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</si>
  <si>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</si>
  <si>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</si>
  <si>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</si>
  <si>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</si>
  <si>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</si>
  <si>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</si>
  <si>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</si>
  <si>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</si>
  <si>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</si>
  <si>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</si>
  <si>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</si>
  <si>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</si>
  <si>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</si>
  <si>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</si>
  <si>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</si>
  <si>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</si>
  <si>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</si>
  <si>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</si>
  <si>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</si>
  <si>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</si>
  <si>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</si>
  <si>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</si>
  <si>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</si>
  <si>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</si>
  <si>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</si>
  <si>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</si>
  <si>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</si>
  <si>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</si>
  <si>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</si>
  <si>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</si>
  <si>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</si>
  <si>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</si>
  <si>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</si>
  <si>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</si>
  <si>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</si>
  <si>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</si>
  <si>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</si>
  <si>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</si>
  <si>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</si>
  <si>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</si>
  <si>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</si>
  <si>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</si>
  <si>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</si>
  <si>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</si>
  <si>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</si>
  <si>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</si>
  <si>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</si>
  <si>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</si>
  <si>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</si>
  <si>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</si>
  <si>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</si>
  <si>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</si>
  <si>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</si>
  <si>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</si>
  <si>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</si>
  <si>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</si>
  <si>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</si>
  <si>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</si>
  <si>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</si>
  <si>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</si>
  <si>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</si>
  <si>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</si>
  <si>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</si>
  <si>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</si>
  <si>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</si>
  <si>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</si>
  <si>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</si>
  <si>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</si>
  <si>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</si>
  <si>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</si>
  <si>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</si>
  <si>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</si>
  <si>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</si>
  <si>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</si>
  <si>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</si>
  <si>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</si>
  <si>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</si>
  <si>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</si>
  <si>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</si>
  <si>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</si>
  <si>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</si>
  <si>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</si>
  <si>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</si>
  <si>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</si>
  <si>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</si>
  <si>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</si>
  <si>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</si>
  <si>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</si>
  <si>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</si>
  <si>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</si>
  <si>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</si>
  <si>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</si>
  <si>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</si>
  <si>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</si>
  <si>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</si>
  <si>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</si>
  <si>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</si>
  <si>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</si>
  <si>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</si>
  <si>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</si>
  <si>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</si>
  <si>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</si>
  <si>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</si>
  <si>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</si>
  <si>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</si>
  <si>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</si>
  <si>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</si>
  <si>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</si>
  <si>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</si>
  <si>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</si>
  <si>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</si>
  <si>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</si>
  <si>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</si>
  <si>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</si>
  <si>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</si>
  <si>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</si>
  <si>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</si>
  <si>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</si>
  <si>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</si>
  <si>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</si>
  <si>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</si>
  <si>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</si>
  <si>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</si>
  <si>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</si>
  <si>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</si>
  <si>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</si>
  <si>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</si>
  <si>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</si>
  <si>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</si>
  <si>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</si>
  <si>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</si>
  <si>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</si>
  <si>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</si>
  <si>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</si>
  <si>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</si>
  <si>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</si>
  <si>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</si>
  <si>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</si>
  <si>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</si>
  <si>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</si>
  <si>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</si>
  <si>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</si>
  <si>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</si>
  <si>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</si>
  <si>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</si>
  <si>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</si>
  <si>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</si>
  <si>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</si>
  <si>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</si>
  <si>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</si>
  <si>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</si>
  <si>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</si>
  <si>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</si>
  <si>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</si>
  <si>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</si>
  <si>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</si>
  <si>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</si>
  <si>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</si>
  <si>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</si>
  <si>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</si>
  <si>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</si>
  <si>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</si>
  <si>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</si>
  <si>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</si>
  <si>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</si>
  <si>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</si>
  <si>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</si>
  <si>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</si>
  <si>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</si>
  <si>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</si>
  <si>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</si>
  <si>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</si>
  <si>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</si>
  <si>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</si>
  <si>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</si>
  <si>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</si>
  <si>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</si>
  <si>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</si>
  <si>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</si>
  <si>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</si>
  <si>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</si>
  <si>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</si>
  <si>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</si>
  <si>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</si>
  <si>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</si>
  <si>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</si>
  <si>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</si>
  <si>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</si>
  <si>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</si>
  <si>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</si>
  <si>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</si>
  <si>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</si>
  <si>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</si>
  <si>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</si>
  <si>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</si>
  <si>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</si>
  <si>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</si>
  <si>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</si>
  <si>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</si>
  <si>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</si>
  <si>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</si>
  <si>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</si>
  <si>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</si>
  <si>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</si>
  <si>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</si>
  <si>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</si>
  <si>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</si>
  <si>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</si>
  <si>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</si>
  <si>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</si>
  <si>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</si>
  <si>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</si>
  <si>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</si>
  <si>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</si>
  <si>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</si>
  <si>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</si>
  <si>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</si>
  <si>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</si>
  <si>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</si>
  <si>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</si>
  <si>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</si>
  <si>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</si>
  <si>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</si>
  <si>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</si>
  <si>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</si>
  <si>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</si>
  <si>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</si>
  <si>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</si>
  <si>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</si>
  <si>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</si>
  <si>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</si>
  <si>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</si>
  <si>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</si>
  <si>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</si>
  <si>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</si>
  <si>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</si>
  <si>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</si>
  <si>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</si>
  <si>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</si>
  <si>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</si>
  <si>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</si>
  <si>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</si>
  <si>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</si>
  <si>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</si>
  <si>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</si>
  <si>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</si>
  <si>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</si>
  <si>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</si>
  <si>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</si>
  <si>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</si>
  <si>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</si>
  <si>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</si>
  <si>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</si>
  <si>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</si>
  <si>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</si>
  <si>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</si>
  <si>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</si>
  <si>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</si>
  <si>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</si>
  <si>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</si>
  <si>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</si>
  <si>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</si>
  <si>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</si>
  <si>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</si>
  <si>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</si>
  <si>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</si>
  <si>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</si>
  <si>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</si>
  <si>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</si>
  <si>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</si>
  <si>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</si>
  <si>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</si>
  <si>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</si>
  <si>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</si>
  <si>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</si>
  <si>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</si>
  <si>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</si>
  <si>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</si>
  <si>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</si>
  <si>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</si>
  <si>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</si>
  <si>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</si>
  <si>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</si>
  <si>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</si>
  <si>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</si>
  <si>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</si>
  <si>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</si>
  <si>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</si>
  <si>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</si>
  <si>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</si>
  <si>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</si>
  <si>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</si>
  <si>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</si>
  <si>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</si>
  <si>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</si>
  <si>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</si>
  <si>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</si>
  <si>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</si>
  <si>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</si>
  <si>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</si>
  <si>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</si>
  <si>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</si>
  <si>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</si>
  <si>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</si>
  <si>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</si>
  <si>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</si>
  <si>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</si>
  <si>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</si>
  <si>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</si>
  <si>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</si>
  <si>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</si>
  <si>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</si>
  <si>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</si>
  <si>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</si>
  <si>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</si>
  <si>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</si>
  <si>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</si>
  <si>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</si>
  <si>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</si>
  <si>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</si>
  <si>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</si>
  <si>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</si>
  <si>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</si>
  <si>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</si>
  <si>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</si>
  <si>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</si>
  <si>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</si>
  <si>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</si>
  <si>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</si>
  <si>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</si>
  <si>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</si>
  <si>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</si>
  <si>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</si>
  <si>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</si>
  <si>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</si>
  <si>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</si>
  <si>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</si>
  <si>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</si>
  <si>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</si>
  <si>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</si>
  <si>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</si>
  <si>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</si>
  <si>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</si>
  <si>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</si>
  <si>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</si>
  <si>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</si>
  <si>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</si>
  <si>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</si>
  <si>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</si>
  <si>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</si>
  <si>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</si>
  <si>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</si>
  <si>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</si>
  <si>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</si>
  <si>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</si>
  <si>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</si>
  <si>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</si>
  <si>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</si>
  <si>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</si>
  <si>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</si>
  <si>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</si>
  <si>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</si>
  <si>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</si>
  <si>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</si>
  <si>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</si>
  <si>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</si>
  <si>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</si>
  <si>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</si>
  <si>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</si>
  <si>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</si>
  <si>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</si>
  <si>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</si>
  <si>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</si>
  <si>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</si>
  <si>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</si>
  <si>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</si>
  <si>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</si>
  <si>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</si>
  <si>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</si>
  <si>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</si>
  <si>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</si>
  <si>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</si>
  <si>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</si>
  <si>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</si>
  <si>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</si>
  <si>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</si>
  <si>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</si>
  <si>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</si>
  <si>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</si>
  <si>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</si>
  <si>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</si>
  <si>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</si>
  <si>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</si>
  <si>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</si>
  <si>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</si>
  <si>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</si>
  <si>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AYKUT ALKAN ARK</t>
  </si>
  <si>
    <t>ALPKAN HACIYAKUPOGLU</t>
  </si>
  <si>
    <t>TUGCE KAYA</t>
  </si>
  <si>
    <t>06:44</t>
  </si>
  <si>
    <t>06:42</t>
  </si>
  <si>
    <t>Very good job! Very solid criteria during all the game and very fast corrections. Congratulations! Let's continue in this line!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</si>
</sst>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12_113_BAH_HAM_U2025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46021.791666666664</v>
      </c>
      <c r="C3" s="178"/>
      <c r="D3" s="39">
        <v>567</v>
      </c>
      <c r="E3" s="29"/>
      <c r="F3" s="26">
        <f>SUBTOTAL(3,I17:I106)</f>
        <v>2</v>
      </c>
      <c r="G3" s="27">
        <f>IF(OR(D3="",D3=0),"",F3/D3)</f>
        <v>3.5273368606701938E-3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85" t="s">
        <v>833</v>
      </c>
      <c r="N4" s="186"/>
      <c r="O4" s="2"/>
      <c r="P4" s="2"/>
      <c r="Q4" s="84" t="s">
        <v>175</v>
      </c>
      <c r="R4" s="94">
        <f>(IF(G3="",0,G3))</f>
        <v>3.5273368606701938E-3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Veolia Towers Hamburg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0.35273368606701938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771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1.8527336860670194</v>
      </c>
      <c r="N7" s="58"/>
      <c r="O7" s="2"/>
      <c r="P7" s="2"/>
      <c r="Q7" s="86">
        <f>SUM(R5,S5,AC16)</f>
        <v>1.8527336860670194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1.8527336860670194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113</v>
      </c>
      <c r="D17" s="32" t="s">
        <v>831</v>
      </c>
      <c r="E17" s="33">
        <v>3</v>
      </c>
      <c r="F17" s="36">
        <v>74</v>
      </c>
      <c r="G17" s="36">
        <v>44</v>
      </c>
      <c r="H17" s="38" t="str">
        <f>IF(I17="","",$I$14)</f>
        <v>SCOUTING</v>
      </c>
      <c r="I17" s="34">
        <v>332</v>
      </c>
      <c r="J17" s="13" t="s">
        <v>4</v>
      </c>
      <c r="K17" s="13" t="s">
        <v>63</v>
      </c>
      <c r="L17" s="13" t="s">
        <v>5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113</v>
      </c>
      <c r="D18" s="32" t="s">
        <v>832</v>
      </c>
      <c r="E18" s="33">
        <v>4</v>
      </c>
      <c r="F18" s="36">
        <v>92</v>
      </c>
      <c r="G18" s="36">
        <v>60</v>
      </c>
      <c r="H18" s="38" t="str">
        <f t="shared" ref="H18:H81" si="8">IF(I18="","",$I$14)</f>
        <v>SCOUTING</v>
      </c>
      <c r="I18" s="34">
        <v>479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"U2025113"</v>
      </c>
      <c r="F3" s="45" t="str">
        <f t="shared" ref="F3:F16" si="0">""""&amp;B3&amp;"""" &amp; " : " &amp;C3&amp;","</f>
        <v>"name" : "U2025113",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"U113"</v>
      </c>
      <c r="F4" s="45" t="str">
        <f t="shared" si="0"/>
        <v>"cod" : "U113",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113</v>
      </c>
      <c r="F6" s="45" t="str">
        <f t="shared" si="0"/>
        <v>"number" : 113,</v>
      </c>
    </row>
    <row r="7" spans="2:6" x14ac:dyDescent="0.25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"AYKUT ALKAN ARK"</v>
      </c>
      <c r="F12" s="45" t="str">
        <f t="shared" si="0"/>
        <v>"Caller_2" : "AYKUT ALKAN ARK",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"ALPKAN HACIYAKUPOGLU"</v>
      </c>
      <c r="F13" s="45" t="str">
        <f t="shared" si="0"/>
        <v>"Timerkeeper" : "ALPKAN HACIYAKUPOGLU",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567</v>
      </c>
      <c r="F25" s="45" t="str">
        <f t="shared" ref="F25:F48" si="1">""""&amp;C25&amp;"""" &amp; " : " &amp;D25&amp;","</f>
        <v>"total_actions" : 567,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Very solid criteria during all the game and very fast corrections. Congratulations! Let's continue in this line!"</v>
      </c>
      <c r="F51" s="45" t="str">
        <f>""""&amp;B51&amp;"""" &amp; " : " &amp;C51&amp;","</f>
        <v>"comments" : "Very good job! Very solid criteria during all the game and very fast corrections. Congratulations! Let's continue in this line!",</v>
      </c>
    </row>
    <row r="52" spans="2:6" x14ac:dyDescent="0.25">
      <c r="B52" s="43" t="s">
        <v>153</v>
      </c>
      <c r="C52" s="43" t="str">
        <f>TEXT('SCOUT &amp; LOGISTICS'!F1,"0,0")</f>
        <v>12_113_BAH_HAM_U2025</v>
      </c>
      <c r="F52" s="45" t="str">
        <f>""""&amp;B52&amp;"""" &amp; " : " &amp;C52</f>
        <v>"result" : 12_113_BAH_HAM_U2025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U113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30/12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Veolia Towers Hamburg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AYKUT ALKAN ARK</v>
      </c>
      <c r="M8" s="201"/>
      <c r="N8" s="201"/>
      <c r="O8" s="201"/>
      <c r="P8" s="201"/>
      <c r="Q8" s="201" t="str">
        <f>IF('SCOUT &amp; LOGISTICS'!D9="","",'SCOUT &amp; LOGISTICS'!D9)</f>
        <v>ALPKAN HACIYAKUPOGLU</v>
      </c>
      <c r="R8" s="201"/>
      <c r="S8" s="201"/>
      <c r="T8" s="201"/>
      <c r="U8" s="201"/>
      <c r="V8" s="201" t="str">
        <f>IF('SCOUT &amp; LOGISTICS'!D10="","",'SCOUT &amp; LOGISTICS'!D10)</f>
        <v>TUGCE KAYA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567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3.5273368606701938E-3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Very solid criteria during all the game and very fast corrections. Congratulations! Let's continue in this line!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1.8527336860670194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09ADDCB-43DB-4CBD-AF89-5823A6DF4CB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2025-12-30T18:13:05Z</cp:lastPrinted>
  <dcterms:created xsi:type="dcterms:W3CDTF">2023-09-19T19:50:35Z</dcterms:created>
  <dcterms:modified xsi:type="dcterms:W3CDTF">2025-12-30T18:13:19Z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