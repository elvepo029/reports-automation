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14" documentId="8_{517A559A-C64C-4EC3-9A6C-2C1DF38CD8B3}" xr6:coauthVersionLast="47" xr6:coauthVersionMax="47" xr10:uidLastSave="{E941B501-3DED-4B5A-AA8A-B5FD66682E72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<sst xmlns="http://schemas.openxmlformats.org/spreadsheetml/2006/main" count="3260" uniqueCount="762">
  <si>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</si>
  <si>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</si>
  <si>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</si>
  <si>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</si>
  <si>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</si>
  <si>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</si>
  <si>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</si>
  <si>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</si>
  <si>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</si>
  <si>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</si>
  <si>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</si>
  <si>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</si>
  <si>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</si>
  <si>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</si>
  <si>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</si>
  <si>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</si>
  <si>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</si>
  <si>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</si>
  <si>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</si>
  <si>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</si>
  <si>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</si>
  <si>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</si>
  <si>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</si>
  <si>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</si>
  <si>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</si>
  <si>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</si>
  <si>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</si>
  <si>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</si>
  <si>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</si>
  <si>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</si>
  <si>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</si>
  <si>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</si>
  <si>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</si>
  <si>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</si>
  <si>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</si>
  <si>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</si>
  <si>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</si>
  <si>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</si>
  <si>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</si>
  <si>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</si>
  <si>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</si>
  <si>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</si>
  <si>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</si>
  <si>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</si>
  <si>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</si>
  <si>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</si>
  <si>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</si>
  <si>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</si>
  <si>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</si>
  <si>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</si>
  <si>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</si>
  <si>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</si>
  <si>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</si>
  <si>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</si>
  <si>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</si>
  <si>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</si>
  <si>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</si>
  <si>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</si>
  <si>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</si>
  <si>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</si>
  <si>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</si>
  <si>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</si>
  <si>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</si>
  <si>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</si>
  <si>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</si>
  <si>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</si>
  <si>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</si>
  <si>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</si>
  <si>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</si>
  <si>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</si>
  <si>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</si>
  <si>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</si>
  <si>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</si>
  <si>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</si>
  <si>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</si>
  <si>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</si>
  <si>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</si>
  <si>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</si>
  <si>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</si>
  <si>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</si>
  <si>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</si>
  <si>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</si>
  <si>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</si>
  <si>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</si>
  <si>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</si>
  <si>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</si>
  <si>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</si>
  <si>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</si>
  <si>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</si>
  <si>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</si>
  <si>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</si>
  <si>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</si>
  <si>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</si>
  <si>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</si>
  <si>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</si>
  <si>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</si>
  <si>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</si>
  <si>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</si>
  <si>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</si>
  <si>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</si>
  <si>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</si>
  <si>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</si>
  <si>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</si>
  <si>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</si>
  <si>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</si>
  <si>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</si>
  <si>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</si>
  <si>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</si>
  <si>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</si>
  <si>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</si>
  <si>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</si>
  <si>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</si>
  <si>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</si>
  <si>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</si>
  <si>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</si>
  <si>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</si>
  <si>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</si>
  <si>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</si>
  <si>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</si>
  <si>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</si>
  <si>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</si>
  <si>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</si>
  <si>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</si>
  <si>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</si>
  <si>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</si>
  <si>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</si>
  <si>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</si>
  <si>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</si>
  <si>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</si>
  <si>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</si>
  <si>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</si>
  <si>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</si>
  <si>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</si>
  <si>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</si>
  <si>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</si>
  <si>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</si>
  <si>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</si>
  <si>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</si>
  <si>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</si>
  <si>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</si>
  <si>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</si>
  <si>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</si>
  <si>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</si>
  <si>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</si>
  <si>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</si>
  <si>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</si>
  <si>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</si>
  <si>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</si>
  <si>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</si>
  <si>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</si>
  <si>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</si>
  <si>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</si>
  <si>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</si>
  <si>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</si>
  <si>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</si>
  <si>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</si>
  <si>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</si>
  <si>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</si>
  <si>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</si>
  <si>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</si>
  <si>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</si>
  <si>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</si>
  <si>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</si>
  <si>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</si>
  <si>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</si>
  <si>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</si>
  <si>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</si>
  <si>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</si>
  <si>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</si>
  <si>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</si>
  <si>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</si>
  <si>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</si>
  <si>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</si>
  <si>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</si>
  <si>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</si>
  <si>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</si>
  <si>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</si>
  <si>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</si>
  <si>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</si>
  <si>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</si>
  <si>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</si>
  <si>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</si>
  <si>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</si>
  <si>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</si>
  <si>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</si>
  <si>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</si>
  <si>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</si>
  <si>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</si>
  <si>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</si>
  <si>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</si>
  <si>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</si>
  <si>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</si>
  <si>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</si>
  <si>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</si>
  <si>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</si>
  <si>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</si>
  <si>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</si>
  <si>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</si>
  <si>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</si>
  <si>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</si>
  <si>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</si>
  <si>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</si>
  <si>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</si>
  <si>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</si>
  <si>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</si>
  <si>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</si>
  <si>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</si>
  <si>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</si>
  <si>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</si>
  <si>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</si>
  <si>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</si>
  <si>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</si>
  <si>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</si>
  <si>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</si>
  <si>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</si>
  <si>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</si>
  <si>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</si>
  <si>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</si>
  <si>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</si>
  <si>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</si>
  <si>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</si>
  <si>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</si>
  <si>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</si>
  <si>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</si>
  <si>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</si>
  <si>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</si>
  <si>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</si>
  <si>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</si>
  <si>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</si>
  <si>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</si>
  <si>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</si>
  <si>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</si>
  <si>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</si>
  <si>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</si>
  <si>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</si>
  <si>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</si>
  <si>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</si>
  <si>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</si>
  <si>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</si>
  <si>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</si>
  <si>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</si>
  <si>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</si>
  <si>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</si>
  <si>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</si>
  <si>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</si>
  <si>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</si>
  <si>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</si>
  <si>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</si>
  <si>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</si>
  <si>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</si>
  <si>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</si>
  <si>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</si>
  <si>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</si>
  <si>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</si>
  <si>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</si>
  <si>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</si>
  <si>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</si>
  <si>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</si>
  <si>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</si>
  <si>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</si>
  <si>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</si>
  <si>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</si>
  <si>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</si>
  <si>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</si>
  <si>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</si>
  <si>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</si>
  <si>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</si>
  <si>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</si>
  <si>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</si>
  <si>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</si>
  <si>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</si>
  <si>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</si>
  <si>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</si>
  <si>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</si>
  <si>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</si>
  <si>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</si>
  <si>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</si>
  <si>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</si>
  <si>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</si>
  <si>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</si>
  <si>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</si>
  <si>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</si>
  <si>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</si>
  <si>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</si>
  <si>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</si>
  <si>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</si>
  <si>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</si>
  <si>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</si>
  <si>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</si>
  <si>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</si>
  <si>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</si>
  <si>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</si>
  <si>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</si>
  <si>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</si>
  <si>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</si>
  <si>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</si>
  <si>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</si>
  <si>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</si>
  <si>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</si>
  <si>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</si>
  <si>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</si>
  <si>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</si>
  <si>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</si>
  <si>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</si>
  <si>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</si>
  <si>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</si>
  <si>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</si>
  <si>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</si>
  <si>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</si>
  <si>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</si>
  <si>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</si>
  <si>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</si>
  <si>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</si>
  <si>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</si>
  <si>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</si>
  <si>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</si>
  <si>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</si>
  <si>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</si>
  <si>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</si>
  <si>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</si>
  <si>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</si>
  <si>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</si>
  <si>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</si>
  <si>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</si>
  <si>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</si>
  <si>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</si>
  <si>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</si>
  <si>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</si>
  <si>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</si>
  <si>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</si>
  <si>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</si>
  <si>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</si>
  <si>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</si>
  <si>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</si>
  <si>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</si>
  <si>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</si>
  <si>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</si>
  <si>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</si>
  <si>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</si>
  <si>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</si>
  <si>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</si>
  <si>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</si>
  <si>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</si>
  <si>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</si>
  <si>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</si>
  <si>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</si>
  <si>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</si>
  <si>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</si>
  <si>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</si>
  <si>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</si>
  <si>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</si>
  <si>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</si>
  <si>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</si>
  <si>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</si>
  <si>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</si>
  <si>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</si>
  <si>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</si>
  <si>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</si>
  <si>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</si>
  <si>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</si>
  <si>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</si>
  <si>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</si>
  <si>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</si>
  <si>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</si>
  <si>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</si>
  <si>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</si>
  <si>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</si>
  <si>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</si>
  <si>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</si>
  <si>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</si>
  <si>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</si>
  <si>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</si>
  <si>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</si>
  <si>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</si>
  <si>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</si>
  <si>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</si>
  <si>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</si>
  <si>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</si>
  <si>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</si>
  <si>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</si>
  <si>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</si>
  <si>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</si>
  <si>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</si>
  <si>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</si>
  <si>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</si>
  <si>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</si>
  <si>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</si>
  <si>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</si>
  <si>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</si>
  <si>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</si>
  <si>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</si>
  <si>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</si>
  <si>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</si>
  <si>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</si>
  <si>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</si>
  <si>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</si>
  <si>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</si>
  <si>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</si>
  <si>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</si>
  <si>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</si>
  <si>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</si>
  <si>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</si>
  <si>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</si>
  <si>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</si>
  <si>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</si>
  <si>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</si>
  <si>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</si>
  <si>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</si>
  <si>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</si>
  <si>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</si>
  <si>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</si>
  <si>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</si>
  <si>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</si>
  <si>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</si>
  <si>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</si>
  <si>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</si>
  <si>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</si>
  <si>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</si>
  <si>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</si>
  <si>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</si>
  <si>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</si>
  <si>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</si>
  <si>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</si>
  <si>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</si>
  <si>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</si>
  <si>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</si>
  <si>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</si>
  <si>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</si>
  <si>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</si>
  <si>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</si>
  <si>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</si>
  <si>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</si>
  <si>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</si>
  <si>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</si>
  <si>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</si>
  <si>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</si>
  <si>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</si>
  <si>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</si>
  <si>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</si>
  <si>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</si>
  <si>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</si>
  <si>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</si>
  <si>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</si>
  <si>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</si>
  <si>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</si>
  <si>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</si>
  <si>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</si>
  <si>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</si>
  <si>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</si>
  <si>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</si>
  <si>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</si>
  <si>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</si>
  <si>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</si>
  <si>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</si>
  <si>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</si>
  <si>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</si>
  <si>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</si>
  <si>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</si>
  <si>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</si>
  <si>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</si>
  <si>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</si>
  <si>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</si>
  <si>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</si>
  <si>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</si>
  <si>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</si>
  <si>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</si>
  <si>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</si>
  <si>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</si>
  <si>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</si>
  <si>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</si>
  <si>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</si>
  <si>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</si>
  <si>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</si>
  <si>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</si>
  <si>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</si>
  <si>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</si>
  <si>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</si>
  <si>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</si>
  <si>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</si>
  <si>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</si>
  <si>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</si>
  <si>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</si>
  <si>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</si>
  <si>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</si>
  <si>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</si>
  <si>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</si>
  <si>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</si>
  <si>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</si>
  <si>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</si>
  <si>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</si>
  <si>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</si>
  <si>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</si>
  <si>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</si>
  <si>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</si>
  <si>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</si>
  <si>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</si>
  <si>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</si>
  <si>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</si>
  <si>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</si>
  <si>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</si>
  <si>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</si>
  <si>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</si>
  <si>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</si>
  <si>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</si>
  <si>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</si>
  <si>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</si>
  <si>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</si>
  <si>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</si>
  <si>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</si>
  <si>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</si>
  <si>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</si>
  <si>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</si>
  <si>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</si>
  <si>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</si>
  <si>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</si>
  <si>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</si>
  <si>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</si>
  <si>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</si>
  <si>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</si>
  <si>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</si>
  <si>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</si>
  <si>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</si>
  <si>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</si>
  <si>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</si>
  <si>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</si>
  <si>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</si>
  <si>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</si>
  <si>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</si>
  <si>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</si>
  <si>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</si>
  <si>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</si>
  <si>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</si>
  <si>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</si>
  <si>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</si>
  <si>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</si>
  <si>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</si>
  <si>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</si>
  <si>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</si>
  <si>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</si>
  <si>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</si>
  <si>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</si>
  <si>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</si>
  <si>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</si>
  <si>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</si>
  <si>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</si>
  <si>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</si>
  <si>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</si>
  <si>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</si>
  <si>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</si>
  <si>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</si>
  <si>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</si>
  <si>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</si>
  <si>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</si>
  <si>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</si>
  <si>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</si>
  <si>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</si>
  <si>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</si>
  <si>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</si>
  <si>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</si>
  <si>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</si>
  <si>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</si>
  <si>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</si>
  <si>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</si>
  <si>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</si>
  <si>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</si>
  <si>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</si>
  <si>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</si>
  <si>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</si>
  <si>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</si>
  <si>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</si>
  <si>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</si>
  <si>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</si>
  <si>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</si>
  <si>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</si>
  <si>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</si>
  <si>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</si>
  <si>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</si>
  <si>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</si>
  <si>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</si>
  <si>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</si>
  <si>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</si>
  <si>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</si>
  <si>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</si>
  <si>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</si>
  <si>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</si>
  <si>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</si>
  <si>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</si>
  <si>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</si>
  <si>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</si>
  <si>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</si>
  <si>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</si>
  <si>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</si>
  <si>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</si>
  <si>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</si>
  <si>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</si>
  <si>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</si>
  <si>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</si>
  <si>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</si>
  <si>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</si>
  <si>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</si>
  <si>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</si>
  <si>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</si>
  <si>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</si>
  <si>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</si>
  <si>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</si>
  <si>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</si>
  <si>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</si>
  <si>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</si>
  <si>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</si>
  <si>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</si>
  <si>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</si>
  <si>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</si>
  <si>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</si>
  <si>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</si>
  <si>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</si>
  <si>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</si>
  <si>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</si>
  <si>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</si>
  <si>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</si>
  <si>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</si>
  <si>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</si>
  <si>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</si>
  <si>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</si>
  <si>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</si>
  <si>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</si>
  <si>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</si>
  <si>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</si>
  <si>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</si>
  <si>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</si>
  <si>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</si>
  <si>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</si>
  <si>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</si>
  <si>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</si>
  <si>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</si>
  <si>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</si>
  <si>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</si>
  <si>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</si>
  <si>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</si>
  <si>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</si>
  <si>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</si>
  <si>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</si>
  <si>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</si>
  <si>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</si>
  <si>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</si>
  <si>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</si>
  <si>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</si>
  <si>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</si>
  <si>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</si>
  <si>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</si>
  <si>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</si>
  <si>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</si>
  <si>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</si>
  <si>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</si>
  <si>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</si>
  <si>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</si>
  <si>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</si>
  <si>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</si>
  <si>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</si>
  <si>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</si>
  <si>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</si>
  <si>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</si>
  <si>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</si>
  <si>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</si>
  <si>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</si>
  <si>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</si>
  <si>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</si>
  <si>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</si>
  <si>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</si>
  <si>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</si>
  <si>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</si>
  <si>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</si>
  <si>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</si>
  <si>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</si>
  <si>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</si>
  <si>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</si>
  <si>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</si>
  <si>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</si>
  <si>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</si>
  <si>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</si>
  <si>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</si>
  <si>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</si>
  <si>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</si>
  <si>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</si>
  <si>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</si>
  <si>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</si>
  <si>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</si>
  <si>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</si>
  <si>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</si>
  <si>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</si>
  <si>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</si>
  <si>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</si>
  <si>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</si>
  <si>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</si>
  <si>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</si>
  <si>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</si>
  <si>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</si>
  <si>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</si>
  <si>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</si>
  <si>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</si>
  <si>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</si>
  <si>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</si>
  <si>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</si>
  <si>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</si>
  <si>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</si>
  <si>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</si>
  <si>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</si>
  <si>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</si>
  <si>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</si>
  <si>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</si>
  <si>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</si>
  <si>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</si>
  <si>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</si>
  <si>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</si>
  <si>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</si>
  <si>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</si>
  <si>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</si>
  <si>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</si>
  <si>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</si>
  <si>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</si>
  <si>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</si>
  <si>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</si>
  <si>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</si>
  <si>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</si>
  <si>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</si>
  <si>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</si>
  <si>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</si>
  <si>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</si>
  <si>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</si>
  <si>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</si>
  <si>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</si>
  <si>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</si>
  <si>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</si>
  <si>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</si>
  <si>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</si>
  <si>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</si>
  <si>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</si>
  <si>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</si>
  <si>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</si>
  <si>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</si>
  <si>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</si>
  <si>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</si>
  <si>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</si>
  <si>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</si>
  <si>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</si>
  <si>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</si>
  <si>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</si>
  <si>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</si>
  <si>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</si>
  <si>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Very good job!</t>
  </si>
  <si>
    <t>E</t>
  </si>
  <si>
    <t>HECTOR GUILLEN</t>
  </si>
  <si>
    <t>SAMUELLE CATALLO</t>
  </si>
  <si>
    <t>PAOLO NORBERTO ZANDALINI</t>
  </si>
  <si>
    <t>RENATO BOCCOTTI</t>
  </si>
  <si>
    <t>THEA MORELLO</t>
  </si>
  <si>
    <t>SIMONE VLACHOS</t>
  </si>
  <si>
    <t>ENRICO ROSTI</t>
  </si>
  <si>
    <t>C:\Users\hector.guillen\EUROLEAGUE\EB STATS - Documents\General\SEASON 2025-26\Reports\Euroleague</t>
  </si>
  <si>
    <t>C:\Users\hector.guillen\EUROLEAGUE\EB STATS - Documents\General\SEASON 2025-26\Reports\Euroleague\PDF</t>
  </si>
  <si>
    <t>9:38</t>
  </si>
  <si>
    <t>7:09</t>
  </si>
  <si>
    <t>3:16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</si>
</sst>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12_113_MIL_HTA_E2025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113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45981.854166666664</v>
      </c>
      <c r="C3" s="157"/>
      <c r="D3" s="39">
        <v>551</v>
      </c>
      <c r="E3" s="29"/>
      <c r="F3" s="26">
        <f>SUBTOTAL(3,I17:I106)</f>
        <v>3</v>
      </c>
      <c r="G3" s="27">
        <f>IF(OR(D3="",D3=0),"",F3/D3)</f>
        <v>5.4446460980036296E-3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742</v>
      </c>
      <c r="L4" s="5"/>
      <c r="M4" s="167" t="s">
        <v>748</v>
      </c>
      <c r="N4" s="168"/>
      <c r="O4" s="2"/>
      <c r="P4" s="2"/>
      <c r="Q4" s="84" t="s">
        <v>175</v>
      </c>
      <c r="R4" s="94">
        <f>(IF(G3="",0,G3))</f>
        <v>5.4446460980036296E-3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1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0.54446460980036293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1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2.5444646098003627</v>
      </c>
      <c r="N7" s="58"/>
      <c r="O7" s="2"/>
      <c r="P7" s="2"/>
      <c r="Q7" s="86">
        <f>SUM(R5,S5,AC16)</f>
        <v>2.5444646098003627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2.5444646098003627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113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113</v>
      </c>
      <c r="D17" s="32" t="s">
        <v>759</v>
      </c>
      <c r="E17" s="33">
        <v>2</v>
      </c>
      <c r="F17" s="36">
        <v>25</v>
      </c>
      <c r="G17" s="36">
        <v>25</v>
      </c>
      <c r="H17" s="38" t="str">
        <f>IF(I17="","",$I$14)</f>
        <v>SCOUTING</v>
      </c>
      <c r="I17" s="34">
        <v>140</v>
      </c>
      <c r="J17" s="13" t="s">
        <v>4</v>
      </c>
      <c r="K17" s="13" t="s">
        <v>62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113</v>
      </c>
      <c r="D18" s="32" t="s">
        <v>760</v>
      </c>
      <c r="E18" s="33">
        <v>2</v>
      </c>
      <c r="F18" s="36">
        <v>30</v>
      </c>
      <c r="G18" s="36">
        <v>31</v>
      </c>
      <c r="H18" s="38" t="str">
        <f t="shared" ref="H18:H81" si="8">IF(I18="","",$I$14)</f>
        <v>SCOUTING</v>
      </c>
      <c r="I18" s="34">
        <v>169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113</v>
      </c>
      <c r="D19" s="32" t="s">
        <v>761</v>
      </c>
      <c r="E19" s="33">
        <v>2</v>
      </c>
      <c r="F19" s="36">
        <v>52</v>
      </c>
      <c r="G19" s="36">
        <v>69</v>
      </c>
      <c r="H19" s="38" t="str">
        <f t="shared" si="8"/>
        <v>SCOUTING</v>
      </c>
      <c r="I19" s="34">
        <v>353</v>
      </c>
      <c r="J19" s="13" t="s">
        <v>4</v>
      </c>
      <c r="K19" s="13" t="s">
        <v>63</v>
      </c>
      <c r="L19" s="13" t="s">
        <v>47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REPORT_E2025113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"E2025113"</v>
      </c>
      <c r="F3" s="45" t="str">
        <f t="shared" ref="F3:F16" si="0">""""&amp;B3&amp;"""" &amp; " : " &amp;C3&amp;","</f>
        <v>"name" : "E2025113",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"E113"</v>
      </c>
      <c r="F4" s="45" t="str">
        <f t="shared" si="0"/>
        <v>"cod" : "E113",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113</v>
      </c>
      <c r="F6" s="45" t="str">
        <f t="shared" si="0"/>
        <v>"number" : 113,</v>
      </c>
    </row>
    <row r="7" spans="2:6" x14ac:dyDescent="0.25">
      <c r="B7" s="43" t="s">
        <v>116</v>
      </c>
      <c r="C7" s="43" t="str">
        <f ca="1">""""&amp;TEXT('SCOUT &amp; LOGISTICS'!B3,"dd/mm/aaaa")&amp;""""</f>
        <v>"20/11/Thursday"</v>
      </c>
      <c r="F7" s="45" t="str">
        <f t="shared" ca="1" si="0"/>
        <v>"date" : "20/11/Thursday",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"SAMUELLE CATALLO"</v>
      </c>
      <c r="F10" s="45" t="str">
        <f t="shared" si="0"/>
        <v>"Data_entry" : "SAMUELLE CATALLO",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"PAOLO NORBERTO ZANDALINI"</v>
      </c>
      <c r="F11" s="45" t="str">
        <f t="shared" si="0"/>
        <v>"Caller_1" : "PAOLO NORBERTO ZANDALINI",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"RENATO BOCCOTTI"</v>
      </c>
      <c r="F12" s="45" t="str">
        <f t="shared" si="0"/>
        <v>"Caller_2" : "RENATO BOCCOTTI",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"THEA MORELLO"</v>
      </c>
      <c r="F13" s="45" t="str">
        <f t="shared" si="0"/>
        <v>"Timerkeeper" : "THEA MORELLO",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"SIMONE VLACHOS"</v>
      </c>
      <c r="F14" s="45" t="str">
        <f t="shared" si="0"/>
        <v>"Shotclock" : "SIMONE VLACHOS",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"ENRICO ROSTI"</v>
      </c>
      <c r="F15" s="45" t="str">
        <f t="shared" si="0"/>
        <v>"IRS" : "ENRICO ROSTI",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551</v>
      </c>
      <c r="F25" s="45" t="str">
        <f t="shared" ref="F25:F48" si="1">""""&amp;C25&amp;"""" &amp; " : " &amp;D25&amp;","</f>
        <v>"total_actions" : 551,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12_113_MIL_HTA_E2025</v>
      </c>
      <c r="F52" s="45" t="str">
        <f>""""&amp;B52&amp;"""" &amp; " : " &amp;C52</f>
        <v>"result" : 12_113_MIL_HTA_E2025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E113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20/11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SAMUELLE CATALLO</v>
      </c>
      <c r="C8" s="206"/>
      <c r="D8" s="206"/>
      <c r="E8" s="206"/>
      <c r="F8" s="206"/>
      <c r="G8" s="206" t="str">
        <f>IF('SCOUT &amp; LOGISTICS'!D7="","",'SCOUT &amp; LOGISTICS'!D7)</f>
        <v>PAOLO NORBERTO ZANDALINI</v>
      </c>
      <c r="H8" s="206"/>
      <c r="I8" s="206"/>
      <c r="J8" s="206"/>
      <c r="K8" s="206"/>
      <c r="L8" s="206" t="str">
        <f>IF('SCOUT &amp; LOGISTICS'!D8="","",'SCOUT &amp; LOGISTICS'!D8)</f>
        <v>RENATO BOCCOTTI</v>
      </c>
      <c r="M8" s="206"/>
      <c r="N8" s="206"/>
      <c r="O8" s="206"/>
      <c r="P8" s="206"/>
      <c r="Q8" s="206" t="str">
        <f>IF('SCOUT &amp; LOGISTICS'!D9="","",'SCOUT &amp; LOGISTICS'!D9)</f>
        <v>THEA MORELLO</v>
      </c>
      <c r="R8" s="206"/>
      <c r="S8" s="206"/>
      <c r="T8" s="206"/>
      <c r="U8" s="206"/>
      <c r="V8" s="206" t="str">
        <f>IF('SCOUT &amp; LOGISTICS'!D10="","",'SCOUT &amp; LOGISTICS'!D10)</f>
        <v>SIMONE VLACHOS</v>
      </c>
      <c r="W8" s="206"/>
      <c r="X8" s="206"/>
      <c r="Y8" s="206"/>
      <c r="Z8" s="206"/>
      <c r="AA8" s="206" t="str">
        <f>IF('SCOUT &amp; LOGISTICS'!D11="","",'SCOUT &amp; LOGISTICS'!D11)</f>
        <v>ENRICO ROSTI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5.4446460980036296E-3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2.5444646098003627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735533-5D70-4238-9B15-569E6D3774E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2025-11-20T21:36:15Z</cp:lastPrinted>
  <dcterms:created xsi:type="dcterms:W3CDTF">2023-09-19T19:50:35Z</dcterms:created>
  <dcterms:modified xsi:type="dcterms:W3CDTF">2025-11-20T21:36:19Z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