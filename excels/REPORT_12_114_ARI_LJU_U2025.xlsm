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52" documentId="8_{B62FA74C-F62E-4890-A870-B50B4D5B6FFF}" xr6:coauthVersionLast="47" xr6:coauthVersionMax="47" xr10:uidLastSave="{096BE520-70D0-4CA8-8F78-BA20ECA482AC}"/>
  <bookViews>
    <workbookView xWindow="75" yWindow="-16185" windowWidth="28770" windowHeight="1545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<sst xmlns="http://schemas.openxmlformats.org/spreadsheetml/2006/main" count="3347" uniqueCount="836">
  <si>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</si>
  <si>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</si>
  <si>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</si>
  <si>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</si>
  <si>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</si>
  <si>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</si>
  <si>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</si>
  <si>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</si>
  <si>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</si>
  <si>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</si>
  <si>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</si>
  <si>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</si>
  <si>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</si>
  <si>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</si>
  <si>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</si>
  <si>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</si>
  <si>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</si>
  <si>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</si>
  <si>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</si>
  <si>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</si>
  <si>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</si>
  <si>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</si>
  <si>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</si>
  <si>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</si>
  <si>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</si>
  <si>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</si>
  <si>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</si>
  <si>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</si>
  <si>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</si>
  <si>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</si>
  <si>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</si>
  <si>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</si>
  <si>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</si>
  <si>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</si>
  <si>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</si>
  <si>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</si>
  <si>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</si>
  <si>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</si>
  <si>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</si>
  <si>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</si>
  <si>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</si>
  <si>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</si>
  <si>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</si>
  <si>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</si>
  <si>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</si>
  <si>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</si>
  <si>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</si>
  <si>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</si>
  <si>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</si>
  <si>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</si>
  <si>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</si>
  <si>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</si>
  <si>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</si>
  <si>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</si>
  <si>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</si>
  <si>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</si>
  <si>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</si>
  <si>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</si>
  <si>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</si>
  <si>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</si>
  <si>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</si>
  <si>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</si>
  <si>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</si>
  <si>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</si>
  <si>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</si>
  <si>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</si>
  <si>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</si>
  <si>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</si>
  <si>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</si>
  <si>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</si>
  <si>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</si>
  <si>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</si>
  <si>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</si>
  <si>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</si>
  <si>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</si>
  <si>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</si>
  <si>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</si>
  <si>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</si>
  <si>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</si>
  <si>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</si>
  <si>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</si>
  <si>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</si>
  <si>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</si>
  <si>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</si>
  <si>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</si>
  <si>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</si>
  <si>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</si>
  <si>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</si>
  <si>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</si>
  <si>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</si>
  <si>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</si>
  <si>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</si>
  <si>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</si>
  <si>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</si>
  <si>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</si>
  <si>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</si>
  <si>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</si>
  <si>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</si>
  <si>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</si>
  <si>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</si>
  <si>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</si>
  <si>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</si>
  <si>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</si>
  <si>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</si>
  <si>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</si>
  <si>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</si>
  <si>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</si>
  <si>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</si>
  <si>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</si>
  <si>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</si>
  <si>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</si>
  <si>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</si>
  <si>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</si>
  <si>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</si>
  <si>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</si>
  <si>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</si>
  <si>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</si>
  <si>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</si>
  <si>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</si>
  <si>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</si>
  <si>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</si>
  <si>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</si>
  <si>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</si>
  <si>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</si>
  <si>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</si>
  <si>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</si>
  <si>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</si>
  <si>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</si>
  <si>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</si>
  <si>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</si>
  <si>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</si>
  <si>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</si>
  <si>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</si>
  <si>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</si>
  <si>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</si>
  <si>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</si>
  <si>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</si>
  <si>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</si>
  <si>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</si>
  <si>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</si>
  <si>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</si>
  <si>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</si>
  <si>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</si>
  <si>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</si>
  <si>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</si>
  <si>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</si>
  <si>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</si>
  <si>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</si>
  <si>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</si>
  <si>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</si>
  <si>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</si>
  <si>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</si>
  <si>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</si>
  <si>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</si>
  <si>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</si>
  <si>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</si>
  <si>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</si>
  <si>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</si>
  <si>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</si>
  <si>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</si>
  <si>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</si>
  <si>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</si>
  <si>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</si>
  <si>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</si>
  <si>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</si>
  <si>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</si>
  <si>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</si>
  <si>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</si>
  <si>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</si>
  <si>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</si>
  <si>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</si>
  <si>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</si>
  <si>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</si>
  <si>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</si>
  <si>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</si>
  <si>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</si>
  <si>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</si>
  <si>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</si>
  <si>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</si>
  <si>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</si>
  <si>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</si>
  <si>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</si>
  <si>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</si>
  <si>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</si>
  <si>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</si>
  <si>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</si>
  <si>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</si>
  <si>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</si>
  <si>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</si>
  <si>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</si>
  <si>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</si>
  <si>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</si>
  <si>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</si>
  <si>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</si>
  <si>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</si>
  <si>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</si>
  <si>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</si>
  <si>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</si>
  <si>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</si>
  <si>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</si>
  <si>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</si>
  <si>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</si>
  <si>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</si>
  <si>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</si>
  <si>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</si>
  <si>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</si>
  <si>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</si>
  <si>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</si>
  <si>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</si>
  <si>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</si>
  <si>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</si>
  <si>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</si>
  <si>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</si>
  <si>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</si>
  <si>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</si>
  <si>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</si>
  <si>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</si>
  <si>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</si>
  <si>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</si>
  <si>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</si>
  <si>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</si>
  <si>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</si>
  <si>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</si>
  <si>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</si>
  <si>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</si>
  <si>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</si>
  <si>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</si>
  <si>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</si>
  <si>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</si>
  <si>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</si>
  <si>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</si>
  <si>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</si>
  <si>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</si>
  <si>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</si>
  <si>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</si>
  <si>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</si>
  <si>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</si>
  <si>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</si>
  <si>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</si>
  <si>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</si>
  <si>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</si>
  <si>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</si>
  <si>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</si>
  <si>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</si>
  <si>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</si>
  <si>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</si>
  <si>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</si>
  <si>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</si>
  <si>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</si>
  <si>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</si>
  <si>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</si>
  <si>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</si>
  <si>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</si>
  <si>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</si>
  <si>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</si>
  <si>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</si>
  <si>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</si>
  <si>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</si>
  <si>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</si>
  <si>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</si>
  <si>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</si>
  <si>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</si>
  <si>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</si>
  <si>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</si>
  <si>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</si>
  <si>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</si>
  <si>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</si>
  <si>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</si>
  <si>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</si>
  <si>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</si>
  <si>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</si>
  <si>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</si>
  <si>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</si>
  <si>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</si>
  <si>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</si>
  <si>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</si>
  <si>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</si>
  <si>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</si>
  <si>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</si>
  <si>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</si>
  <si>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</si>
  <si>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</si>
  <si>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</si>
  <si>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</si>
  <si>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</si>
  <si>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</si>
  <si>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</si>
  <si>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</si>
  <si>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</si>
  <si>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</si>
  <si>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</si>
  <si>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</si>
  <si>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</si>
  <si>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</si>
  <si>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</si>
  <si>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</si>
  <si>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</si>
  <si>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</si>
  <si>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</si>
  <si>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</si>
  <si>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</si>
  <si>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</si>
  <si>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</si>
  <si>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</si>
  <si>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</si>
  <si>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</si>
  <si>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</si>
  <si>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</si>
  <si>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</si>
  <si>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</si>
  <si>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</si>
  <si>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</si>
  <si>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</si>
  <si>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</si>
  <si>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</si>
  <si>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</si>
  <si>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</si>
  <si>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</si>
  <si>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</si>
  <si>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</si>
  <si>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</si>
  <si>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</si>
  <si>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</si>
  <si>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</si>
  <si>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</si>
  <si>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</si>
  <si>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</si>
  <si>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</si>
  <si>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</si>
  <si>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</si>
  <si>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</si>
  <si>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</si>
  <si>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</si>
  <si>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</si>
  <si>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</si>
  <si>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</si>
  <si>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</si>
  <si>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</si>
  <si>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</si>
  <si>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</si>
  <si>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</si>
  <si>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</si>
  <si>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</si>
  <si>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</si>
  <si>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</si>
  <si>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</si>
  <si>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</si>
  <si>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</si>
  <si>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</si>
  <si>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</si>
  <si>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</si>
  <si>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</si>
  <si>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</si>
  <si>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</si>
  <si>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</si>
  <si>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</si>
  <si>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</si>
  <si>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</si>
  <si>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</si>
  <si>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</si>
  <si>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</si>
  <si>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</si>
  <si>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</si>
  <si>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</si>
  <si>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</si>
  <si>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</si>
  <si>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</si>
  <si>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</si>
  <si>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</si>
  <si>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</si>
  <si>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</si>
  <si>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</si>
  <si>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</si>
  <si>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</si>
  <si>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</si>
  <si>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</si>
  <si>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</si>
  <si>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</si>
  <si>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</si>
  <si>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</si>
  <si>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</si>
  <si>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</si>
  <si>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</si>
  <si>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</si>
  <si>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</si>
  <si>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</si>
  <si>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</si>
  <si>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</si>
  <si>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</si>
  <si>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</si>
  <si>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</si>
  <si>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</si>
  <si>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</si>
  <si>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</si>
  <si>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</si>
  <si>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</si>
  <si>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</si>
  <si>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</si>
  <si>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</si>
  <si>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</si>
  <si>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</si>
  <si>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</si>
  <si>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</si>
  <si>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</si>
  <si>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</si>
  <si>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</si>
  <si>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</si>
  <si>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</si>
  <si>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</si>
  <si>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</si>
  <si>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</si>
  <si>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</si>
  <si>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</si>
  <si>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</si>
  <si>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</si>
  <si>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</si>
  <si>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</si>
  <si>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</si>
  <si>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</si>
  <si>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</si>
  <si>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</si>
  <si>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</si>
  <si>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</si>
  <si>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</si>
  <si>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</si>
  <si>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</si>
  <si>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</si>
  <si>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</si>
  <si>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</si>
  <si>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</si>
  <si>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</si>
  <si>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</si>
  <si>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</si>
  <si>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</si>
  <si>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</si>
  <si>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</si>
  <si>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</si>
  <si>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</si>
  <si>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</si>
  <si>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</si>
  <si>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</si>
  <si>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</si>
  <si>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</si>
  <si>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</si>
  <si>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</si>
  <si>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</si>
  <si>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</si>
  <si>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</si>
  <si>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</si>
  <si>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</si>
  <si>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</si>
  <si>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</si>
  <si>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</si>
  <si>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</si>
  <si>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</si>
  <si>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</si>
  <si>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</si>
  <si>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</si>
  <si>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</si>
  <si>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</si>
  <si>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</si>
  <si>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</si>
  <si>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</si>
  <si>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</si>
  <si>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</si>
  <si>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</si>
  <si>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</si>
  <si>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</si>
  <si>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</si>
  <si>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</si>
  <si>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</si>
  <si>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</si>
  <si>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</si>
  <si>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</si>
  <si>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</si>
  <si>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</si>
  <si>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</si>
  <si>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</si>
  <si>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</si>
  <si>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</si>
  <si>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</si>
  <si>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</si>
  <si>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</si>
  <si>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</si>
  <si>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</si>
  <si>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</si>
  <si>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</si>
  <si>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</si>
  <si>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</si>
  <si>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</si>
  <si>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</si>
  <si>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</si>
  <si>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</si>
  <si>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</si>
  <si>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</si>
  <si>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</si>
  <si>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</si>
  <si>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</si>
  <si>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</si>
  <si>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</si>
  <si>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</si>
  <si>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</si>
  <si>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</si>
  <si>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</si>
  <si>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</si>
  <si>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</si>
  <si>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</si>
  <si>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</si>
  <si>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</si>
  <si>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</si>
  <si>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</si>
  <si>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</si>
  <si>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</si>
  <si>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</si>
  <si>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</si>
  <si>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</si>
  <si>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</si>
  <si>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</si>
  <si>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</si>
  <si>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</si>
  <si>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</si>
  <si>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</si>
  <si>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</si>
  <si>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</si>
  <si>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</si>
  <si>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</si>
  <si>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</si>
  <si>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</si>
  <si>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</si>
  <si>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</si>
  <si>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</si>
  <si>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</si>
  <si>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</si>
  <si>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</si>
  <si>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</si>
  <si>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</si>
  <si>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</si>
  <si>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</si>
  <si>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</si>
  <si>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</si>
  <si>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</si>
  <si>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</si>
  <si>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</si>
  <si>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</si>
  <si>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</si>
  <si>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</si>
  <si>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</si>
  <si>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</si>
  <si>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</si>
  <si>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</si>
  <si>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</si>
  <si>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</si>
  <si>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</si>
  <si>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</si>
  <si>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</si>
  <si>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</si>
  <si>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</si>
  <si>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</si>
  <si>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</si>
  <si>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</si>
  <si>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</si>
  <si>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</si>
  <si>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</si>
  <si>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</si>
  <si>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</si>
  <si>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</si>
  <si>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</si>
  <si>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</si>
  <si>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</si>
  <si>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</si>
  <si>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</si>
  <si>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</si>
  <si>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</si>
  <si>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</si>
  <si>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</si>
  <si>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</si>
  <si>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</si>
  <si>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</si>
  <si>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</si>
  <si>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</si>
  <si>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</si>
  <si>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</si>
  <si>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</si>
  <si>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</si>
  <si>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</si>
  <si>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</si>
  <si>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</si>
  <si>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</si>
  <si>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</si>
  <si>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</si>
  <si>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</si>
  <si>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</si>
  <si>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</si>
  <si>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</si>
  <si>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</si>
  <si>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</si>
  <si>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</si>
  <si>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</si>
  <si>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</si>
  <si>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</si>
  <si>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</si>
  <si>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</si>
  <si>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</si>
  <si>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</si>
  <si>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</si>
  <si>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</si>
  <si>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</si>
  <si>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</si>
  <si>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</si>
  <si>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</si>
  <si>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</si>
  <si>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</si>
  <si>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</si>
  <si>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</si>
  <si>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</si>
  <si>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</si>
  <si>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</si>
  <si>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</si>
  <si>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</si>
  <si>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</si>
  <si>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</si>
  <si>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</si>
  <si>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</si>
  <si>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</si>
  <si>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</si>
  <si>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</si>
  <si>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</si>
  <si>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</si>
  <si>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</si>
  <si>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</si>
  <si>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</si>
  <si>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</si>
  <si>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</si>
  <si>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</si>
  <si>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</si>
  <si>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</si>
  <si>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</si>
  <si>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</si>
  <si>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</si>
  <si>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</si>
  <si>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</si>
  <si>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</si>
  <si>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</si>
  <si>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</si>
  <si>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</si>
  <si>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</si>
  <si>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</si>
  <si>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</si>
  <si>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</si>
  <si>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</si>
  <si>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</si>
  <si>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</si>
  <si>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</si>
  <si>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</si>
  <si>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</si>
  <si>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</si>
  <si>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</si>
  <si>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</si>
  <si>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</si>
  <si>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</si>
  <si>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</si>
  <si>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</si>
  <si>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</si>
  <si>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</si>
  <si>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</si>
  <si>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</si>
  <si>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</si>
  <si>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</si>
  <si>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</si>
  <si>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</si>
  <si>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</si>
  <si>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</si>
  <si>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</si>
  <si>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</si>
  <si>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</si>
  <si>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</si>
  <si>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</si>
  <si>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</si>
  <si>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</si>
  <si>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</si>
  <si>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</si>
  <si>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</si>
  <si>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</si>
  <si>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</si>
  <si>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</si>
  <si>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</si>
  <si>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</si>
  <si>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</si>
  <si>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</si>
  <si>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</si>
  <si>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</si>
  <si>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</si>
  <si>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</si>
  <si>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</si>
  <si>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</si>
  <si>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</si>
  <si>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</si>
  <si>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</si>
  <si>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</si>
  <si>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</si>
  <si>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</si>
  <si>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</si>
  <si>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</si>
  <si>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</si>
  <si>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</si>
  <si>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</si>
  <si>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</si>
  <si>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</si>
  <si>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</si>
  <si>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</si>
  <si>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</si>
  <si>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</si>
  <si>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</si>
  <si>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</si>
  <si>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</si>
  <si>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</si>
  <si>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</si>
  <si>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</si>
  <si>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</si>
  <si>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</si>
  <si>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</si>
  <si>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</si>
  <si>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</si>
  <si>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</si>
  <si>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</si>
  <si>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</si>
  <si>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</si>
  <si>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</si>
  <si>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</si>
  <si>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</si>
  <si>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</si>
  <si>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</si>
  <si>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</si>
  <si>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</si>
  <si>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</si>
  <si>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</si>
  <si>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</si>
  <si>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</si>
  <si>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</si>
  <si>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</si>
  <si>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</si>
  <si>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</si>
  <si>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</si>
  <si>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</si>
  <si>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</si>
  <si>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</si>
  <si>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</si>
  <si>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</si>
  <si>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</si>
  <si>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</si>
  <si>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</si>
  <si>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</si>
  <si>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</si>
  <si>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</si>
  <si>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</si>
  <si>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</si>
  <si>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</si>
  <si>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</si>
  <si>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</si>
  <si>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</si>
  <si>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</si>
  <si>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</si>
  <si>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</si>
  <si>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</si>
  <si>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</si>
  <si>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</si>
  <si>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</si>
  <si>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</si>
  <si>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</si>
  <si>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</si>
  <si>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</si>
  <si>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</si>
  <si>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</si>
  <si>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</si>
  <si>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</si>
  <si>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</si>
  <si>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</si>
  <si>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</si>
  <si>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</si>
  <si>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</si>
  <si>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</si>
  <si>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</si>
  <si>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</si>
  <si>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</si>
  <si>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</si>
  <si>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</si>
  <si>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</si>
  <si>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</si>
  <si>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</si>
  <si>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</si>
  <si>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</si>
  <si>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</si>
  <si>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</si>
  <si>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</si>
  <si>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</si>
  <si>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</si>
  <si>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</si>
  <si>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</si>
  <si>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</si>
  <si>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</si>
  <si>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</si>
  <si>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</si>
  <si>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</si>
  <si>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</si>
  <si>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</si>
  <si>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</si>
  <si>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</si>
  <si>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</si>
  <si>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</si>
  <si>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</si>
  <si>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</si>
  <si>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</si>
  <si>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</si>
  <si>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</si>
  <si>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</si>
  <si>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</si>
  <si>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</si>
  <si>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</si>
  <si>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</si>
  <si>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</si>
  <si>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</si>
  <si>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</si>
  <si>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</si>
  <si>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</si>
  <si>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</si>
  <si>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NEREA FRAILE</t>
  </si>
  <si>
    <t>C:\Users\nerea.fraile\EUROLEAGUE\EB STATS - Documents\General\SEASON 2025-26\Reports\Eurocup\PDF</t>
  </si>
  <si>
    <t>C:\Users\nerea.fraile\EUROLEAGUE\EB STATS - Documents\General\SEASON 2025-26\Reports\Eurocup</t>
  </si>
  <si>
    <t>ELISAVET SAMARA</t>
  </si>
  <si>
    <t>VASILEIOS VOTSARIS</t>
  </si>
  <si>
    <t>TRIANTAFYLLIA KOSTOPOULOU</t>
  </si>
  <si>
    <t>NATASA TZIKA</t>
  </si>
  <si>
    <t>02:05</t>
  </si>
  <si>
    <t>05:50</t>
  </si>
  <si>
    <t>01:11</t>
  </si>
  <si>
    <t>Very good job! Some minor issues with player identification between nearby players, overall a very good match and very fast corrections. Let's continue in this line!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</si>
</sst>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12_114_ARI_LJU_U2025</v>
      </c>
      <c r="G1" s="5"/>
      <c r="H1" s="5"/>
      <c r="I1" s="5"/>
      <c r="J1" s="8" t="s">
        <v>707</v>
      </c>
      <c r="K1" s="121" t="s">
        <v>827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114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46021.854166666664</v>
      </c>
      <c r="C3" s="157"/>
      <c r="D3" s="39">
        <v>597</v>
      </c>
      <c r="E3" s="29"/>
      <c r="F3" s="26">
        <f>SUBTOTAL(3,I17:I106)</f>
        <v>3</v>
      </c>
      <c r="G3" s="27">
        <f>IF(OR(D3="",D3=0),"",F3/D3)</f>
        <v>5.0251256281407036E-3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Aris Thessaloniki Betsson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ARI</v>
      </c>
      <c r="I4" s="5"/>
      <c r="J4" s="119" t="s">
        <v>714</v>
      </c>
      <c r="K4" s="54" t="s">
        <v>742</v>
      </c>
      <c r="L4" s="5"/>
      <c r="M4" s="167" t="s">
        <v>835</v>
      </c>
      <c r="N4" s="168"/>
      <c r="O4" s="2"/>
      <c r="P4" s="2"/>
      <c r="Q4" s="84" t="s">
        <v>175</v>
      </c>
      <c r="R4" s="94">
        <f>(IF(G3="",0,G3))</f>
        <v>5.0251256281407036E-3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Cedevita Olimpija Ljubljana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LJU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0.50251256281407031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3.0025125628140703</v>
      </c>
      <c r="N7" s="58"/>
      <c r="O7" s="2"/>
      <c r="P7" s="2"/>
      <c r="Q7" s="86">
        <f>SUM(R5,S5,AC16)</f>
        <v>3.0025125628140703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3.0025125628140703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114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114</v>
      </c>
      <c r="D17" s="32" t="s">
        <v>832</v>
      </c>
      <c r="E17" s="33">
        <v>2</v>
      </c>
      <c r="F17" s="36">
        <v>29</v>
      </c>
      <c r="G17" s="36">
        <v>41</v>
      </c>
      <c r="H17" s="38" t="str">
        <f>IF(I17="","",$I$14)</f>
        <v>SCOUTING</v>
      </c>
      <c r="I17" s="34">
        <v>250</v>
      </c>
      <c r="J17" s="13" t="s">
        <v>4</v>
      </c>
      <c r="K17" s="13" t="s">
        <v>63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114</v>
      </c>
      <c r="D18" s="32" t="s">
        <v>833</v>
      </c>
      <c r="E18" s="33">
        <v>3</v>
      </c>
      <c r="F18" s="36">
        <v>33</v>
      </c>
      <c r="G18" s="36">
        <v>50</v>
      </c>
      <c r="H18" s="38" t="str">
        <f t="shared" ref="H18:H81" si="8">IF(I18="","",$I$14)</f>
        <v>SCOUTING</v>
      </c>
      <c r="I18" s="34">
        <v>355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114</v>
      </c>
      <c r="D19" s="32" t="s">
        <v>834</v>
      </c>
      <c r="E19" s="33">
        <v>3</v>
      </c>
      <c r="F19" s="36">
        <v>42</v>
      </c>
      <c r="G19" s="36">
        <v>63</v>
      </c>
      <c r="H19" s="38" t="str">
        <f t="shared" si="8"/>
        <v>SCOUTING</v>
      </c>
      <c r="I19" s="34">
        <v>440</v>
      </c>
      <c r="J19" s="13" t="s">
        <v>4</v>
      </c>
      <c r="K19" s="13" t="s">
        <v>63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REPORT_U2025114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"U2025114"</v>
      </c>
      <c r="F3" s="45" t="str">
        <f t="shared" ref="F3:F16" si="0">""""&amp;B3&amp;"""" &amp; " : " &amp;C3&amp;","</f>
        <v>"name" : "U2025114",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"U114"</v>
      </c>
      <c r="F4" s="45" t="str">
        <f t="shared" si="0"/>
        <v>"cod" : "U114",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114</v>
      </c>
      <c r="F6" s="45" t="str">
        <f t="shared" si="0"/>
        <v>"number" : 114,</v>
      </c>
    </row>
    <row r="7" spans="2:6" x14ac:dyDescent="0.25">
      <c r="B7" s="43" t="s">
        <v>116</v>
      </c>
      <c r="C7" s="43" t="str">
        <f ca="1">""""&amp;TEXT('SCOUT &amp; LOGISTICS'!B3,"dd/mm/aaaa")&amp;""""</f>
        <v>"30/12/Tuesday"</v>
      </c>
      <c r="F7" s="45" t="str">
        <f t="shared" ca="1" si="0"/>
        <v>"date" : "30/12/Tuesday",</v>
      </c>
    </row>
    <row r="8" spans="2:6" x14ac:dyDescent="0.25">
      <c r="B8" s="43" t="s">
        <v>125</v>
      </c>
      <c r="C8" s="43" t="str">
        <f>""""&amp;'SCOUT &amp; LOGISTICS'!D4 &amp;""""</f>
        <v>"Aris Thessaloniki Betsson"</v>
      </c>
      <c r="F8" s="45" t="str">
        <f t="shared" si="0"/>
        <v>"home_team" : "Aris Thessaloniki Betsson",</v>
      </c>
    </row>
    <row r="9" spans="2:6" x14ac:dyDescent="0.25">
      <c r="B9" s="43" t="s">
        <v>126</v>
      </c>
      <c r="C9" s="43" t="str">
        <f>""""&amp;'SCOUT &amp; LOGISTICS'!D5&amp;""""</f>
        <v>"Cedevita Olimpija Ljubljana"</v>
      </c>
      <c r="F9" s="45" t="str">
        <f t="shared" si="0"/>
        <v>"away_team" : "Cedevita Olimpija Ljubljana",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"ELISAVET SAMARA"</v>
      </c>
      <c r="F11" s="45" t="str">
        <f t="shared" si="0"/>
        <v>"Caller_1" : "ELISAVET SAMARA",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"VASILEIOS VOTSARIS"</v>
      </c>
      <c r="F12" s="45" t="str">
        <f t="shared" si="0"/>
        <v>"Caller_2" : "VASILEIOS VOTSARIS",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"TRIANTAFYLLIA KOSTOPOULOU"</v>
      </c>
      <c r="F13" s="45" t="str">
        <f t="shared" si="0"/>
        <v>"Timerkeeper" : "TRIANTAFYLLIA KOSTOPOULOU",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"NATASA TZIKA"</v>
      </c>
      <c r="F14" s="45" t="str">
        <f t="shared" si="0"/>
        <v>"Shotclock" : "NATASA TZIKA",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597</v>
      </c>
      <c r="F25" s="45" t="str">
        <f t="shared" ref="F25:F48" si="1">""""&amp;C25&amp;"""" &amp; " : " &amp;D25&amp;","</f>
        <v>"total_actions" : 597,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Some minor issues with player identification between nearby players, overall a very good match and very fast corrections. Let's continue in this line!"</v>
      </c>
      <c r="F51" s="45" t="str">
        <f>""""&amp;B51&amp;"""" &amp; " : " &amp;C51&amp;","</f>
        <v>"comments" : "Very good job! Some minor issues with player identification between nearby players, overall a very good match and very fast corrections. Let's continue in this line!",</v>
      </c>
    </row>
    <row r="52" spans="2:6" x14ac:dyDescent="0.25">
      <c r="B52" s="43" t="s">
        <v>153</v>
      </c>
      <c r="C52" s="43" t="str">
        <f>TEXT('SCOUT &amp; LOGISTICS'!F1,"0,0")</f>
        <v>12_114_ARI_LJU_U2025</v>
      </c>
      <c r="F52" s="45" t="str">
        <f>""""&amp;B52&amp;"""" &amp; " : " &amp;C52</f>
        <v>"result" : 12_114_ARI_LJU_U2025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U114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30/12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Aris Thessaloniki Betsson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Cedevita Olimpija Ljubljana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ELISAVET SAMARA</v>
      </c>
      <c r="H8" s="206"/>
      <c r="I8" s="206"/>
      <c r="J8" s="206"/>
      <c r="K8" s="206"/>
      <c r="L8" s="206" t="str">
        <f>IF('SCOUT &amp; LOGISTICS'!D8="","",'SCOUT &amp; LOGISTICS'!D8)</f>
        <v>VASILEIOS VOTSARIS</v>
      </c>
      <c r="M8" s="206"/>
      <c r="N8" s="206"/>
      <c r="O8" s="206"/>
      <c r="P8" s="206"/>
      <c r="Q8" s="206" t="str">
        <f>IF('SCOUT &amp; LOGISTICS'!D9="","",'SCOUT &amp; LOGISTICS'!D9)</f>
        <v>TRIANTAFYLLIA KOSTOPOULOU</v>
      </c>
      <c r="R8" s="206"/>
      <c r="S8" s="206"/>
      <c r="T8" s="206"/>
      <c r="U8" s="206"/>
      <c r="V8" s="206" t="str">
        <f>IF('SCOUT &amp; LOGISTICS'!D10="","",'SCOUT &amp; LOGISTICS'!D10)</f>
        <v>NATASA TZIKA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5.0251256281407036E-3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Some minor issues with player identification between nearby players, overall a very good match and very fast corrections. Let's continue in this line!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3.0025125628140703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45C224-CDE8-44B9-8EBA-EBFC11B13E6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2025-12-30T20:42:05Z</cp:lastPrinted>
  <dcterms:created xsi:type="dcterms:W3CDTF">2023-09-19T19:50:35Z</dcterms:created>
  <dcterms:modified xsi:type="dcterms:W3CDTF">2025-12-30T20:42:09Z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