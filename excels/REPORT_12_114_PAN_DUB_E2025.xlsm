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42" documentId="8_{6DC9C3BC-FF65-4C03-B559-502821FA17FA}" xr6:coauthVersionLast="47" xr6:coauthVersionMax="47" xr10:uidLastSave="{949CC8D9-4D2E-48C4-B61E-10117C1ED6CD}"/>
  <bookViews>
    <workbookView minimized="1" xWindow="2580" yWindow="2800" windowWidth="14400" windowHeight="728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<sst xmlns="http://schemas.openxmlformats.org/spreadsheetml/2006/main" count="3255" uniqueCount="757">
  <si>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</si>
  <si>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</si>
  <si>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</si>
  <si>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</si>
  <si>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</si>
  <si>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</si>
  <si>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</si>
  <si>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</si>
  <si>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</si>
  <si>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</si>
  <si>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</si>
  <si>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</si>
  <si>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</si>
  <si>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</si>
  <si>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</si>
  <si>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</si>
  <si>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</si>
  <si>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</si>
  <si>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</si>
  <si>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</si>
  <si>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</si>
  <si>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</si>
  <si>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</si>
  <si>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</si>
  <si>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</si>
  <si>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</si>
  <si>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</si>
  <si>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</si>
  <si>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</si>
  <si>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</si>
  <si>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</si>
  <si>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</si>
  <si>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</si>
  <si>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</si>
  <si>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</si>
  <si>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</si>
  <si>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</si>
  <si>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</si>
  <si>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</si>
  <si>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</si>
  <si>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</si>
  <si>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</si>
  <si>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</si>
  <si>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</si>
  <si>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</si>
  <si>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</si>
  <si>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</si>
  <si>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</si>
  <si>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</si>
  <si>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</si>
  <si>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</si>
  <si>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</si>
  <si>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</si>
  <si>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</si>
  <si>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</si>
  <si>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</si>
  <si>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</si>
  <si>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</si>
  <si>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</si>
  <si>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</si>
  <si>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</si>
  <si>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</si>
  <si>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</si>
  <si>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</si>
  <si>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</si>
  <si>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</si>
  <si>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</si>
  <si>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</si>
  <si>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</si>
  <si>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</si>
  <si>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</si>
  <si>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</si>
  <si>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</si>
  <si>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</si>
  <si>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</si>
  <si>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</si>
  <si>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</si>
  <si>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</si>
  <si>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</si>
  <si>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</si>
  <si>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</si>
  <si>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</si>
  <si>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</si>
  <si>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</si>
  <si>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</si>
  <si>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</si>
  <si>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</si>
  <si>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</si>
  <si>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</si>
  <si>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</si>
  <si>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</si>
  <si>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</si>
  <si>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</si>
  <si>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</si>
  <si>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</si>
  <si>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</si>
  <si>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</si>
  <si>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</si>
  <si>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</si>
  <si>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</si>
  <si>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</si>
  <si>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</si>
  <si>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</si>
  <si>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</si>
  <si>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</si>
  <si>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</si>
  <si>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</si>
  <si>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</si>
  <si>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</si>
  <si>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</si>
  <si>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</si>
  <si>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</si>
  <si>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</si>
  <si>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</si>
  <si>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</si>
  <si>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</si>
  <si>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</si>
  <si>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</si>
  <si>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</si>
  <si>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</si>
  <si>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</si>
  <si>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</si>
  <si>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</si>
  <si>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</si>
  <si>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</si>
  <si>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</si>
  <si>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</si>
  <si>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</si>
  <si>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</si>
  <si>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</si>
  <si>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</si>
  <si>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</si>
  <si>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</si>
  <si>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</si>
  <si>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</si>
  <si>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</si>
  <si>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</si>
  <si>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</si>
  <si>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</si>
  <si>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</si>
  <si>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</si>
  <si>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</si>
  <si>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</si>
  <si>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</si>
  <si>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</si>
  <si>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</si>
  <si>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</si>
  <si>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</si>
  <si>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</si>
  <si>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</si>
  <si>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</si>
  <si>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</si>
  <si>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</si>
  <si>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</si>
  <si>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</si>
  <si>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</si>
  <si>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</si>
  <si>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</si>
  <si>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</si>
  <si>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</si>
  <si>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</si>
  <si>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</si>
  <si>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</si>
  <si>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</si>
  <si>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</si>
  <si>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</si>
  <si>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</si>
  <si>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</si>
  <si>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</si>
  <si>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</si>
  <si>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</si>
  <si>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</si>
  <si>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</si>
  <si>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</si>
  <si>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</si>
  <si>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</si>
  <si>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</si>
  <si>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</si>
  <si>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</si>
  <si>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</si>
  <si>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</si>
  <si>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</si>
  <si>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</si>
  <si>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</si>
  <si>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</si>
  <si>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</si>
  <si>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</si>
  <si>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</si>
  <si>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</si>
  <si>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</si>
  <si>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</si>
  <si>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</si>
  <si>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</si>
  <si>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</si>
  <si>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</si>
  <si>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</si>
  <si>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</si>
  <si>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</si>
  <si>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</si>
  <si>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</si>
  <si>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</si>
  <si>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</si>
  <si>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</si>
  <si>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</si>
  <si>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</si>
  <si>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</si>
  <si>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</si>
  <si>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</si>
  <si>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</si>
  <si>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</si>
  <si>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</si>
  <si>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</si>
  <si>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</si>
  <si>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</si>
  <si>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</si>
  <si>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</si>
  <si>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</si>
  <si>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</si>
  <si>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</si>
  <si>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</si>
  <si>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</si>
  <si>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</si>
  <si>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</si>
  <si>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</si>
  <si>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</si>
  <si>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</si>
  <si>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</si>
  <si>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</si>
  <si>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</si>
  <si>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</si>
  <si>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</si>
  <si>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</si>
  <si>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</si>
  <si>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</si>
  <si>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</si>
  <si>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</si>
  <si>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</si>
  <si>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</si>
  <si>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</si>
  <si>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</si>
  <si>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</si>
  <si>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</si>
  <si>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</si>
  <si>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</si>
  <si>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</si>
  <si>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</si>
  <si>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</si>
  <si>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</si>
  <si>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</si>
  <si>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</si>
  <si>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</si>
  <si>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</si>
  <si>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</si>
  <si>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</si>
  <si>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</si>
  <si>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</si>
  <si>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</si>
  <si>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</si>
  <si>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</si>
  <si>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</si>
  <si>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</si>
  <si>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</si>
  <si>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</si>
  <si>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</si>
  <si>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</si>
  <si>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</si>
  <si>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</si>
  <si>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</si>
  <si>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</si>
  <si>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</si>
  <si>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</si>
  <si>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</si>
  <si>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</si>
  <si>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</si>
  <si>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</si>
  <si>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</si>
  <si>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</si>
  <si>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</si>
  <si>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</si>
  <si>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</si>
  <si>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</si>
  <si>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</si>
  <si>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</si>
  <si>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</si>
  <si>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</si>
  <si>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</si>
  <si>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</si>
  <si>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</si>
  <si>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</si>
  <si>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</si>
  <si>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</si>
  <si>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</si>
  <si>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</si>
  <si>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</si>
  <si>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</si>
  <si>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</si>
  <si>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</si>
  <si>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</si>
  <si>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</si>
  <si>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</si>
  <si>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</si>
  <si>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</si>
  <si>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</si>
  <si>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</si>
  <si>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</si>
  <si>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</si>
  <si>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</si>
  <si>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</si>
  <si>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</si>
  <si>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</si>
  <si>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</si>
  <si>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</si>
  <si>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</si>
  <si>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</si>
  <si>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</si>
  <si>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</si>
  <si>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</si>
  <si>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</si>
  <si>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</si>
  <si>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</si>
  <si>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</si>
  <si>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</si>
  <si>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</si>
  <si>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</si>
  <si>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</si>
  <si>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</si>
  <si>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</si>
  <si>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</si>
  <si>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</si>
  <si>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</si>
  <si>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</si>
  <si>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</si>
  <si>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</si>
  <si>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</si>
  <si>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</si>
  <si>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</si>
  <si>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</si>
  <si>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</si>
  <si>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</si>
  <si>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</si>
  <si>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</si>
  <si>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</si>
  <si>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</si>
  <si>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</si>
  <si>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</si>
  <si>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</si>
  <si>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</si>
  <si>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</si>
  <si>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</si>
  <si>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</si>
  <si>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</si>
  <si>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</si>
  <si>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</si>
  <si>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</si>
  <si>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</si>
  <si>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</si>
  <si>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</si>
  <si>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</si>
  <si>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</si>
  <si>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</si>
  <si>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</si>
  <si>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</si>
  <si>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</si>
  <si>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</si>
  <si>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</si>
  <si>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</si>
  <si>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</si>
  <si>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</si>
  <si>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</si>
  <si>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</si>
  <si>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</si>
  <si>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</si>
  <si>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</si>
  <si>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</si>
  <si>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</si>
  <si>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</si>
  <si>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</si>
  <si>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</si>
  <si>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</si>
  <si>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</si>
  <si>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</si>
  <si>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</si>
  <si>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</si>
  <si>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</si>
  <si>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</si>
  <si>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</si>
  <si>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</si>
  <si>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</si>
  <si>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</si>
  <si>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</si>
  <si>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</si>
  <si>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</si>
  <si>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</si>
  <si>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</si>
  <si>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</si>
  <si>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</si>
  <si>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</si>
  <si>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</si>
  <si>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</si>
  <si>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</si>
  <si>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</si>
  <si>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</si>
  <si>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</si>
  <si>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</si>
  <si>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</si>
  <si>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</si>
  <si>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</si>
  <si>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</si>
  <si>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</si>
  <si>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</si>
  <si>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</si>
  <si>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</si>
  <si>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</si>
  <si>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</si>
  <si>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</si>
  <si>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</si>
  <si>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</si>
  <si>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</si>
  <si>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</si>
  <si>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</si>
  <si>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</si>
  <si>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</si>
  <si>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</si>
  <si>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</si>
  <si>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</si>
  <si>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</si>
  <si>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</si>
  <si>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</si>
  <si>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</si>
  <si>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</si>
  <si>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</si>
  <si>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</si>
  <si>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</si>
  <si>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</si>
  <si>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</si>
  <si>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</si>
  <si>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</si>
  <si>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</si>
  <si>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</si>
  <si>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</si>
  <si>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</si>
  <si>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</si>
  <si>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</si>
  <si>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</si>
  <si>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</si>
  <si>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</si>
  <si>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</si>
  <si>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</si>
  <si>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</si>
  <si>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</si>
  <si>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</si>
  <si>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</si>
  <si>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</si>
  <si>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</si>
  <si>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</si>
  <si>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</si>
  <si>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</si>
  <si>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</si>
  <si>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</si>
  <si>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</si>
  <si>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</si>
  <si>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</si>
  <si>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</si>
  <si>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</si>
  <si>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</si>
  <si>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</si>
  <si>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</si>
  <si>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</si>
  <si>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</si>
  <si>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</si>
  <si>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</si>
  <si>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</si>
  <si>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</si>
  <si>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</si>
  <si>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</si>
  <si>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</si>
  <si>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</si>
  <si>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</si>
  <si>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</si>
  <si>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</si>
  <si>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</si>
  <si>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</si>
  <si>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</si>
  <si>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</si>
  <si>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</si>
  <si>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</si>
  <si>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</si>
  <si>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</si>
  <si>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</si>
  <si>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</si>
  <si>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</si>
  <si>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</si>
  <si>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</si>
  <si>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</si>
  <si>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</si>
  <si>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</si>
  <si>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</si>
  <si>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</si>
  <si>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</si>
  <si>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</si>
  <si>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</si>
  <si>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</si>
  <si>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</si>
  <si>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</si>
  <si>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</si>
  <si>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</si>
  <si>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</si>
  <si>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</si>
  <si>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</si>
  <si>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</si>
  <si>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</si>
  <si>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</si>
  <si>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</si>
  <si>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</si>
  <si>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</si>
  <si>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</si>
  <si>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</si>
  <si>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</si>
  <si>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</si>
  <si>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</si>
  <si>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</si>
  <si>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</si>
  <si>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</si>
  <si>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</si>
  <si>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</si>
  <si>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</si>
  <si>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</si>
  <si>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</si>
  <si>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</si>
  <si>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</si>
  <si>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</si>
  <si>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</si>
  <si>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</si>
  <si>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</si>
  <si>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</si>
  <si>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</si>
  <si>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</si>
  <si>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</si>
  <si>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</si>
  <si>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</si>
  <si>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</si>
  <si>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</si>
  <si>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</si>
  <si>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</si>
  <si>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</si>
  <si>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</si>
  <si>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</si>
  <si>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</si>
  <si>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</si>
  <si>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</si>
  <si>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</si>
  <si>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</si>
  <si>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</si>
  <si>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</si>
  <si>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</si>
  <si>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</si>
  <si>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</si>
  <si>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</si>
  <si>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</si>
  <si>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</si>
  <si>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</si>
  <si>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</si>
  <si>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</si>
  <si>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</si>
  <si>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</si>
  <si>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</si>
  <si>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</si>
  <si>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</si>
  <si>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</si>
  <si>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</si>
  <si>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</si>
  <si>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</si>
  <si>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</si>
  <si>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</si>
  <si>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</si>
  <si>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</si>
  <si>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</si>
  <si>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</si>
  <si>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</si>
  <si>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</si>
  <si>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</si>
  <si>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</si>
  <si>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</si>
  <si>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</si>
  <si>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</si>
  <si>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</si>
  <si>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</si>
  <si>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</si>
  <si>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</si>
  <si>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</si>
  <si>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</si>
  <si>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</si>
  <si>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</si>
  <si>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</si>
  <si>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</si>
  <si>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</si>
  <si>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</si>
  <si>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</si>
  <si>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</si>
  <si>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</si>
  <si>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</si>
  <si>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</si>
  <si>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</si>
  <si>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</si>
  <si>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</si>
  <si>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</si>
  <si>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</si>
  <si>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</si>
  <si>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</si>
  <si>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</si>
  <si>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</si>
  <si>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</si>
  <si>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</si>
  <si>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</si>
  <si>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</si>
  <si>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</si>
  <si>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</si>
  <si>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</si>
  <si>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</si>
  <si>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</si>
  <si>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</si>
  <si>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</si>
  <si>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</si>
  <si>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</si>
  <si>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</si>
  <si>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</si>
  <si>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</si>
  <si>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</si>
  <si>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</si>
  <si>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</si>
  <si>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</si>
  <si>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</si>
  <si>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</si>
  <si>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</si>
  <si>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</si>
  <si>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</si>
  <si>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</si>
  <si>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</si>
  <si>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</si>
  <si>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</si>
  <si>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</si>
  <si>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</si>
  <si>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</si>
  <si>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</si>
  <si>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</si>
  <si>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</si>
  <si>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</si>
  <si>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</si>
  <si>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</si>
  <si>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</si>
  <si>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</si>
  <si>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</si>
  <si>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</si>
  <si>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</si>
  <si>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</si>
  <si>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</si>
  <si>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</si>
  <si>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</si>
  <si>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</si>
  <si>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</si>
  <si>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</si>
  <si>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</si>
  <si>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</si>
  <si>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</si>
  <si>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</si>
  <si>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</si>
  <si>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</si>
  <si>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</si>
  <si>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</si>
  <si>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</si>
  <si>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</si>
  <si>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</si>
  <si>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</si>
  <si>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</si>
  <si>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</si>
  <si>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</si>
  <si>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</si>
  <si>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</si>
  <si>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</si>
  <si>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</si>
  <si>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</si>
  <si>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</si>
  <si>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</si>
  <si>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</si>
  <si>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</si>
  <si>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</si>
  <si>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</si>
  <si>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</si>
  <si>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</si>
  <si>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</si>
  <si>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</si>
  <si>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</si>
  <si>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</si>
  <si>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</si>
  <si>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</si>
  <si>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</si>
  <si>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</si>
  <si>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</si>
  <si>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</si>
  <si>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</si>
  <si>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</si>
  <si>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</si>
  <si>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</si>
  <si>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</si>
  <si>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</si>
  <si>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</si>
  <si>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</si>
  <si>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</si>
  <si>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</si>
  <si>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</si>
  <si>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</si>
  <si>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</si>
  <si>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</si>
  <si>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</si>
  <si>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</si>
  <si>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</si>
  <si>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</si>
  <si>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</si>
  <si>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</si>
  <si>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</si>
  <si>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</si>
  <si>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</si>
  <si>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</si>
  <si>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</si>
  <si>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</si>
  <si>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</si>
  <si>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</si>
  <si>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</si>
  <si>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</si>
  <si>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</si>
  <si>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</si>
  <si>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</si>
  <si>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</si>
  <si>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</si>
  <si>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</si>
  <si>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</si>
  <si>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</si>
  <si>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</si>
  <si>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</si>
  <si>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</si>
  <si>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</si>
  <si>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</si>
  <si>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</si>
  <si>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</si>
  <si>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</si>
  <si>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</si>
  <si>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</si>
  <si>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</si>
  <si>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</si>
  <si>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</si>
  <si>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XAVI MATEU</t>
  </si>
  <si>
    <t>THEODOROS TZAMALOUKAS</t>
  </si>
  <si>
    <t>ANASTASIOS KALESIORIS</t>
  </si>
  <si>
    <t>07:22</t>
  </si>
  <si>
    <t>06:58</t>
  </si>
  <si>
    <t>Game almost perfect. In the first AS I corrected you, the player receives without defense, doubts a little, but goes to the basket and shoots. In the second the player receives the ball with his back to the defender, it is not an immediate action….</t>
  </si>
  <si>
    <t>C:\Users\xavi.mateu\OneDrive - EUROLEAGUE\Desktop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</si>
</sst>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K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12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12_114_PAN_DUB_E2025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756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114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45981.885416666664</v>
      </c>
      <c r="C3" s="157"/>
      <c r="D3" s="39">
        <v>557</v>
      </c>
      <c r="E3" s="29"/>
      <c r="F3" s="26">
        <f>SUBTOTAL(3,I17:I106)</f>
        <v>2</v>
      </c>
      <c r="G3" s="27">
        <f>IF(OR(D3="",D3=0),"",F3/D3)</f>
        <v>3.5906642728904849E-3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Panathinaikos AKTOR Athens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PAN</v>
      </c>
      <c r="I4" s="5"/>
      <c r="J4" s="119" t="s">
        <v>714</v>
      </c>
      <c r="K4" s="54" t="s">
        <v>743</v>
      </c>
      <c r="L4" s="5"/>
      <c r="M4" s="167" t="s">
        <v>755</v>
      </c>
      <c r="N4" s="168"/>
      <c r="O4" s="2"/>
      <c r="P4" s="2"/>
      <c r="Q4" s="84" t="s">
        <v>175</v>
      </c>
      <c r="R4" s="94">
        <f>(IF(G3="",0,G3))</f>
        <v>3.5906642728904849E-3</v>
      </c>
      <c r="S4" s="61">
        <f>SUM(I13:M13)</f>
        <v>0</v>
      </c>
      <c r="T4" s="78"/>
      <c r="U4" s="61">
        <f>AC18</f>
        <v>2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Dubai Basketball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DUB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0.35906642728904847</v>
      </c>
      <c r="S5" s="70">
        <f t="shared" ref="S5" si="0">S4*S3</f>
        <v>0</v>
      </c>
      <c r="T5" s="92"/>
      <c r="U5" s="70">
        <f t="shared" ref="U5:AG5" si="1">U4*U3</f>
        <v>1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729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730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1.3590664272890485</v>
      </c>
      <c r="N7" s="58"/>
      <c r="O7" s="2"/>
      <c r="P7" s="2"/>
      <c r="Q7" s="86">
        <f>SUM(R5,S5,AC16)</f>
        <v>1.3590664272890485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731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1.3590664272890485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733</v>
      </c>
      <c r="E9" s="179"/>
      <c r="F9" s="179"/>
      <c r="G9" s="180"/>
      <c r="H9" s="130" t="str">
        <f>VLOOKUP($H$4,Teams!$B$3:$O$44,3,FALSE)</f>
        <v>EMMANOUIL SMPOKOS</v>
      </c>
      <c r="I9" s="130" t="str">
        <f>VLOOKUP($H$4,Teams!$B$3:$O$44,3,FALSE)</f>
        <v>EMMANOUIL SMPOKOS</v>
      </c>
      <c r="J9" s="130" t="str">
        <f>VLOOKUP($H$4,Teams!$B$3:$O$44,5,FALSE)</f>
        <v>PANAGIOTIS MORAITIS</v>
      </c>
      <c r="K9" s="130" t="str">
        <f>VLOOKUP($H$4,Teams!$B$3:$O$44,6,FALSE)</f>
        <v>MARIA MERIKA</v>
      </c>
      <c r="L9" s="130" t="str">
        <f>VLOOKUP($H$4,Teams!$B$3:$O$44,7,FALSE)</f>
        <v>PANAGIOTA TSICHLI</v>
      </c>
      <c r="M9" s="131" t="str">
        <f>VLOOKUP($H$4,Teams!$B$3:$O$44,8,FALSE)</f>
        <v>KONSTANTINOS TROUPIS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751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752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114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750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2</v>
      </c>
      <c r="J15" s="24">
        <f>SUBTOTAL(3,J17:J106)</f>
        <v>2</v>
      </c>
      <c r="K15" s="24">
        <f>SUBTOTAL(3,K17:K106)</f>
        <v>2</v>
      </c>
      <c r="L15" s="24">
        <f>SUBTOTAL(3,L17:L106)</f>
        <v>2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2</v>
      </c>
      <c r="Z16" s="90" t="s">
        <v>110</v>
      </c>
      <c r="AA16" s="75">
        <f>SUM(AA17:AA24)</f>
        <v>2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</v>
      </c>
      <c r="AD16" s="75">
        <f>SUM(AD17:AD24)</f>
        <v>45</v>
      </c>
      <c r="AE16" s="76" t="s">
        <v>42</v>
      </c>
      <c r="AF16" s="75">
        <f>SUM(AF17:AF24)</f>
        <v>2</v>
      </c>
      <c r="AG16" s="75">
        <f>SUM(AG17:AG21)</f>
        <v>2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114</v>
      </c>
      <c r="D17" s="32" t="s">
        <v>753</v>
      </c>
      <c r="E17" s="33">
        <v>3</v>
      </c>
      <c r="F17" s="36">
        <v>47</v>
      </c>
      <c r="G17" s="36">
        <v>48</v>
      </c>
      <c r="H17" s="38" t="str">
        <f>IF(I17="","",$I$14)</f>
        <v>SCOUTING</v>
      </c>
      <c r="I17" s="34">
        <v>326</v>
      </c>
      <c r="J17" s="13" t="s">
        <v>4</v>
      </c>
      <c r="K17" s="13" t="s">
        <v>62</v>
      </c>
      <c r="L17" s="13" t="s">
        <v>5</v>
      </c>
      <c r="M17" s="13" t="s">
        <v>11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2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2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114</v>
      </c>
      <c r="D18" s="32" t="s">
        <v>754</v>
      </c>
      <c r="E18" s="33">
        <v>3</v>
      </c>
      <c r="F18" s="36">
        <v>47</v>
      </c>
      <c r="G18" s="36">
        <v>50</v>
      </c>
      <c r="H18" s="38" t="str">
        <f t="shared" ref="H18:H81" si="8">IF(I18="","",$I$14)</f>
        <v>SCOUTING</v>
      </c>
      <c r="I18" s="34">
        <v>330</v>
      </c>
      <c r="J18" s="13" t="s">
        <v>4</v>
      </c>
      <c r="K18" s="13" t="s">
        <v>63</v>
      </c>
      <c r="L18" s="13" t="s">
        <v>5</v>
      </c>
      <c r="M18" s="13" t="s">
        <v>11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1</v>
      </c>
      <c r="AB18" s="66" t="s">
        <v>5</v>
      </c>
      <c r="AC18" s="61">
        <f t="shared" si="5"/>
        <v>2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2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REPORT_E2025114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"E2025114"</v>
      </c>
      <c r="F3" s="45" t="str">
        <f t="shared" ref="F3:F16" si="0">""""&amp;B3&amp;"""" &amp; " : " &amp;C3&amp;","</f>
        <v>"name" : "E2025114",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"E114"</v>
      </c>
      <c r="F4" s="45" t="str">
        <f t="shared" si="0"/>
        <v>"cod" : "E114",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114</v>
      </c>
      <c r="F6" s="45" t="str">
        <f t="shared" si="0"/>
        <v>"number" : 114,</v>
      </c>
    </row>
    <row r="7" spans="2:6" x14ac:dyDescent="0.25">
      <c r="B7" s="43" t="s">
        <v>116</v>
      </c>
      <c r="C7" s="43" t="str">
        <f ca="1">""""&amp;TEXT('SCOUT &amp; LOGISTICS'!B3,"dd/mm/aaaa")&amp;""""</f>
        <v>"20/11/Thursday"</v>
      </c>
      <c r="F7" s="45" t="str">
        <f t="shared" ca="1" si="0"/>
        <v>"date" : "20/11/Thursday",</v>
      </c>
    </row>
    <row r="8" spans="2:6" x14ac:dyDescent="0.25">
      <c r="B8" s="43" t="s">
        <v>125</v>
      </c>
      <c r="C8" s="43" t="str">
        <f>""""&amp;'SCOUT &amp; LOGISTICS'!D4 &amp;""""</f>
        <v>"Panathinaikos AKTOR Athens"</v>
      </c>
      <c r="F8" s="45" t="str">
        <f t="shared" si="0"/>
        <v>"home_team" : "Panathinaikos AKTOR Athens",</v>
      </c>
    </row>
    <row r="9" spans="2:6" x14ac:dyDescent="0.25">
      <c r="B9" s="43" t="s">
        <v>126</v>
      </c>
      <c r="C9" s="43" t="str">
        <f>""""&amp;'SCOUT &amp; LOGISTICS'!D5&amp;""""</f>
        <v>"Dubai Basketball"</v>
      </c>
      <c r="F9" s="45" t="str">
        <f t="shared" si="0"/>
        <v>"away_team" : "Dubai Basketball",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"EMMANOUIL SMPOKOS"</v>
      </c>
      <c r="F10" s="45" t="str">
        <f t="shared" si="0"/>
        <v>"Data_entry" : "EMMANOUIL SMPOKOS",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"TILEMACHOS KAVVADIAS"</v>
      </c>
      <c r="F11" s="45" t="str">
        <f t="shared" si="0"/>
        <v>"Caller_1" : "TILEMACHOS KAVVADIAS",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"PANAGIOTIS MORAITIS"</v>
      </c>
      <c r="F12" s="45" t="str">
        <f t="shared" si="0"/>
        <v>"Caller_2" : "PANAGIOTIS MORAITIS",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"PANAGIOTA TSICHLI"</v>
      </c>
      <c r="F13" s="45" t="str">
        <f t="shared" si="0"/>
        <v>"Timerkeeper" : "PANAGIOTA TSICHLI",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"THEODOROS TZAMALOUKAS"</v>
      </c>
      <c r="F14" s="45" t="str">
        <f t="shared" si="0"/>
        <v>"Shotclock" : "THEODOROS TZAMALOUKAS",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"ANASTASIOS KALESIORIS"</v>
      </c>
      <c r="F15" s="45" t="str">
        <f t="shared" si="0"/>
        <v>"IRS" : "ANASTASIOS KALESIORIS",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"XAVI MATEU"</v>
      </c>
      <c r="F16" s="45" t="str">
        <f t="shared" si="0"/>
        <v>"Live_Game_Manager" : "XAVI MATEU",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557</v>
      </c>
      <c r="F25" s="45" t="str">
        <f t="shared" ref="F25:F48" si="1">""""&amp;C25&amp;"""" &amp; " : " &amp;D25&amp;","</f>
        <v>"total_actions" : 557,</v>
      </c>
    </row>
    <row r="26" spans="2:6" x14ac:dyDescent="0.25">
      <c r="C26" s="43" t="s">
        <v>132</v>
      </c>
      <c r="D26" s="43">
        <f>'SCOUT &amp; LOGISTICS'!F3</f>
        <v>2</v>
      </c>
      <c r="F26" s="45" t="str">
        <f t="shared" si="1"/>
        <v>"total_correcions" : 2,</v>
      </c>
    </row>
    <row r="27" spans="2:6" x14ac:dyDescent="0.25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5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5">
      <c r="C29" s="43" t="s">
        <v>134</v>
      </c>
      <c r="D29" s="43">
        <f>IF('SCOUT &amp; LOGISTICS'!AA18="","",'SCOUT &amp; LOGISTICS'!AA18)</f>
        <v>1</v>
      </c>
      <c r="F29" s="45" t="str">
        <f t="shared" si="1"/>
        <v>"no_team" : 1,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2</v>
      </c>
      <c r="F33" s="45" t="str">
        <f t="shared" si="1"/>
        <v>"q3" : 2,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2</v>
      </c>
      <c r="F37" s="45" t="str">
        <f t="shared" si="1"/>
        <v>"scoresheet_corrections" : 2,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2</v>
      </c>
      <c r="F39" s="45" t="str">
        <f t="shared" si="1"/>
        <v>"missidentity" : 2,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"Game almost perfect. In the first AS I corrected you, the player receives without defense, doubts a little, but goes to the basket and shoots. In the second the player receives the ball with his back to the defender, it is not an immediate action…."</v>
      </c>
      <c r="F51" s="45" t="str">
        <f>""""&amp;B51&amp;"""" &amp; " : " &amp;C51&amp;","</f>
        <v>"comments" : "Game almost perfect. In the first AS I corrected you, the player receives without defense, doubts a little, but goes to the basket and shoots. In the second the player receives the ball with his back to the defender, it is not an immediate action….",</v>
      </c>
    </row>
    <row r="52" spans="2:6" x14ac:dyDescent="0.25">
      <c r="B52" s="43" t="s">
        <v>153</v>
      </c>
      <c r="C52" s="43" t="str">
        <f>TEXT('SCOUT &amp; LOGISTICS'!F1,"0,0")</f>
        <v>12_114_PAN_DUB_E2025</v>
      </c>
      <c r="F52" s="45" t="str">
        <f>""""&amp;B52&amp;"""" &amp; " : " &amp;C52</f>
        <v>"result" : 12_114_PAN_DUB_E2025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E114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20/11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Panathinaikos Aktor Athens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Dubai Basketball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EMMANOUIL SMPOKOS</v>
      </c>
      <c r="C8" s="206"/>
      <c r="D8" s="206"/>
      <c r="E8" s="206"/>
      <c r="F8" s="206"/>
      <c r="G8" s="206" t="str">
        <f>IF('SCOUT &amp; LOGISTICS'!D7="","",'SCOUT &amp; LOGISTICS'!D7)</f>
        <v>TILEMACHOS KAVVADIAS</v>
      </c>
      <c r="H8" s="206"/>
      <c r="I8" s="206"/>
      <c r="J8" s="206"/>
      <c r="K8" s="206"/>
      <c r="L8" s="206" t="str">
        <f>IF('SCOUT &amp; LOGISTICS'!D8="","",'SCOUT &amp; LOGISTICS'!D8)</f>
        <v>PANAGIOTIS MORAITIS</v>
      </c>
      <c r="M8" s="206"/>
      <c r="N8" s="206"/>
      <c r="O8" s="206"/>
      <c r="P8" s="206"/>
      <c r="Q8" s="206" t="str">
        <f>IF('SCOUT &amp; LOGISTICS'!D9="","",'SCOUT &amp; LOGISTICS'!D9)</f>
        <v>PANAGIOTA TSICHLI</v>
      </c>
      <c r="R8" s="206"/>
      <c r="S8" s="206"/>
      <c r="T8" s="206"/>
      <c r="U8" s="206"/>
      <c r="V8" s="206" t="str">
        <f>IF('SCOUT &amp; LOGISTICS'!D10="","",'SCOUT &amp; LOGISTICS'!D10)</f>
        <v>THEODOROS TZAMALOUKAS</v>
      </c>
      <c r="W8" s="206"/>
      <c r="X8" s="206"/>
      <c r="Y8" s="206"/>
      <c r="Z8" s="206"/>
      <c r="AA8" s="206" t="str">
        <f>IF('SCOUT &amp; LOGISTICS'!D11="","",'SCOUT &amp; LOGISTICS'!D11)</f>
        <v>ANASTASIOS KALESIORIS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XAVI MATEU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557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2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3.5906642728904849E-3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1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1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2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2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2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Game almost perfect. In the first AS I corrected you, the player receives without defense, doubts a little, but goes to the basket and shoots. In the second the player receives the ball with his back to the defender, it is not an immediate action….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1.3590664272890485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8E474CD-BBC2-42D4-95FB-7AA2A4BC6322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Xavi Mateu</cp:lastModifiedBy>
  <cp:lastPrinted>2025-11-21T16:41:03Z</cp:lastPrinted>
  <dcterms:created xsi:type="dcterms:W3CDTF">2023-09-19T19:50:35Z</dcterms:created>
  <dcterms:modified xsi:type="dcterms:W3CDTF">2025-11-21T16:43:06Z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