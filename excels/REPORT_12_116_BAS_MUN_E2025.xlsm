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3" documentId="8_{59975A84-8C32-41F2-8C99-E7193F6315C3}" xr6:coauthVersionLast="47" xr6:coauthVersionMax="47" xr10:uidLastSave="{DF1B106B-454F-4128-BF8A-48F14998201D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<sst xmlns="http://schemas.openxmlformats.org/spreadsheetml/2006/main" count="3265" uniqueCount="762">
  <si>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</si>
  <si>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</si>
  <si>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</si>
  <si>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</si>
  <si>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</si>
  <si>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</si>
  <si>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</si>
  <si>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</si>
  <si>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</si>
  <si>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</si>
  <si>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</si>
  <si>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</si>
  <si>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</si>
  <si>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</si>
  <si>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</si>
  <si>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</si>
  <si>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</si>
  <si>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</si>
  <si>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</si>
  <si>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</si>
  <si>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</si>
  <si>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</si>
  <si>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</si>
  <si>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</si>
  <si>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</si>
  <si>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</si>
  <si>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</si>
  <si>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</si>
  <si>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</si>
  <si>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</si>
  <si>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</si>
  <si>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</si>
  <si>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</si>
  <si>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</si>
  <si>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</si>
  <si>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</si>
  <si>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</si>
  <si>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</si>
  <si>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</si>
  <si>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</si>
  <si>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</si>
  <si>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</si>
  <si>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</si>
  <si>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</si>
  <si>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</si>
  <si>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</si>
  <si>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</si>
  <si>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</si>
  <si>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</si>
  <si>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</si>
  <si>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</si>
  <si>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</si>
  <si>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</si>
  <si>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</si>
  <si>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</si>
  <si>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</si>
  <si>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</si>
  <si>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</si>
  <si>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</si>
  <si>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</si>
  <si>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</si>
  <si>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</si>
  <si>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</si>
  <si>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</si>
  <si>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</si>
  <si>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</si>
  <si>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</si>
  <si>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</si>
  <si>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</si>
  <si>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</si>
  <si>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</si>
  <si>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</si>
  <si>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</si>
  <si>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</si>
  <si>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</si>
  <si>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</si>
  <si>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</si>
  <si>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</si>
  <si>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</si>
  <si>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</si>
  <si>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</si>
  <si>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</si>
  <si>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</si>
  <si>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</si>
  <si>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</si>
  <si>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</si>
  <si>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</si>
  <si>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</si>
  <si>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</si>
  <si>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</si>
  <si>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</si>
  <si>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</si>
  <si>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</si>
  <si>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</si>
  <si>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</si>
  <si>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</si>
  <si>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</si>
  <si>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</si>
  <si>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</si>
  <si>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</si>
  <si>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</si>
  <si>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</si>
  <si>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</si>
  <si>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</si>
  <si>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</si>
  <si>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</si>
  <si>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</si>
  <si>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</si>
  <si>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</si>
  <si>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</si>
  <si>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</si>
  <si>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</si>
  <si>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</si>
  <si>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</si>
  <si>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</si>
  <si>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</si>
  <si>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</si>
  <si>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</si>
  <si>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</si>
  <si>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</si>
  <si>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</si>
  <si>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</si>
  <si>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</si>
  <si>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</si>
  <si>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</si>
  <si>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</si>
  <si>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</si>
  <si>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</si>
  <si>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</si>
  <si>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</si>
  <si>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</si>
  <si>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</si>
  <si>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</si>
  <si>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</si>
  <si>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</si>
  <si>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</si>
  <si>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</si>
  <si>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</si>
  <si>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</si>
  <si>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</si>
  <si>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</si>
  <si>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</si>
  <si>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</si>
  <si>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</si>
  <si>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</si>
  <si>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</si>
  <si>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</si>
  <si>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</si>
  <si>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</si>
  <si>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</si>
  <si>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</si>
  <si>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</si>
  <si>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</si>
  <si>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</si>
  <si>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</si>
  <si>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</si>
  <si>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</si>
  <si>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</si>
  <si>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</si>
  <si>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</si>
  <si>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</si>
  <si>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</si>
  <si>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</si>
  <si>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</si>
  <si>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</si>
  <si>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</si>
  <si>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</si>
  <si>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</si>
  <si>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</si>
  <si>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</si>
  <si>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</si>
  <si>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</si>
  <si>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</si>
  <si>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</si>
  <si>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</si>
  <si>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</si>
  <si>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</si>
  <si>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</si>
  <si>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</si>
  <si>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</si>
  <si>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</si>
  <si>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</si>
  <si>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</si>
  <si>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</si>
  <si>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</si>
  <si>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</si>
  <si>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</si>
  <si>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</si>
  <si>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</si>
  <si>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</si>
  <si>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</si>
  <si>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</si>
  <si>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</si>
  <si>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</si>
  <si>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</si>
  <si>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</si>
  <si>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</si>
  <si>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</si>
  <si>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</si>
  <si>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</si>
  <si>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</si>
  <si>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</si>
  <si>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</si>
  <si>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</si>
  <si>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</si>
  <si>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</si>
  <si>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</si>
  <si>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</si>
  <si>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</si>
  <si>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</si>
  <si>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</si>
  <si>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</si>
  <si>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</si>
  <si>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</si>
  <si>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</si>
  <si>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</si>
  <si>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</si>
  <si>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</si>
  <si>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</si>
  <si>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</si>
  <si>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</si>
  <si>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</si>
  <si>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</si>
  <si>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</si>
  <si>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</si>
  <si>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</si>
  <si>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</si>
  <si>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</si>
  <si>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</si>
  <si>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</si>
  <si>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</si>
  <si>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</si>
  <si>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</si>
  <si>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</si>
  <si>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</si>
  <si>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</si>
  <si>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</si>
  <si>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</si>
  <si>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</si>
  <si>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</si>
  <si>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</si>
  <si>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</si>
  <si>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</si>
  <si>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</si>
  <si>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</si>
  <si>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</si>
  <si>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</si>
  <si>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</si>
  <si>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</si>
  <si>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</si>
  <si>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</si>
  <si>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</si>
  <si>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</si>
  <si>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</si>
  <si>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</si>
  <si>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</si>
  <si>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</si>
  <si>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</si>
  <si>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</si>
  <si>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</si>
  <si>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</si>
  <si>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</si>
  <si>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</si>
  <si>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</si>
  <si>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</si>
  <si>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</si>
  <si>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</si>
  <si>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</si>
  <si>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</si>
  <si>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</si>
  <si>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</si>
  <si>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</si>
  <si>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</si>
  <si>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</si>
  <si>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</si>
  <si>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</si>
  <si>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</si>
  <si>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</si>
  <si>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</si>
  <si>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</si>
  <si>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</si>
  <si>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</si>
  <si>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</si>
  <si>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</si>
  <si>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</si>
  <si>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</si>
  <si>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</si>
  <si>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</si>
  <si>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</si>
  <si>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</si>
  <si>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</si>
  <si>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</si>
  <si>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</si>
  <si>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</si>
  <si>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</si>
  <si>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</si>
  <si>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</si>
  <si>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</si>
  <si>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</si>
  <si>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</si>
  <si>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</si>
  <si>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</si>
  <si>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</si>
  <si>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</si>
  <si>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</si>
  <si>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</si>
  <si>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</si>
  <si>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</si>
  <si>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</si>
  <si>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</si>
  <si>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</si>
  <si>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</si>
  <si>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</si>
  <si>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</si>
  <si>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</si>
  <si>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</si>
  <si>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</si>
  <si>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</si>
  <si>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</si>
  <si>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</si>
  <si>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</si>
  <si>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</si>
  <si>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</si>
  <si>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</si>
  <si>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</si>
  <si>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</si>
  <si>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</si>
  <si>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</si>
  <si>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</si>
  <si>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</si>
  <si>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</si>
  <si>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</si>
  <si>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</si>
  <si>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</si>
  <si>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</si>
  <si>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</si>
  <si>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</si>
  <si>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</si>
  <si>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</si>
  <si>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</si>
  <si>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</si>
  <si>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</si>
  <si>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</si>
  <si>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</si>
  <si>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</si>
  <si>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</si>
  <si>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</si>
  <si>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</si>
  <si>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</si>
  <si>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</si>
  <si>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</si>
  <si>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</si>
  <si>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</si>
  <si>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</si>
  <si>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</si>
  <si>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</si>
  <si>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</si>
  <si>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</si>
  <si>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</si>
  <si>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</si>
  <si>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</si>
  <si>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</si>
  <si>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</si>
  <si>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</si>
  <si>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</si>
  <si>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</si>
  <si>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</si>
  <si>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</si>
  <si>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</si>
  <si>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</si>
  <si>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</si>
  <si>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</si>
  <si>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</si>
  <si>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</si>
  <si>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</si>
  <si>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</si>
  <si>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</si>
  <si>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</si>
  <si>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</si>
  <si>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</si>
  <si>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</si>
  <si>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</si>
  <si>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</si>
  <si>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</si>
  <si>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</si>
  <si>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</si>
  <si>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</si>
  <si>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</si>
  <si>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</si>
  <si>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</si>
  <si>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</si>
  <si>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</si>
  <si>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</si>
  <si>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</si>
  <si>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</si>
  <si>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</si>
  <si>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</si>
  <si>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</si>
  <si>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</si>
  <si>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</si>
  <si>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</si>
  <si>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</si>
  <si>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</si>
  <si>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</si>
  <si>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</si>
  <si>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</si>
  <si>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</si>
  <si>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</si>
  <si>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</si>
  <si>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</si>
  <si>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</si>
  <si>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</si>
  <si>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</si>
  <si>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</si>
  <si>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</si>
  <si>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</si>
  <si>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</si>
  <si>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</si>
  <si>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</si>
  <si>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</si>
  <si>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</si>
  <si>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</si>
  <si>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</si>
  <si>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</si>
  <si>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</si>
  <si>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</si>
  <si>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</si>
  <si>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</si>
  <si>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</si>
  <si>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</si>
  <si>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</si>
  <si>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</si>
  <si>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</si>
  <si>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</si>
  <si>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</si>
  <si>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</si>
  <si>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</si>
  <si>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</si>
  <si>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</si>
  <si>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</si>
  <si>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</si>
  <si>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</si>
  <si>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</si>
  <si>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</si>
  <si>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</si>
  <si>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</si>
  <si>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</si>
  <si>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</si>
  <si>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</si>
  <si>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</si>
  <si>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</si>
  <si>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</si>
  <si>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</si>
  <si>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</si>
  <si>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</si>
  <si>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</si>
  <si>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</si>
  <si>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</si>
  <si>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</si>
  <si>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</si>
  <si>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</si>
  <si>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</si>
  <si>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</si>
  <si>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</si>
  <si>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</si>
  <si>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</si>
  <si>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</si>
  <si>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</si>
  <si>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</si>
  <si>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</si>
  <si>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</si>
  <si>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</si>
  <si>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</si>
  <si>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</si>
  <si>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</si>
  <si>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</si>
  <si>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</si>
  <si>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</si>
  <si>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</si>
  <si>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</si>
  <si>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</si>
  <si>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</si>
  <si>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</si>
  <si>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</si>
  <si>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</si>
  <si>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</si>
  <si>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</si>
  <si>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</si>
  <si>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</si>
  <si>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</si>
  <si>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</si>
  <si>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</si>
  <si>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</si>
  <si>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</si>
  <si>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</si>
  <si>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</si>
  <si>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</si>
  <si>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</si>
  <si>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</si>
  <si>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</si>
  <si>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</si>
  <si>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</si>
  <si>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</si>
  <si>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</si>
  <si>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</si>
  <si>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</si>
  <si>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</si>
  <si>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</si>
  <si>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</si>
  <si>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</si>
  <si>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</si>
  <si>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</si>
  <si>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</si>
  <si>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</si>
  <si>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</si>
  <si>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</si>
  <si>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</si>
  <si>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</si>
  <si>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</si>
  <si>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</si>
  <si>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</si>
  <si>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</si>
  <si>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</si>
  <si>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</si>
  <si>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</si>
  <si>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</si>
  <si>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</si>
  <si>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</si>
  <si>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</si>
  <si>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</si>
  <si>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</si>
  <si>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</si>
  <si>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</si>
  <si>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</si>
  <si>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</si>
  <si>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</si>
  <si>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</si>
  <si>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</si>
  <si>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</si>
  <si>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</si>
  <si>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</si>
  <si>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</si>
  <si>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</si>
  <si>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</si>
  <si>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</si>
  <si>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</si>
  <si>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</si>
  <si>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</si>
  <si>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</si>
  <si>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</si>
  <si>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</si>
  <si>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</si>
  <si>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</si>
  <si>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</si>
  <si>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</si>
  <si>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</si>
  <si>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</si>
  <si>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</si>
  <si>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</si>
  <si>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</si>
  <si>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</si>
  <si>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</si>
  <si>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</si>
  <si>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</si>
  <si>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</si>
  <si>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</si>
  <si>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</si>
  <si>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</si>
  <si>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</si>
  <si>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</si>
  <si>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</si>
  <si>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</si>
  <si>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</si>
  <si>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</si>
  <si>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</si>
  <si>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</si>
  <si>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</si>
  <si>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</si>
  <si>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</si>
  <si>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</si>
  <si>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</si>
  <si>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</si>
  <si>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</si>
  <si>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</si>
  <si>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</si>
  <si>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</si>
  <si>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</si>
  <si>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</si>
  <si>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</si>
  <si>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</si>
  <si>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</si>
  <si>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</si>
  <si>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</si>
  <si>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</si>
  <si>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</si>
  <si>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</si>
  <si>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</si>
  <si>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</si>
  <si>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</si>
  <si>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</si>
  <si>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</si>
  <si>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</si>
  <si>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</si>
  <si>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</si>
  <si>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</si>
  <si>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</si>
  <si>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</si>
  <si>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</si>
  <si>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</si>
  <si>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</si>
  <si>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</si>
  <si>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</si>
  <si>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</si>
  <si>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</si>
  <si>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</si>
  <si>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</si>
  <si>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</si>
  <si>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</si>
  <si>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</si>
  <si>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</si>
  <si>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</si>
  <si>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</si>
  <si>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</si>
  <si>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</si>
  <si>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</si>
  <si>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</si>
  <si>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</si>
  <si>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</si>
  <si>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</si>
  <si>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</si>
  <si>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</si>
  <si>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</si>
  <si>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</si>
  <si>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</si>
  <si>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</si>
  <si>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</si>
  <si>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</si>
  <si>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</si>
  <si>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</si>
  <si>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</si>
  <si>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</si>
  <si>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</si>
  <si>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</si>
  <si>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</si>
  <si>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</si>
  <si>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</si>
  <si>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</si>
  <si>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</si>
  <si>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</si>
  <si>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</si>
  <si>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</si>
  <si>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</si>
  <si>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</si>
  <si>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</si>
  <si>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</si>
  <si>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</si>
  <si>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</si>
  <si>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</si>
  <si>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</si>
  <si>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</si>
  <si>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</si>
  <si>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</si>
  <si>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</si>
  <si>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</si>
  <si>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</si>
  <si>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</si>
  <si>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</si>
  <si>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</si>
  <si>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</si>
  <si>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</si>
  <si>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</si>
  <si>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</si>
  <si>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</si>
  <si>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</si>
  <si>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</si>
  <si>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</si>
  <si>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</si>
  <si>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</si>
  <si>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</si>
  <si>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</si>
  <si>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</si>
  <si>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</si>
  <si>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</si>
  <si>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</si>
  <si>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</si>
  <si>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</si>
  <si>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</si>
  <si>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</si>
  <si>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</si>
  <si>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</si>
  <si>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</si>
  <si>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</si>
  <si>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</si>
  <si>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</si>
  <si>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</si>
  <si>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</si>
  <si>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</si>
  <si>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</si>
  <si>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</si>
  <si>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</si>
  <si>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</si>
  <si>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</si>
  <si>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</si>
  <si>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</si>
  <si>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</si>
  <si>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</si>
  <si>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</si>
  <si>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</si>
  <si>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</si>
  <si>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</si>
  <si>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</si>
  <si>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</si>
  <si>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</si>
  <si>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</si>
  <si>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</si>
  <si>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</si>
  <si>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</si>
  <si>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</si>
  <si>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</si>
  <si>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</si>
  <si>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</si>
  <si>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</si>
  <si>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</si>
  <si>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</si>
  <si>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</si>
  <si>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</si>
  <si>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</si>
  <si>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</si>
  <si>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</si>
  <si>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</si>
  <si>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</si>
  <si>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</si>
  <si>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</si>
  <si>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</si>
  <si>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</si>
  <si>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</si>
  <si>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</si>
  <si>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</si>
  <si>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</si>
  <si>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</si>
  <si>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</si>
  <si>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</si>
  <si>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</si>
  <si>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</si>
  <si>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</si>
  <si>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</si>
  <si>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</si>
  <si>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</si>
  <si>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</si>
  <si>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</si>
  <si>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ANDONI COLMENERO</t>
  </si>
  <si>
    <t>RAQUEL GARCIA-SAMPEDRO</t>
  </si>
  <si>
    <t>LUIS MOULIAA</t>
  </si>
  <si>
    <t>RODRIGO MENDAZA</t>
  </si>
  <si>
    <t>FERNANDO ESTARRONA</t>
  </si>
  <si>
    <t>IKER BASCONES</t>
  </si>
  <si>
    <t>ELOI VERGÉ</t>
  </si>
  <si>
    <t>09:00</t>
  </si>
  <si>
    <t>06:34</t>
  </si>
  <si>
    <t>01:50</t>
  </si>
  <si>
    <t>06:00</t>
  </si>
  <si>
    <t>Fantastic job as always!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</si>
</sst>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7" sqref="J7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12_116_BAS_MUN_E2025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116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45982.854166666664</v>
      </c>
      <c r="C3" s="157"/>
      <c r="D3" s="39">
        <v>560</v>
      </c>
      <c r="E3" s="29"/>
      <c r="F3" s="26">
        <f>SUBTOTAL(3,I17:I106)</f>
        <v>4</v>
      </c>
      <c r="G3" s="27">
        <f>IF(OR(D3="",D3=0),"",F3/D3)</f>
        <v>7.1428571428571426E-3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Baskonia Vitoria-Gasteiz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7.1428571428571426E-3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1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0.7142857142857143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1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3.2142857142857144</v>
      </c>
      <c r="N7" s="58"/>
      <c r="O7" s="2"/>
      <c r="P7" s="2"/>
      <c r="Q7" s="86">
        <f>SUM(R5,S5,AC16)</f>
        <v>3.2142857142857144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3.2142857142857144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116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116</v>
      </c>
      <c r="D17" s="32" t="s">
        <v>757</v>
      </c>
      <c r="E17" s="33">
        <v>1</v>
      </c>
      <c r="F17" s="36">
        <v>0</v>
      </c>
      <c r="G17" s="36">
        <v>5</v>
      </c>
      <c r="H17" s="38" t="str">
        <f>IF(I17="","",$I$14)</f>
        <v>SCOUTING</v>
      </c>
      <c r="I17" s="34">
        <v>10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3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116</v>
      </c>
      <c r="D18" s="32" t="s">
        <v>758</v>
      </c>
      <c r="E18" s="33">
        <v>1</v>
      </c>
      <c r="F18" s="36">
        <v>4</v>
      </c>
      <c r="G18" s="36">
        <v>9</v>
      </c>
      <c r="H18" s="38" t="str">
        <f t="shared" ref="H18:H81" si="8">IF(I18="","",$I$14)</f>
        <v>SCOUTING</v>
      </c>
      <c r="I18" s="34">
        <v>37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116</v>
      </c>
      <c r="D19" s="32" t="s">
        <v>759</v>
      </c>
      <c r="E19" s="33">
        <v>1</v>
      </c>
      <c r="F19" s="36">
        <v>14</v>
      </c>
      <c r="G19" s="36">
        <v>24</v>
      </c>
      <c r="H19" s="38" t="str">
        <f t="shared" si="8"/>
        <v>SCOUTING</v>
      </c>
      <c r="I19" s="34">
        <v>109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116</v>
      </c>
      <c r="D20" s="32" t="s">
        <v>760</v>
      </c>
      <c r="E20" s="33">
        <v>4</v>
      </c>
      <c r="F20" s="36">
        <v>76</v>
      </c>
      <c r="G20" s="36">
        <v>62</v>
      </c>
      <c r="H20" s="38" t="str">
        <f t="shared" si="8"/>
        <v>SCOUTING</v>
      </c>
      <c r="I20" s="34">
        <v>474</v>
      </c>
      <c r="J20" s="13" t="s">
        <v>4</v>
      </c>
      <c r="K20" s="13" t="s">
        <v>63</v>
      </c>
      <c r="L20" s="13" t="s">
        <v>75</v>
      </c>
      <c r="M20" s="13" t="s">
        <v>78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1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REPORT_E2025116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"E2025116"</v>
      </c>
      <c r="F3" s="45" t="str">
        <f t="shared" ref="F3:F16" si="0">""""&amp;B3&amp;"""" &amp; " : " &amp;C3&amp;","</f>
        <v>"name" : "E2025116",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"E116"</v>
      </c>
      <c r="F4" s="45" t="str">
        <f t="shared" si="0"/>
        <v>"cod" : "E116",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116</v>
      </c>
      <c r="F6" s="45" t="str">
        <f t="shared" si="0"/>
        <v>"number" : 116,</v>
      </c>
    </row>
    <row r="7" spans="2:6" x14ac:dyDescent="0.25">
      <c r="B7" s="43" t="s">
        <v>116</v>
      </c>
      <c r="C7" s="43" t="str">
        <f ca="1">""""&amp;TEXT('SCOUT &amp; LOGISTICS'!B3,"dd/mm/aaaa")&amp;""""</f>
        <v>"21/11/2025"</v>
      </c>
      <c r="F7" s="45" t="str">
        <f t="shared" ca="1" si="0"/>
        <v>"date" : "21/11/2025",</v>
      </c>
    </row>
    <row r="8" spans="2:6" x14ac:dyDescent="0.25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"ANDONI COLMENERO"</v>
      </c>
      <c r="F10" s="45" t="str">
        <f t="shared" si="0"/>
        <v>"Data_entry" : "ANDONI COLMENERO",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"RAQUEL GARCIA-SAMPEDRO"</v>
      </c>
      <c r="F11" s="45" t="str">
        <f t="shared" si="0"/>
        <v>"Caller_1" : "RAQUEL GARCIA-SAMPEDRO",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"LUIS MOULIAA"</v>
      </c>
      <c r="F12" s="45" t="str">
        <f t="shared" si="0"/>
        <v>"Caller_2" : "LUIS MOULIAA",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"RODRIGO MENDAZA"</v>
      </c>
      <c r="F13" s="45" t="str">
        <f t="shared" si="0"/>
        <v>"Timerkeeper" : "RODRIGO MENDAZA",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"FERNANDO ESTARRONA"</v>
      </c>
      <c r="F14" s="45" t="str">
        <f t="shared" si="0"/>
        <v>"Shotclock" : "FERNANDO ESTARRONA",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"IKER BASCONES"</v>
      </c>
      <c r="F15" s="45" t="str">
        <f t="shared" si="0"/>
        <v>"IRS" : "IKER BASCONES",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560</v>
      </c>
      <c r="F25" s="45" t="str">
        <f t="shared" ref="F25:F48" si="1">""""&amp;C25&amp;"""" &amp; " : " &amp;D25&amp;","</f>
        <v>"total_actions" : 560,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 as always! Keep it up!"</v>
      </c>
      <c r="F51" s="45" t="str">
        <f>""""&amp;B51&amp;"""" &amp; " : " &amp;C51&amp;","</f>
        <v>"comments" : "Fantastic job as always! Keep it up!",</v>
      </c>
    </row>
    <row r="52" spans="2:6" x14ac:dyDescent="0.25">
      <c r="B52" s="43" t="s">
        <v>153</v>
      </c>
      <c r="C52" s="43" t="str">
        <f>TEXT('SCOUT &amp; LOGISTICS'!F1,"0,0")</f>
        <v>12_116_BAS_MUN_E2025</v>
      </c>
      <c r="F52" s="45" t="str">
        <f>""""&amp;B52&amp;"""" &amp; " : " &amp;C52</f>
        <v>"result" : 12_116_BAS_MUN_E2025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E116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21/11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Baskonia Vitoria-Gasteiz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ANDONI COLMENERO</v>
      </c>
      <c r="C8" s="206"/>
      <c r="D8" s="206"/>
      <c r="E8" s="206"/>
      <c r="F8" s="206"/>
      <c r="G8" s="206" t="str">
        <f>IF('SCOUT &amp; LOGISTICS'!D7="","",'SCOUT &amp; LOGISTICS'!D7)</f>
        <v>RAQUEL GARCIA-SAMPEDRO</v>
      </c>
      <c r="H8" s="206"/>
      <c r="I8" s="206"/>
      <c r="J8" s="206"/>
      <c r="K8" s="206"/>
      <c r="L8" s="206" t="str">
        <f>IF('SCOUT &amp; LOGISTICS'!D8="","",'SCOUT &amp; LOGISTICS'!D8)</f>
        <v>LUIS MOULIAA</v>
      </c>
      <c r="M8" s="206"/>
      <c r="N8" s="206"/>
      <c r="O8" s="206"/>
      <c r="P8" s="206"/>
      <c r="Q8" s="206" t="str">
        <f>IF('SCOUT &amp; LOGISTICS'!D9="","",'SCOUT &amp; LOGISTICS'!D9)</f>
        <v>RODRIGO MENDAZA</v>
      </c>
      <c r="R8" s="206"/>
      <c r="S8" s="206"/>
      <c r="T8" s="206"/>
      <c r="U8" s="206"/>
      <c r="V8" s="206" t="str">
        <f>IF('SCOUT &amp; LOGISTICS'!D10="","",'SCOUT &amp; LOGISTICS'!D10)</f>
        <v>FERNANDO ESTARRONA</v>
      </c>
      <c r="W8" s="206"/>
      <c r="X8" s="206"/>
      <c r="Y8" s="206"/>
      <c r="Z8" s="206"/>
      <c r="AA8" s="206" t="str">
        <f>IF('SCOUT &amp; LOGISTICS'!D11="","",'SCOUT &amp; LOGISTICS'!D11)</f>
        <v>IKER BASCONES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560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7.1428571428571426E-3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1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Fantastic job as always!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3.2142857142857144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315E6A-D473-494C-A92F-482F9D32F129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2025-11-21T21:29:37Z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