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8" documentId="8_{8E26E4A5-BC0D-49A6-A513-5B1951699F14}" xr6:coauthVersionLast="47" xr6:coauthVersionMax="47" xr10:uidLastSave="{23905E20-64F1-4BCF-9081-80652BEA1772}"/>
  <bookViews>
    <workbookView xWindow="-108" yWindow="-108" windowWidth="23256" windowHeight="12456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<sst xmlns="http://schemas.openxmlformats.org/spreadsheetml/2006/main" count="3387" uniqueCount="848">
  <si>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</si>
  <si>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</si>
  <si>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</si>
  <si>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</si>
  <si>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</si>
  <si>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</si>
  <si>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</si>
  <si>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</si>
  <si>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</si>
  <si>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</si>
  <si>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</si>
  <si>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</si>
  <si>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</si>
  <si>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</si>
  <si>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</si>
  <si>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</si>
  <si>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</si>
  <si>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</si>
  <si>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</si>
  <si>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</si>
  <si>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</si>
  <si>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</si>
  <si>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</si>
  <si>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</si>
  <si>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</si>
  <si>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</si>
  <si>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</si>
  <si>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</si>
  <si>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</si>
  <si>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</si>
  <si>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</si>
  <si>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</si>
  <si>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</si>
  <si>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</si>
  <si>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</si>
  <si>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</si>
  <si>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</si>
  <si>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</si>
  <si>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</si>
  <si>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</si>
  <si>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</si>
  <si>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</si>
  <si>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</si>
  <si>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</si>
  <si>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</si>
  <si>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</si>
  <si>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</si>
  <si>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</si>
  <si>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</si>
  <si>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</si>
  <si>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</si>
  <si>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</si>
  <si>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</si>
  <si>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</si>
  <si>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</si>
  <si>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</si>
  <si>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</si>
  <si>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</si>
  <si>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</si>
  <si>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</si>
  <si>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</si>
  <si>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</si>
  <si>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</si>
  <si>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</si>
  <si>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</si>
  <si>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</si>
  <si>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</si>
  <si>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</si>
  <si>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</si>
  <si>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</si>
  <si>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</si>
  <si>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</si>
  <si>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</si>
  <si>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</si>
  <si>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</si>
  <si>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</si>
  <si>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</si>
  <si>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</si>
  <si>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</si>
  <si>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</si>
  <si>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</si>
  <si>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</si>
  <si>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</si>
  <si>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</si>
  <si>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</si>
  <si>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</si>
  <si>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</si>
  <si>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</si>
  <si>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</si>
  <si>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</si>
  <si>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</si>
  <si>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</si>
  <si>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</si>
  <si>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</si>
  <si>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</si>
  <si>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</si>
  <si>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</si>
  <si>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</si>
  <si>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</si>
  <si>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</si>
  <si>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</si>
  <si>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</si>
  <si>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</si>
  <si>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</si>
  <si>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</si>
  <si>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</si>
  <si>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</si>
  <si>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</si>
  <si>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</si>
  <si>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</si>
  <si>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</si>
  <si>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</si>
  <si>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</si>
  <si>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</si>
  <si>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</si>
  <si>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</si>
  <si>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</si>
  <si>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</si>
  <si>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</si>
  <si>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</si>
  <si>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</si>
  <si>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</si>
  <si>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</si>
  <si>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</si>
  <si>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</si>
  <si>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</si>
  <si>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</si>
  <si>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</si>
  <si>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</si>
  <si>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</si>
  <si>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</si>
  <si>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</si>
  <si>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</si>
  <si>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</si>
  <si>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</si>
  <si>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</si>
  <si>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</si>
  <si>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</si>
  <si>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</si>
  <si>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</si>
  <si>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</si>
  <si>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</si>
  <si>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</si>
  <si>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</si>
  <si>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</si>
  <si>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</si>
  <si>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</si>
  <si>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</si>
  <si>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</si>
  <si>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</si>
  <si>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</si>
  <si>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</si>
  <si>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</si>
  <si>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</si>
  <si>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</si>
  <si>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</si>
  <si>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</si>
  <si>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</si>
  <si>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</si>
  <si>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</si>
  <si>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</si>
  <si>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</si>
  <si>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</si>
  <si>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</si>
  <si>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</si>
  <si>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</si>
  <si>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</si>
  <si>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</si>
  <si>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</si>
  <si>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</si>
  <si>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</si>
  <si>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</si>
  <si>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</si>
  <si>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</si>
  <si>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</si>
  <si>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</si>
  <si>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</si>
  <si>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</si>
  <si>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</si>
  <si>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</si>
  <si>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</si>
  <si>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</si>
  <si>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</si>
  <si>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</si>
  <si>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</si>
  <si>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</si>
  <si>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</si>
  <si>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</si>
  <si>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</si>
  <si>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</si>
  <si>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</si>
  <si>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</si>
  <si>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</si>
  <si>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</si>
  <si>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</si>
  <si>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</si>
  <si>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</si>
  <si>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</si>
  <si>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</si>
  <si>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</si>
  <si>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</si>
  <si>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</si>
  <si>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</si>
  <si>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</si>
  <si>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</si>
  <si>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</si>
  <si>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</si>
  <si>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</si>
  <si>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</si>
  <si>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</si>
  <si>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</si>
  <si>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</si>
  <si>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</si>
  <si>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</si>
  <si>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</si>
  <si>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</si>
  <si>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</si>
  <si>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</si>
  <si>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</si>
  <si>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</si>
  <si>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</si>
  <si>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</si>
  <si>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</si>
  <si>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</si>
  <si>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</si>
  <si>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</si>
  <si>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</si>
  <si>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</si>
  <si>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</si>
  <si>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</si>
  <si>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</si>
  <si>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</si>
  <si>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</si>
  <si>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</si>
  <si>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</si>
  <si>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</si>
  <si>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</si>
  <si>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</si>
  <si>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</si>
  <si>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</si>
  <si>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</si>
  <si>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</si>
  <si>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</si>
  <si>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</si>
  <si>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</si>
  <si>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</si>
  <si>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</si>
  <si>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</si>
  <si>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</si>
  <si>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</si>
  <si>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</si>
  <si>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</si>
  <si>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</si>
  <si>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</si>
  <si>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</si>
  <si>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</si>
  <si>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</si>
  <si>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</si>
  <si>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</si>
  <si>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</si>
  <si>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</si>
  <si>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</si>
  <si>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</si>
  <si>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</si>
  <si>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</si>
  <si>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</si>
  <si>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</si>
  <si>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</si>
  <si>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</si>
  <si>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</si>
  <si>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</si>
  <si>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</si>
  <si>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</si>
  <si>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</si>
  <si>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</si>
  <si>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</si>
  <si>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</si>
  <si>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</si>
  <si>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</si>
  <si>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</si>
  <si>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</si>
  <si>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</si>
  <si>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</si>
  <si>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</si>
  <si>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</si>
  <si>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</si>
  <si>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</si>
  <si>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</si>
  <si>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</si>
  <si>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</si>
  <si>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</si>
  <si>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</si>
  <si>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</si>
  <si>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</si>
  <si>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</si>
  <si>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</si>
  <si>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</si>
  <si>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</si>
  <si>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</si>
  <si>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</si>
  <si>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</si>
  <si>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</si>
  <si>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</si>
  <si>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</si>
  <si>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</si>
  <si>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</si>
  <si>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</si>
  <si>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</si>
  <si>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</si>
  <si>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</si>
  <si>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</si>
  <si>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</si>
  <si>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</si>
  <si>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</si>
  <si>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</si>
  <si>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</si>
  <si>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</si>
  <si>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</si>
  <si>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</si>
  <si>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</si>
  <si>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</si>
  <si>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</si>
  <si>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</si>
  <si>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</si>
  <si>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</si>
  <si>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</si>
  <si>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</si>
  <si>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</si>
  <si>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</si>
  <si>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</si>
  <si>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</si>
  <si>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</si>
  <si>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</si>
  <si>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</si>
  <si>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</si>
  <si>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</si>
  <si>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</si>
  <si>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</si>
  <si>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</si>
  <si>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</si>
  <si>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</si>
  <si>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</si>
  <si>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</si>
  <si>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</si>
  <si>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</si>
  <si>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</si>
  <si>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</si>
  <si>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</si>
  <si>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</si>
  <si>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</si>
  <si>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</si>
  <si>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</si>
  <si>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</si>
  <si>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</si>
  <si>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</si>
  <si>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</si>
  <si>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</si>
  <si>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</si>
  <si>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</si>
  <si>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</si>
  <si>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</si>
  <si>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</si>
  <si>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</si>
  <si>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</si>
  <si>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</si>
  <si>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</si>
  <si>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</si>
  <si>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</si>
  <si>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</si>
  <si>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</si>
  <si>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</si>
  <si>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</si>
  <si>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</si>
  <si>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</si>
  <si>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</si>
  <si>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</si>
  <si>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</si>
  <si>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</si>
  <si>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</si>
  <si>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</si>
  <si>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</si>
  <si>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</si>
  <si>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</si>
  <si>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</si>
  <si>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</si>
  <si>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</si>
  <si>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</si>
  <si>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</si>
  <si>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</si>
  <si>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</si>
  <si>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</si>
  <si>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</si>
  <si>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</si>
  <si>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</si>
  <si>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</si>
  <si>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</si>
  <si>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</si>
  <si>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</si>
  <si>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</si>
  <si>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</si>
  <si>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</si>
  <si>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</si>
  <si>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</si>
  <si>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</si>
  <si>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</si>
  <si>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</si>
  <si>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</si>
  <si>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</si>
  <si>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</si>
  <si>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</si>
  <si>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</si>
  <si>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</si>
  <si>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</si>
  <si>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</si>
  <si>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</si>
  <si>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</si>
  <si>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</si>
  <si>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</si>
  <si>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</si>
  <si>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</si>
  <si>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</si>
  <si>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</si>
  <si>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</si>
  <si>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</si>
  <si>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</si>
  <si>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</si>
  <si>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</si>
  <si>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</si>
  <si>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</si>
  <si>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</si>
  <si>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</si>
  <si>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</si>
  <si>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</si>
  <si>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</si>
  <si>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</si>
  <si>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</si>
  <si>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</si>
  <si>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</si>
  <si>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</si>
  <si>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</si>
  <si>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</si>
  <si>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</si>
  <si>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</si>
  <si>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</si>
  <si>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</si>
  <si>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</si>
  <si>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</si>
  <si>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</si>
  <si>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</si>
  <si>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</si>
  <si>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</si>
  <si>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</si>
  <si>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</si>
  <si>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</si>
  <si>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</si>
  <si>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</si>
  <si>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</si>
  <si>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</si>
  <si>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</si>
  <si>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</si>
  <si>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</si>
  <si>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</si>
  <si>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</si>
  <si>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</si>
  <si>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</si>
  <si>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</si>
  <si>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</si>
  <si>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</si>
  <si>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</si>
  <si>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</si>
  <si>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</si>
  <si>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</si>
  <si>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</si>
  <si>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</si>
  <si>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</si>
  <si>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</si>
  <si>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</si>
  <si>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</si>
  <si>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</si>
  <si>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</si>
  <si>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</si>
  <si>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</si>
  <si>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</si>
  <si>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</si>
  <si>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</si>
  <si>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</si>
  <si>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</si>
  <si>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</si>
  <si>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</si>
  <si>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</si>
  <si>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</si>
  <si>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</si>
  <si>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</si>
  <si>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</si>
  <si>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</si>
  <si>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</si>
  <si>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</si>
  <si>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</si>
  <si>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</si>
  <si>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</si>
  <si>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</si>
  <si>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</si>
  <si>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</si>
  <si>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</si>
  <si>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</si>
  <si>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</si>
  <si>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</si>
  <si>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</si>
  <si>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</si>
  <si>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</si>
  <si>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</si>
  <si>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</si>
  <si>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</si>
  <si>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</si>
  <si>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</si>
  <si>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</si>
  <si>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</si>
  <si>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</si>
  <si>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</si>
  <si>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</si>
  <si>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</si>
  <si>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</si>
  <si>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</si>
  <si>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</si>
  <si>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</si>
  <si>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</si>
  <si>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</si>
  <si>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</si>
  <si>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</si>
  <si>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</si>
  <si>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</si>
  <si>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</si>
  <si>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</si>
  <si>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</si>
  <si>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</si>
  <si>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</si>
  <si>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</si>
  <si>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</si>
  <si>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</si>
  <si>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</si>
  <si>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</si>
  <si>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</si>
  <si>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</si>
  <si>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</si>
  <si>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</si>
  <si>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</si>
  <si>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</si>
  <si>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</si>
  <si>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</si>
  <si>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</si>
  <si>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</si>
  <si>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</si>
  <si>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</si>
  <si>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</si>
  <si>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</si>
  <si>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</si>
  <si>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</si>
  <si>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</si>
  <si>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</si>
  <si>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</si>
  <si>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</si>
  <si>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</si>
  <si>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</si>
  <si>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</si>
  <si>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</si>
  <si>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</si>
  <si>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</si>
  <si>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</si>
  <si>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</si>
  <si>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</si>
  <si>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</si>
  <si>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</si>
  <si>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</si>
  <si>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</si>
  <si>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</si>
  <si>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</si>
  <si>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</si>
  <si>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</si>
  <si>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</si>
  <si>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</si>
  <si>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</si>
  <si>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</si>
  <si>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</si>
  <si>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</si>
  <si>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</si>
  <si>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</si>
  <si>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</si>
  <si>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</si>
  <si>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</si>
  <si>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</si>
  <si>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</si>
  <si>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</si>
  <si>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</si>
  <si>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</si>
  <si>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</si>
  <si>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</si>
  <si>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</si>
  <si>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</si>
  <si>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</si>
  <si>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</si>
  <si>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</si>
  <si>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</si>
  <si>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</si>
  <si>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</si>
  <si>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</si>
  <si>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</si>
  <si>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</si>
  <si>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</si>
  <si>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</si>
  <si>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</si>
  <si>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</si>
  <si>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</si>
  <si>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</si>
  <si>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</si>
  <si>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</si>
  <si>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</si>
  <si>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</si>
  <si>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</si>
  <si>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</si>
  <si>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</si>
  <si>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</si>
  <si>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</si>
  <si>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</si>
  <si>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</si>
  <si>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</si>
  <si>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</si>
  <si>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</si>
  <si>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</si>
  <si>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</si>
  <si>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</si>
  <si>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</si>
  <si>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</si>
  <si>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</si>
  <si>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</si>
  <si>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</si>
  <si>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</si>
  <si>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</si>
  <si>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</si>
  <si>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</si>
  <si>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</si>
  <si>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</si>
  <si>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</si>
  <si>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</si>
  <si>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</si>
  <si>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</si>
  <si>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</si>
  <si>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</si>
  <si>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</si>
  <si>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</si>
  <si>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</si>
  <si>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</si>
  <si>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</si>
  <si>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</si>
  <si>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</si>
  <si>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</si>
  <si>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</si>
  <si>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</si>
  <si>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</si>
  <si>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</si>
  <si>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</si>
  <si>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</si>
  <si>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</si>
  <si>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</si>
  <si>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</si>
  <si>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</si>
  <si>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</si>
  <si>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</si>
  <si>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</si>
  <si>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</si>
  <si>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</si>
  <si>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</si>
  <si>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</si>
  <si>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</si>
  <si>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</si>
  <si>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</si>
  <si>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</si>
  <si>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</si>
  <si>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</si>
  <si>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</si>
  <si>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</si>
  <si>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</si>
  <si>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</si>
  <si>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</si>
  <si>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</si>
  <si>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</si>
  <si>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</si>
  <si>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</si>
  <si>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</si>
  <si>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</si>
  <si>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</si>
  <si>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</si>
  <si>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</si>
  <si>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</si>
  <si>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</si>
  <si>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</si>
  <si>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</si>
  <si>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</si>
  <si>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</si>
  <si>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</si>
  <si>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</si>
  <si>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</si>
  <si>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</si>
  <si>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</si>
  <si>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</si>
  <si>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</si>
  <si>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</si>
  <si>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</si>
  <si>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</si>
  <si>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</si>
  <si>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</si>
  <si>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</si>
  <si>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</si>
  <si>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</si>
  <si>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</si>
  <si>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</si>
  <si>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</si>
  <si>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</si>
  <si>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</si>
  <si>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</si>
  <si>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</si>
  <si>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</si>
  <si>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</si>
  <si>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</si>
  <si>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</si>
  <si>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</si>
  <si>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</si>
  <si>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</si>
  <si>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</si>
  <si>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</si>
  <si>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</si>
  <si>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</si>
  <si>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</si>
  <si>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</si>
  <si>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</si>
  <si>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</si>
  <si>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</si>
  <si>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</si>
  <si>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</si>
  <si>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</si>
  <si>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</si>
  <si>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</si>
  <si>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</si>
  <si>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</si>
  <si>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</si>
  <si>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</si>
  <si>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</si>
  <si>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</si>
  <si>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</si>
  <si>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</si>
  <si>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</si>
  <si>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</si>
  <si>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</si>
  <si>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</si>
  <si>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</si>
  <si>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</si>
  <si>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</si>
  <si>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</si>
  <si>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</si>
  <si>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</si>
  <si>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</si>
  <si>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</si>
  <si>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</si>
  <si>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</si>
  <si>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</si>
  <si>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</si>
  <si>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</si>
  <si>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</si>
  <si>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</si>
  <si>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</si>
  <si>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</si>
  <si>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</si>
  <si>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</si>
  <si>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</si>
  <si>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</si>
  <si>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</si>
  <si>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</si>
  <si>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</si>
  <si>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</si>
  <si>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</si>
  <si>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</si>
  <si>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</si>
  <si>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</si>
  <si>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</si>
  <si>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</si>
  <si>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</si>
  <si>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</si>
  <si>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</si>
  <si>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</si>
  <si>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</si>
  <si>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</si>
  <si>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</si>
  <si>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</si>
  <si>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</si>
  <si>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</si>
  <si>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</si>
  <si>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</si>
  <si>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</si>
  <si>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</si>
  <si>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</si>
  <si>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</si>
  <si>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</si>
  <si>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</si>
  <si>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</si>
  <si>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</si>
  <si>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</si>
  <si>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</si>
  <si>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</si>
  <si>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</si>
  <si>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</si>
  <si>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</si>
  <si>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</si>
  <si>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</si>
  <si>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</si>
  <si>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</si>
  <si>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</si>
  <si>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</si>
  <si>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</si>
  <si>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</si>
  <si>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</si>
  <si>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</si>
  <si>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</si>
  <si>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</si>
  <si>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</si>
  <si>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</si>
  <si>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</si>
  <si>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PABLO CAMPOY</t>
  </si>
  <si>
    <t>09:19</t>
  </si>
  <si>
    <t>Error DE BULTO en un rebot ofensiu després de tap</t>
  </si>
  <si>
    <t>04:30</t>
  </si>
  <si>
    <t>Un altre error de bulto en un turnover no apuntat en una violació de possessió</t>
  </si>
  <si>
    <t>C:\Users\pablo.campoy\EUROLEAGUE\EB STATS - General\SEASON 2025-26\Reports\Eurocup\PDF</t>
  </si>
  <si>
    <t>C:\Users\pablo.campoy\EUROLEAGUE\EB STATS - General\SEASON 2025-26\Reports\Eurocup</t>
  </si>
  <si>
    <t>01:56</t>
  </si>
  <si>
    <t>S'obliden d'un tap en contra. Despres esborren TOTA la seqüència. Desastre.</t>
  </si>
  <si>
    <t>S'equivoquen dos cops (coherentment) apuntant un rebot i una falta rebuda al mateix jugador equivocat. DESASTRE.</t>
  </si>
  <si>
    <t>01:34</t>
  </si>
  <si>
    <t>Apunten un robo al jugador que agafa la pilota, no qui inicia la recuperació</t>
  </si>
  <si>
    <t>09:24</t>
  </si>
  <si>
    <t>Assistència al límit però tirant cap a clara.</t>
  </si>
  <si>
    <t>04:24</t>
  </si>
  <si>
    <t>03:06</t>
  </si>
  <si>
    <t>Un altre tap rebut no apuntat correctament. MAL</t>
  </si>
  <si>
    <t>08:12</t>
  </si>
  <si>
    <t>Una altra assistència al límit però mig clara.</t>
  </si>
  <si>
    <t>04:14</t>
  </si>
  <si>
    <t>Claríssim turnover de passador… Sense comentaris.</t>
  </si>
  <si>
    <t>TATJANA CETKOVIC</t>
  </si>
  <si>
    <t>Hi guys! Please, rehearse the scoring of blocks because you have committed a few mistakes with it that led to a few errors more in the same sequences. Be also careful with assists to open players who penetrate. You missed a few too.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</si>
</sst>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12_117_BUD_TTK_U2025</v>
      </c>
      <c r="G1" s="5"/>
      <c r="H1" s="5"/>
      <c r="I1" s="5"/>
      <c r="J1" s="8" t="s">
        <v>707</v>
      </c>
      <c r="K1" s="121" t="s">
        <v>831</v>
      </c>
      <c r="L1" s="121"/>
      <c r="M1" s="122" t="s">
        <v>239</v>
      </c>
      <c r="N1" s="121" t="s">
        <v>830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117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46024.791666666664</v>
      </c>
      <c r="C3" s="157"/>
      <c r="D3" s="39">
        <v>573</v>
      </c>
      <c r="E3" s="29"/>
      <c r="F3" s="26">
        <f>SUBTOTAL(3,I17:I106)</f>
        <v>10</v>
      </c>
      <c r="G3" s="27">
        <f>IF(OR(D3="",D3=0),"",F3/D3)</f>
        <v>1.7452006980802792E-2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Buducnost VOLI Podgorica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BUD</v>
      </c>
      <c r="I4" s="5"/>
      <c r="J4" s="119" t="s">
        <v>714</v>
      </c>
      <c r="K4" s="54" t="s">
        <v>742</v>
      </c>
      <c r="L4" s="5"/>
      <c r="M4" s="167" t="s">
        <v>847</v>
      </c>
      <c r="N4" s="168"/>
      <c r="O4" s="2"/>
      <c r="P4" s="2"/>
      <c r="Q4" s="84" t="s">
        <v>175</v>
      </c>
      <c r="R4" s="94">
        <f>(IF(G3="",0,G3))</f>
        <v>1.7452006980802792E-2</v>
      </c>
      <c r="S4" s="61">
        <f>SUM(I13:M13)</f>
        <v>0</v>
      </c>
      <c r="T4" s="78"/>
      <c r="U4" s="61">
        <f>AC18</f>
        <v>6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Turk Telekom Ankara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TTK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1.7452006980802792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718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11.745200698080279</v>
      </c>
      <c r="N7" s="58"/>
      <c r="O7" s="2"/>
      <c r="P7" s="2"/>
      <c r="Q7" s="86">
        <f>SUM(R5,S5,AC16)</f>
        <v>11.745200698080279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719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11.745200698080279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846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721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117</v>
      </c>
      <c r="D17" s="32" t="s">
        <v>826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9</v>
      </c>
      <c r="J17" s="13" t="s">
        <v>4</v>
      </c>
      <c r="K17" s="13" t="s">
        <v>63</v>
      </c>
      <c r="L17" s="13" t="s">
        <v>5</v>
      </c>
      <c r="M17" s="13" t="s">
        <v>9</v>
      </c>
      <c r="N17" s="35" t="s">
        <v>827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21" x14ac:dyDescent="0.25">
      <c r="A18" s="20"/>
      <c r="B18" s="31" t="str">
        <f t="shared" si="2"/>
        <v>U2025</v>
      </c>
      <c r="C18" s="31">
        <f t="shared" si="3"/>
        <v>117</v>
      </c>
      <c r="D18" s="32" t="s">
        <v>828</v>
      </c>
      <c r="E18" s="33">
        <v>1</v>
      </c>
      <c r="F18" s="36">
        <v>11</v>
      </c>
      <c r="G18" s="36">
        <v>11</v>
      </c>
      <c r="H18" s="38" t="str">
        <f t="shared" ref="H18:H81" si="8">IF(I18="","",$I$14)</f>
        <v>SCOUTING</v>
      </c>
      <c r="I18" s="34">
        <v>44</v>
      </c>
      <c r="J18" s="13" t="s">
        <v>4</v>
      </c>
      <c r="K18" s="13" t="s">
        <v>63</v>
      </c>
      <c r="L18" s="13" t="s">
        <v>5</v>
      </c>
      <c r="M18" s="13" t="s">
        <v>9</v>
      </c>
      <c r="N18" s="35" t="s">
        <v>829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21" x14ac:dyDescent="0.25">
      <c r="A19" s="20"/>
      <c r="B19" s="31" t="str">
        <f t="shared" si="2"/>
        <v>U2025</v>
      </c>
      <c r="C19" s="31">
        <f t="shared" si="3"/>
        <v>117</v>
      </c>
      <c r="D19" s="32" t="s">
        <v>832</v>
      </c>
      <c r="E19" s="33">
        <v>1</v>
      </c>
      <c r="F19" s="36">
        <v>15</v>
      </c>
      <c r="G19" s="36">
        <v>16</v>
      </c>
      <c r="H19" s="38" t="str">
        <f t="shared" si="8"/>
        <v>SCOUTING</v>
      </c>
      <c r="I19" s="34">
        <v>80</v>
      </c>
      <c r="J19" s="13" t="s">
        <v>4</v>
      </c>
      <c r="K19" s="13" t="s">
        <v>62</v>
      </c>
      <c r="L19" s="13" t="s">
        <v>7</v>
      </c>
      <c r="M19" s="13" t="s">
        <v>30</v>
      </c>
      <c r="N19" s="35" t="s">
        <v>833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21" x14ac:dyDescent="0.25">
      <c r="A20" s="20"/>
      <c r="B20" s="31" t="str">
        <f t="shared" si="2"/>
        <v>U2025</v>
      </c>
      <c r="C20" s="31">
        <f t="shared" si="3"/>
        <v>117</v>
      </c>
      <c r="D20" s="32" t="s">
        <v>832</v>
      </c>
      <c r="E20" s="33">
        <v>1</v>
      </c>
      <c r="F20" s="36">
        <v>15</v>
      </c>
      <c r="G20" s="36">
        <v>16</v>
      </c>
      <c r="H20" s="38" t="str">
        <f t="shared" si="8"/>
        <v>SCOUTING</v>
      </c>
      <c r="I20" s="34">
        <v>92</v>
      </c>
      <c r="J20" s="13" t="s">
        <v>4</v>
      </c>
      <c r="K20" s="13" t="s">
        <v>63</v>
      </c>
      <c r="L20" s="13" t="s">
        <v>6</v>
      </c>
      <c r="M20" s="13" t="s">
        <v>168</v>
      </c>
      <c r="N20" s="35" t="s">
        <v>834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21" x14ac:dyDescent="0.25">
      <c r="A21" s="20"/>
      <c r="B21" s="31" t="str">
        <f t="shared" si="2"/>
        <v>U2025</v>
      </c>
      <c r="C21" s="31">
        <f t="shared" si="3"/>
        <v>117</v>
      </c>
      <c r="D21" s="32" t="s">
        <v>835</v>
      </c>
      <c r="E21" s="33">
        <v>1</v>
      </c>
      <c r="F21" s="36">
        <v>15</v>
      </c>
      <c r="G21" s="36">
        <v>19</v>
      </c>
      <c r="H21" s="38" t="str">
        <f t="shared" si="8"/>
        <v>SCOUTING</v>
      </c>
      <c r="I21" s="34">
        <v>99</v>
      </c>
      <c r="J21" s="13" t="s">
        <v>4</v>
      </c>
      <c r="K21" s="13" t="s">
        <v>62</v>
      </c>
      <c r="L21" s="13" t="s">
        <v>5</v>
      </c>
      <c r="M21" s="13" t="s">
        <v>10</v>
      </c>
      <c r="N21" s="35" t="s">
        <v>836</v>
      </c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117</v>
      </c>
      <c r="D22" s="32" t="s">
        <v>837</v>
      </c>
      <c r="E22" s="33">
        <v>2</v>
      </c>
      <c r="F22" s="36">
        <v>22</v>
      </c>
      <c r="G22" s="36">
        <v>25</v>
      </c>
      <c r="H22" s="38" t="str">
        <f t="shared" si="8"/>
        <v>SCOUTING</v>
      </c>
      <c r="I22" s="34">
        <v>133</v>
      </c>
      <c r="J22" s="13" t="s">
        <v>4</v>
      </c>
      <c r="K22" s="13" t="s">
        <v>62</v>
      </c>
      <c r="L22" s="13" t="s">
        <v>5</v>
      </c>
      <c r="M22" s="13" t="s">
        <v>11</v>
      </c>
      <c r="N22" s="35" t="s">
        <v>838</v>
      </c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117</v>
      </c>
      <c r="D23" s="32" t="s">
        <v>839</v>
      </c>
      <c r="E23" s="33">
        <v>2</v>
      </c>
      <c r="F23" s="36">
        <v>36</v>
      </c>
      <c r="G23" s="36">
        <v>37</v>
      </c>
      <c r="H23" s="38" t="str">
        <f t="shared" si="8"/>
        <v>SCOUTING</v>
      </c>
      <c r="I23" s="34">
        <v>208</v>
      </c>
      <c r="J23" s="13" t="s">
        <v>4</v>
      </c>
      <c r="K23" s="13" t="s">
        <v>63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117</v>
      </c>
      <c r="D24" s="32" t="s">
        <v>840</v>
      </c>
      <c r="E24" s="33">
        <v>2</v>
      </c>
      <c r="F24" s="36">
        <v>37</v>
      </c>
      <c r="G24" s="36">
        <v>39</v>
      </c>
      <c r="H24" s="38" t="str">
        <f t="shared" si="8"/>
        <v>SCOUTING</v>
      </c>
      <c r="I24" s="34">
        <v>236</v>
      </c>
      <c r="J24" s="13" t="s">
        <v>4</v>
      </c>
      <c r="K24" s="13" t="s">
        <v>62</v>
      </c>
      <c r="L24" s="13" t="s">
        <v>7</v>
      </c>
      <c r="M24" s="13" t="s">
        <v>30</v>
      </c>
      <c r="N24" s="35" t="s">
        <v>841</v>
      </c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117</v>
      </c>
      <c r="D25" s="32" t="s">
        <v>842</v>
      </c>
      <c r="E25" s="33">
        <v>3</v>
      </c>
      <c r="F25" s="36">
        <v>44</v>
      </c>
      <c r="G25" s="36">
        <v>44</v>
      </c>
      <c r="H25" s="38" t="str">
        <f t="shared" si="8"/>
        <v>SCOUTING</v>
      </c>
      <c r="I25" s="34">
        <v>319</v>
      </c>
      <c r="J25" s="13" t="s">
        <v>4</v>
      </c>
      <c r="K25" s="13" t="s">
        <v>62</v>
      </c>
      <c r="L25" s="13" t="s">
        <v>5</v>
      </c>
      <c r="M25" s="13" t="s">
        <v>11</v>
      </c>
      <c r="N25" s="35" t="s">
        <v>843</v>
      </c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117</v>
      </c>
      <c r="D26" s="32" t="s">
        <v>844</v>
      </c>
      <c r="E26" s="33">
        <v>3</v>
      </c>
      <c r="F26" s="36">
        <v>55</v>
      </c>
      <c r="G26" s="36">
        <v>54</v>
      </c>
      <c r="H26" s="38" t="str">
        <f t="shared" si="8"/>
        <v>SCOUTING</v>
      </c>
      <c r="I26" s="34">
        <v>355</v>
      </c>
      <c r="J26" s="13" t="s">
        <v>4</v>
      </c>
      <c r="K26" s="13" t="s">
        <v>63</v>
      </c>
      <c r="L26" s="13" t="s">
        <v>5</v>
      </c>
      <c r="M26" s="13" t="s">
        <v>9</v>
      </c>
      <c r="N26" s="35" t="s">
        <v>845</v>
      </c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2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3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REPORT_U2025117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"U2025117"</v>
      </c>
      <c r="F3" s="45" t="str">
        <f t="shared" ref="F3:F16" si="0">""""&amp;B3&amp;"""" &amp; " : " &amp;C3&amp;","</f>
        <v>"name" : "U2025117",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"U117"</v>
      </c>
      <c r="F4" s="45" t="str">
        <f t="shared" si="0"/>
        <v>"cod" : "U117",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117</v>
      </c>
      <c r="F6" s="45" t="str">
        <f t="shared" si="0"/>
        <v>"number" : 117,</v>
      </c>
    </row>
    <row r="7" spans="2:6" x14ac:dyDescent="0.25">
      <c r="B7" s="43" t="s">
        <v>116</v>
      </c>
      <c r="C7" s="43" t="str">
        <f ca="1">""""&amp;TEXT('SCOUT &amp; LOGISTICS'!B3,"dd/mm/aaaa")&amp;""""</f>
        <v>"02/01/2026"</v>
      </c>
      <c r="F7" s="45" t="str">
        <f t="shared" ca="1" si="0"/>
        <v>"date" : "02/01/2026",</v>
      </c>
    </row>
    <row r="8" spans="2:6" x14ac:dyDescent="0.25">
      <c r="B8" s="43" t="s">
        <v>125</v>
      </c>
      <c r="C8" s="43" t="str">
        <f>""""&amp;'SCOUT &amp; LOGISTICS'!D4 &amp;""""</f>
        <v>"Buducnost VOLI Podgorica"</v>
      </c>
      <c r="F8" s="45" t="str">
        <f t="shared" si="0"/>
        <v>"home_team" : "Buducnost VOLI Podgorica",</v>
      </c>
    </row>
    <row r="9" spans="2:6" x14ac:dyDescent="0.25">
      <c r="B9" s="43" t="s">
        <v>126</v>
      </c>
      <c r="C9" s="43" t="str">
        <f>""""&amp;'SCOUT &amp; LOGISTICS'!D5&amp;""""</f>
        <v>"Turk Telekom Ankara"</v>
      </c>
      <c r="F9" s="45" t="str">
        <f t="shared" si="0"/>
        <v>"away_team" : "Turk Telekom Ankara",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"SINISA SEKULIC"</v>
      </c>
      <c r="F10" s="45" t="str">
        <f t="shared" si="0"/>
        <v>"Data_entry" : "SINISA SEKULIC",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"PETAR VUJACIC"</v>
      </c>
      <c r="F11" s="45" t="str">
        <f t="shared" si="0"/>
        <v>"Caller_1" : "PETAR VUJACIC",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"LAZAR VUJICIC"</v>
      </c>
      <c r="F12" s="45" t="str">
        <f t="shared" si="0"/>
        <v>"Caller_2" : "LAZAR VUJICIC",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"TATJANA CETKOVIC"</v>
      </c>
      <c r="F13" s="45" t="str">
        <f t="shared" si="0"/>
        <v>"Timerkeeper" : "TATJANA CETKOVIC",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573</v>
      </c>
      <c r="F25" s="45" t="str">
        <f t="shared" ref="F25:F48" si="1">""""&amp;C25&amp;"""" &amp; " : " &amp;D25&amp;","</f>
        <v>"total_actions" : 573,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"1,7%"</v>
      </c>
      <c r="F27" s="45" t="str">
        <f t="shared" si="1"/>
        <v>"%_corrections" : "1,7%",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"Hi guys! Please, rehearse the scoring of blocks because you have committed a few mistakes with it that led to a few errors more in the same sequences. Be also careful with assists to open players who penetrate. You missed a few too."</v>
      </c>
      <c r="F51" s="45" t="str">
        <f>""""&amp;B51&amp;"""" &amp; " : " &amp;C51&amp;","</f>
        <v>"comments" : "Hi guys! Please, rehearse the scoring of blocks because you have committed a few mistakes with it that led to a few errors more in the same sequences. Be also careful with assists to open players who penetrate. You missed a few too.",</v>
      </c>
    </row>
    <row r="52" spans="2:6" x14ac:dyDescent="0.25">
      <c r="B52" s="43" t="s">
        <v>153</v>
      </c>
      <c r="C52" s="43" t="str">
        <f>TEXT('SCOUT &amp; LOGISTICS'!F1,"0,0")</f>
        <v>12_117_BUD_TTK_U2025</v>
      </c>
      <c r="F52" s="45" t="str">
        <f>""""&amp;B52&amp;"""" &amp; " : " &amp;C52</f>
        <v>"result" : 12_117_BUD_TTK_U2025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U117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Buducnost Voli Podgorica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Turk Telekom Ankara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SINISA SEKULIC</v>
      </c>
      <c r="C8" s="206"/>
      <c r="D8" s="206"/>
      <c r="E8" s="206"/>
      <c r="F8" s="206"/>
      <c r="G8" s="206" t="str">
        <f>IF('SCOUT &amp; LOGISTICS'!D7="","",'SCOUT &amp; LOGISTICS'!D7)</f>
        <v>PETAR VUJACIC</v>
      </c>
      <c r="H8" s="206"/>
      <c r="I8" s="206"/>
      <c r="J8" s="206"/>
      <c r="K8" s="206"/>
      <c r="L8" s="206" t="str">
        <f>IF('SCOUT &amp; LOGISTICS'!D8="","",'SCOUT &amp; LOGISTICS'!D8)</f>
        <v>LAZAR VUJICIC</v>
      </c>
      <c r="M8" s="206"/>
      <c r="N8" s="206"/>
      <c r="O8" s="206"/>
      <c r="P8" s="206"/>
      <c r="Q8" s="206" t="str">
        <f>IF('SCOUT &amp; LOGISTICS'!D9="","",'SCOUT &amp; LOGISTICS'!D9)</f>
        <v>TATJANA CETKOVIC</v>
      </c>
      <c r="R8" s="206"/>
      <c r="S8" s="206"/>
      <c r="T8" s="206"/>
      <c r="U8" s="206"/>
      <c r="V8" s="206" t="str">
        <f>IF('SCOUT &amp; LOGISTICS'!D10="","",'SCOUT &amp; LOGISTICS'!D10)</f>
        <v>KAROLINA RADINOVIC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1.7452006980802792E-2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5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5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6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Hi guys! Please, rehearse the scoring of blocks because you have committed a few mistakes with it that led to a few errors more in the same sequences. Be also careful with assists to open players who penetrate. You missed a few too.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11.745200698080279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86D9AF-B974-40EA-8FCA-134FFC6F93B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2025-12-30T20:30:08Z</cp:lastPrinted>
  <dcterms:created xsi:type="dcterms:W3CDTF">2023-09-19T19:50:35Z</dcterms:created>
  <dcterms:modified xsi:type="dcterms:W3CDTF">2025-12-30T20:31:08Z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