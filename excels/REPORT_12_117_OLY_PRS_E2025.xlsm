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4" documentId="8_{8C437E77-EF57-46CC-BC0D-A7299F5447E4}" xr6:coauthVersionLast="47" xr6:coauthVersionMax="47" xr10:uidLastSave="{042292D1-AA3E-4AA0-9BF1-36196D9B9EE4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<sst xmlns="http://schemas.openxmlformats.org/spreadsheetml/2006/main" count="3280" uniqueCount="766">
  <si>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</si>
  <si>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</si>
  <si>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</si>
  <si>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</si>
  <si>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</si>
  <si>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</si>
  <si>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</si>
  <si>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</si>
  <si>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</si>
  <si>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</si>
  <si>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</si>
  <si>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</si>
  <si>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</si>
  <si>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</si>
  <si>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</si>
  <si>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</si>
  <si>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</si>
  <si>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</si>
  <si>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</si>
  <si>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</si>
  <si>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</si>
  <si>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</si>
  <si>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</si>
  <si>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</si>
  <si>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</si>
  <si>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</si>
  <si>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</si>
  <si>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</si>
  <si>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</si>
  <si>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</si>
  <si>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</si>
  <si>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</si>
  <si>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</si>
  <si>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</si>
  <si>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</si>
  <si>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</si>
  <si>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</si>
  <si>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</si>
  <si>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</si>
  <si>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</si>
  <si>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</si>
  <si>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</si>
  <si>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</si>
  <si>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</si>
  <si>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</si>
  <si>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</si>
  <si>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</si>
  <si>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</si>
  <si>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</si>
  <si>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</si>
  <si>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</si>
  <si>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</si>
  <si>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</si>
  <si>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</si>
  <si>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</si>
  <si>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</si>
  <si>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</si>
  <si>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</si>
  <si>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</si>
  <si>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</si>
  <si>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</si>
  <si>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</si>
  <si>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</si>
  <si>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</si>
  <si>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</si>
  <si>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</si>
  <si>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</si>
  <si>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</si>
  <si>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</si>
  <si>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</si>
  <si>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</si>
  <si>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</si>
  <si>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</si>
  <si>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</si>
  <si>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</si>
  <si>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</si>
  <si>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</si>
  <si>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</si>
  <si>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</si>
  <si>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</si>
  <si>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</si>
  <si>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</si>
  <si>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</si>
  <si>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</si>
  <si>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</si>
  <si>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</si>
  <si>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</si>
  <si>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</si>
  <si>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</si>
  <si>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</si>
  <si>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</si>
  <si>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</si>
  <si>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</si>
  <si>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</si>
  <si>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</si>
  <si>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</si>
  <si>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</si>
  <si>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</si>
  <si>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</si>
  <si>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</si>
  <si>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</si>
  <si>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</si>
  <si>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</si>
  <si>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</si>
  <si>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</si>
  <si>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</si>
  <si>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</si>
  <si>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</si>
  <si>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</si>
  <si>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</si>
  <si>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</si>
  <si>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</si>
  <si>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</si>
  <si>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</si>
  <si>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</si>
  <si>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</si>
  <si>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</si>
  <si>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</si>
  <si>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</si>
  <si>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</si>
  <si>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</si>
  <si>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</si>
  <si>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</si>
  <si>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</si>
  <si>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</si>
  <si>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</si>
  <si>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</si>
  <si>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</si>
  <si>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</si>
  <si>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</si>
  <si>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</si>
  <si>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</si>
  <si>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</si>
  <si>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</si>
  <si>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</si>
  <si>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</si>
  <si>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</si>
  <si>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</si>
  <si>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</si>
  <si>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</si>
  <si>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</si>
  <si>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</si>
  <si>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</si>
  <si>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</si>
  <si>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</si>
  <si>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</si>
  <si>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</si>
  <si>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</si>
  <si>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</si>
  <si>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</si>
  <si>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</si>
  <si>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</si>
  <si>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</si>
  <si>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</si>
  <si>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</si>
  <si>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</si>
  <si>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</si>
  <si>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</si>
  <si>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</si>
  <si>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</si>
  <si>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</si>
  <si>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</si>
  <si>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</si>
  <si>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</si>
  <si>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</si>
  <si>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</si>
  <si>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</si>
  <si>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</si>
  <si>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</si>
  <si>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</si>
  <si>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</si>
  <si>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</si>
  <si>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</si>
  <si>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</si>
  <si>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</si>
  <si>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</si>
  <si>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</si>
  <si>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</si>
  <si>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</si>
  <si>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</si>
  <si>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</si>
  <si>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</si>
  <si>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</si>
  <si>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</si>
  <si>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</si>
  <si>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</si>
  <si>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</si>
  <si>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</si>
  <si>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</si>
  <si>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</si>
  <si>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</si>
  <si>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</si>
  <si>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</si>
  <si>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</si>
  <si>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</si>
  <si>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</si>
  <si>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</si>
  <si>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</si>
  <si>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</si>
  <si>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</si>
  <si>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</si>
  <si>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</si>
  <si>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</si>
  <si>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</si>
  <si>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</si>
  <si>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</si>
  <si>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</si>
  <si>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</si>
  <si>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</si>
  <si>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</si>
  <si>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</si>
  <si>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</si>
  <si>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</si>
  <si>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</si>
  <si>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</si>
  <si>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</si>
  <si>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</si>
  <si>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</si>
  <si>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</si>
  <si>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</si>
  <si>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</si>
  <si>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</si>
  <si>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</si>
  <si>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</si>
  <si>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</si>
  <si>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</si>
  <si>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</si>
  <si>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</si>
  <si>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</si>
  <si>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</si>
  <si>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</si>
  <si>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</si>
  <si>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</si>
  <si>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</si>
  <si>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</si>
  <si>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</si>
  <si>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</si>
  <si>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</si>
  <si>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</si>
  <si>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</si>
  <si>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</si>
  <si>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</si>
  <si>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</si>
  <si>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</si>
  <si>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</si>
  <si>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</si>
  <si>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</si>
  <si>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</si>
  <si>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</si>
  <si>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</si>
  <si>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</si>
  <si>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</si>
  <si>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</si>
  <si>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</si>
  <si>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</si>
  <si>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</si>
  <si>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</si>
  <si>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</si>
  <si>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</si>
  <si>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</si>
  <si>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</si>
  <si>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</si>
  <si>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</si>
  <si>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</si>
  <si>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</si>
  <si>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</si>
  <si>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</si>
  <si>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</si>
  <si>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</si>
  <si>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</si>
  <si>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</si>
  <si>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</si>
  <si>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</si>
  <si>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</si>
  <si>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</si>
  <si>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</si>
  <si>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</si>
  <si>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</si>
  <si>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</si>
  <si>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</si>
  <si>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</si>
  <si>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</si>
  <si>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</si>
  <si>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</si>
  <si>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</si>
  <si>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</si>
  <si>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</si>
  <si>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</si>
  <si>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</si>
  <si>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</si>
  <si>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</si>
  <si>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</si>
  <si>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</si>
  <si>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</si>
  <si>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</si>
  <si>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</si>
  <si>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</si>
  <si>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</si>
  <si>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</si>
  <si>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</si>
  <si>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</si>
  <si>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</si>
  <si>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</si>
  <si>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</si>
  <si>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</si>
  <si>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</si>
  <si>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</si>
  <si>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</si>
  <si>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</si>
  <si>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</si>
  <si>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</si>
  <si>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</si>
  <si>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</si>
  <si>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</si>
  <si>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</si>
  <si>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</si>
  <si>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</si>
  <si>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</si>
  <si>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</si>
  <si>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</si>
  <si>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</si>
  <si>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</si>
  <si>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</si>
  <si>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</si>
  <si>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</si>
  <si>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</si>
  <si>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</si>
  <si>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</si>
  <si>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</si>
  <si>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</si>
  <si>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</si>
  <si>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</si>
  <si>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</si>
  <si>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</si>
  <si>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</si>
  <si>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</si>
  <si>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</si>
  <si>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</si>
  <si>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</si>
  <si>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</si>
  <si>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</si>
  <si>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</si>
  <si>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</si>
  <si>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</si>
  <si>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</si>
  <si>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</si>
  <si>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</si>
  <si>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</si>
  <si>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</si>
  <si>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</si>
  <si>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</si>
  <si>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</si>
  <si>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</si>
  <si>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</si>
  <si>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</si>
  <si>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</si>
  <si>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</si>
  <si>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</si>
  <si>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</si>
  <si>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</si>
  <si>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</si>
  <si>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</si>
  <si>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</si>
  <si>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</si>
  <si>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</si>
  <si>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</si>
  <si>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</si>
  <si>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</si>
  <si>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</si>
  <si>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</si>
  <si>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</si>
  <si>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</si>
  <si>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</si>
  <si>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</si>
  <si>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</si>
  <si>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</si>
  <si>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</si>
  <si>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</si>
  <si>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</si>
  <si>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</si>
  <si>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</si>
  <si>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</si>
  <si>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</si>
  <si>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</si>
  <si>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</si>
  <si>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</si>
  <si>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</si>
  <si>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</si>
  <si>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</si>
  <si>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</si>
  <si>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</si>
  <si>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</si>
  <si>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</si>
  <si>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</si>
  <si>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</si>
  <si>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</si>
  <si>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</si>
  <si>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</si>
  <si>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</si>
  <si>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</si>
  <si>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</si>
  <si>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</si>
  <si>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</si>
  <si>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</si>
  <si>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</si>
  <si>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</si>
  <si>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</si>
  <si>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</si>
  <si>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</si>
  <si>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</si>
  <si>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</si>
  <si>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</si>
  <si>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</si>
  <si>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</si>
  <si>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</si>
  <si>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</si>
  <si>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</si>
  <si>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</si>
  <si>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</si>
  <si>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</si>
  <si>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</si>
  <si>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</si>
  <si>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</si>
  <si>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</si>
  <si>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</si>
  <si>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</si>
  <si>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</si>
  <si>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</si>
  <si>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</si>
  <si>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</si>
  <si>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</si>
  <si>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</si>
  <si>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</si>
  <si>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</si>
  <si>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</si>
  <si>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</si>
  <si>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</si>
  <si>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</si>
  <si>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</si>
  <si>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</si>
  <si>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</si>
  <si>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</si>
  <si>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</si>
  <si>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</si>
  <si>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</si>
  <si>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</si>
  <si>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</si>
  <si>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</si>
  <si>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</si>
  <si>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</si>
  <si>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</si>
  <si>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</si>
  <si>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</si>
  <si>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</si>
  <si>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</si>
  <si>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</si>
  <si>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</si>
  <si>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</si>
  <si>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</si>
  <si>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</si>
  <si>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</si>
  <si>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</si>
  <si>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</si>
  <si>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</si>
  <si>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</si>
  <si>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</si>
  <si>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</si>
  <si>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</si>
  <si>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</si>
  <si>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</si>
  <si>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</si>
  <si>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</si>
  <si>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</si>
  <si>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</si>
  <si>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</si>
  <si>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</si>
  <si>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</si>
  <si>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</si>
  <si>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</si>
  <si>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</si>
  <si>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</si>
  <si>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</si>
  <si>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</si>
  <si>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</si>
  <si>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</si>
  <si>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</si>
  <si>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</si>
  <si>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</si>
  <si>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</si>
  <si>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</si>
  <si>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</si>
  <si>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</si>
  <si>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</si>
  <si>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</si>
  <si>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</si>
  <si>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</si>
  <si>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</si>
  <si>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</si>
  <si>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</si>
  <si>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</si>
  <si>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</si>
  <si>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</si>
  <si>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</si>
  <si>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</si>
  <si>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</si>
  <si>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</si>
  <si>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</si>
  <si>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</si>
  <si>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</si>
  <si>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</si>
  <si>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</si>
  <si>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</si>
  <si>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</si>
  <si>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</si>
  <si>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</si>
  <si>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</si>
  <si>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</si>
  <si>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</si>
  <si>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</si>
  <si>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</si>
  <si>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</si>
  <si>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</si>
  <si>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</si>
  <si>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</si>
  <si>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</si>
  <si>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</si>
  <si>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</si>
  <si>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</si>
  <si>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</si>
  <si>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</si>
  <si>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</si>
  <si>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</si>
  <si>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</si>
  <si>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</si>
  <si>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</si>
  <si>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</si>
  <si>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</si>
  <si>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</si>
  <si>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</si>
  <si>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</si>
  <si>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</si>
  <si>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</si>
  <si>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</si>
  <si>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</si>
  <si>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</si>
  <si>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</si>
  <si>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</si>
  <si>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</si>
  <si>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</si>
  <si>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</si>
  <si>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</si>
  <si>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</si>
  <si>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</si>
  <si>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</si>
  <si>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</si>
  <si>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</si>
  <si>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</si>
  <si>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</si>
  <si>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</si>
  <si>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</si>
  <si>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</si>
  <si>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</si>
  <si>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</si>
  <si>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</si>
  <si>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</si>
  <si>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</si>
  <si>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</si>
  <si>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</si>
  <si>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</si>
  <si>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</si>
  <si>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</si>
  <si>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</si>
  <si>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</si>
  <si>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</si>
  <si>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</si>
  <si>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</si>
  <si>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</si>
  <si>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</si>
  <si>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</si>
  <si>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</si>
  <si>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</si>
  <si>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</si>
  <si>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</si>
  <si>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</si>
  <si>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</si>
  <si>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</si>
  <si>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</si>
  <si>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</si>
  <si>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</si>
  <si>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</si>
  <si>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</si>
  <si>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</si>
  <si>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</si>
  <si>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</si>
  <si>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</si>
  <si>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</si>
  <si>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</si>
  <si>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</si>
  <si>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</si>
  <si>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</si>
  <si>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</si>
  <si>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</si>
  <si>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</si>
  <si>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</si>
  <si>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</si>
  <si>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</si>
  <si>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</si>
  <si>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</si>
  <si>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</si>
  <si>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</si>
  <si>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</si>
  <si>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</si>
  <si>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</si>
  <si>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</si>
  <si>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</si>
  <si>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</si>
  <si>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</si>
  <si>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</si>
  <si>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</si>
  <si>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</si>
  <si>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</si>
  <si>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</si>
  <si>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</si>
  <si>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</si>
  <si>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</si>
  <si>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</si>
  <si>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</si>
  <si>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</si>
  <si>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</si>
  <si>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</si>
  <si>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</si>
  <si>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</si>
  <si>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</si>
  <si>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</si>
  <si>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</si>
  <si>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</si>
  <si>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</si>
  <si>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</si>
  <si>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</si>
  <si>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</si>
  <si>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</si>
  <si>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</si>
  <si>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</si>
  <si>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</si>
  <si>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</si>
  <si>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</si>
  <si>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</si>
  <si>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</si>
  <si>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</si>
  <si>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</si>
  <si>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</si>
  <si>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</si>
  <si>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</si>
  <si>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</si>
  <si>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</si>
  <si>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</si>
  <si>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</si>
  <si>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</si>
  <si>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</si>
  <si>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</si>
  <si>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</si>
  <si>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</si>
  <si>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</si>
  <si>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</si>
  <si>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</si>
  <si>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</si>
  <si>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</si>
  <si>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</si>
  <si>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</si>
  <si>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</si>
  <si>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</si>
  <si>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</si>
  <si>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</si>
  <si>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</si>
  <si>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</si>
  <si>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</si>
  <si>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</si>
  <si>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</si>
  <si>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</si>
  <si>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</si>
  <si>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</si>
  <si>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</si>
  <si>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</si>
  <si>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</si>
  <si>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</si>
  <si>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</si>
  <si>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</si>
  <si>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</si>
  <si>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</si>
  <si>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</si>
  <si>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</si>
  <si>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</si>
  <si>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</si>
  <si>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</si>
  <si>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</si>
  <si>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</si>
  <si>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</si>
  <si>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</si>
  <si>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</si>
  <si>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</si>
  <si>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</si>
  <si>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</si>
  <si>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</si>
  <si>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</si>
  <si>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</si>
  <si>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</si>
  <si>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</si>
  <si>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</si>
  <si>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</si>
  <si>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</si>
  <si>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</si>
  <si>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</si>
  <si>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</si>
  <si>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</si>
  <si>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</si>
  <si>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</si>
  <si>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</si>
  <si>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</si>
  <si>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</si>
  <si>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</si>
  <si>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</si>
  <si>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</si>
  <si>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</si>
  <si>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</si>
  <si>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</si>
  <si>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</si>
  <si>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</si>
  <si>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</si>
  <si>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</si>
  <si>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</si>
  <si>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</si>
  <si>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</si>
  <si>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</si>
  <si>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</si>
  <si>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</si>
  <si>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</si>
  <si>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</si>
  <si>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</si>
  <si>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</si>
  <si>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</si>
  <si>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</si>
  <si>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</si>
  <si>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</si>
  <si>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</si>
  <si>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</si>
  <si>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</si>
  <si>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</si>
  <si>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</si>
  <si>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</si>
  <si>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</si>
  <si>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</si>
  <si>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KONSTANTINOS KRANIOTIS</t>
  </si>
  <si>
    <t>ANASTASIOS KARIOFYLIS</t>
  </si>
  <si>
    <t>ATHINA KAROUMPALOU</t>
  </si>
  <si>
    <t>VASILEIOS KARAGKIOULES</t>
  </si>
  <si>
    <t>MINAS SOLON</t>
  </si>
  <si>
    <t>THEODOROS DELIGIANNIS</t>
  </si>
  <si>
    <t>HECTOR GUILLEN</t>
  </si>
  <si>
    <t>5:02</t>
  </si>
  <si>
    <t>9:15</t>
  </si>
  <si>
    <t>1:24</t>
  </si>
  <si>
    <t>7:04</t>
  </si>
  <si>
    <t>9:11</t>
  </si>
  <si>
    <t>9:10</t>
  </si>
  <si>
    <t>0:52</t>
  </si>
  <si>
    <t>Good job. Just be careful with the tipped rebounds.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</si>
</sst>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12_117_OLY_PRS_E2025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117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45982.885416666664</v>
      </c>
      <c r="C3" s="157"/>
      <c r="D3" s="39">
        <v>689</v>
      </c>
      <c r="E3" s="29"/>
      <c r="F3" s="26">
        <f>SUBTOTAL(3,I17:I106)</f>
        <v>7</v>
      </c>
      <c r="G3" s="27">
        <f>IF(OR(D3="",D3=0),"",F3/D3)</f>
        <v>1.0159651669085631E-2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67" t="s">
        <v>765</v>
      </c>
      <c r="N4" s="168"/>
      <c r="O4" s="2"/>
      <c r="P4" s="2"/>
      <c r="Q4" s="84" t="s">
        <v>175</v>
      </c>
      <c r="R4" s="94">
        <f>(IF(G3="",0,G3))</f>
        <v>1.0159651669085631E-2</v>
      </c>
      <c r="S4" s="61">
        <f>SUM(I13:M13)</f>
        <v>0</v>
      </c>
      <c r="T4" s="78"/>
      <c r="U4" s="61">
        <f>AC18</f>
        <v>5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1.0159651669085632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5.515965166908563</v>
      </c>
      <c r="N7" s="58"/>
      <c r="O7" s="2"/>
      <c r="P7" s="2"/>
      <c r="Q7" s="86">
        <f>SUM(R5,S5,AC16)</f>
        <v>5.515965166908563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5.515965166908563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117</v>
      </c>
      <c r="D17" s="32" t="s">
        <v>758</v>
      </c>
      <c r="E17" s="33">
        <v>1</v>
      </c>
      <c r="F17" s="36">
        <v>8</v>
      </c>
      <c r="G17" s="36">
        <v>10</v>
      </c>
      <c r="H17" s="38" t="str">
        <f>IF(I17="","",$I$14)</f>
        <v>SCOUTING</v>
      </c>
      <c r="I17" s="34">
        <v>71</v>
      </c>
      <c r="J17" s="13" t="s">
        <v>4</v>
      </c>
      <c r="K17" s="13" t="s">
        <v>62</v>
      </c>
      <c r="L17" s="13" t="s">
        <v>6</v>
      </c>
      <c r="M17" s="13" t="s">
        <v>30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117</v>
      </c>
      <c r="D18" s="32" t="s">
        <v>759</v>
      </c>
      <c r="E18" s="33">
        <v>2</v>
      </c>
      <c r="F18" s="36">
        <v>24</v>
      </c>
      <c r="G18" s="36">
        <v>29</v>
      </c>
      <c r="H18" s="38" t="str">
        <f t="shared" ref="H18:H81" si="8">IF(I18="","",$I$14)</f>
        <v>SCOUTING</v>
      </c>
      <c r="I18" s="34">
        <v>173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117</v>
      </c>
      <c r="D19" s="32" t="s">
        <v>760</v>
      </c>
      <c r="E19" s="33">
        <v>2</v>
      </c>
      <c r="F19" s="36">
        <v>52</v>
      </c>
      <c r="G19" s="36">
        <v>44</v>
      </c>
      <c r="H19" s="38" t="str">
        <f t="shared" si="8"/>
        <v>SCOUTING</v>
      </c>
      <c r="I19" s="34">
        <v>308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117</v>
      </c>
      <c r="D20" s="32" t="s">
        <v>761</v>
      </c>
      <c r="E20" s="33">
        <v>3</v>
      </c>
      <c r="F20" s="36">
        <v>63</v>
      </c>
      <c r="G20" s="36">
        <v>53</v>
      </c>
      <c r="H20" s="38" t="str">
        <f t="shared" si="8"/>
        <v>SCOUTING</v>
      </c>
      <c r="I20" s="34">
        <v>403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117</v>
      </c>
      <c r="D21" s="32" t="s">
        <v>762</v>
      </c>
      <c r="E21" s="33">
        <v>4</v>
      </c>
      <c r="F21" s="36">
        <v>75</v>
      </c>
      <c r="G21" s="36">
        <v>71</v>
      </c>
      <c r="H21" s="38" t="str">
        <f t="shared" si="8"/>
        <v>SCOUTING</v>
      </c>
      <c r="I21" s="34">
        <v>521</v>
      </c>
      <c r="J21" s="13" t="s">
        <v>4</v>
      </c>
      <c r="K21" s="13" t="s">
        <v>63</v>
      </c>
      <c r="L21" s="13" t="s">
        <v>5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117</v>
      </c>
      <c r="D22" s="32" t="s">
        <v>763</v>
      </c>
      <c r="E22" s="33">
        <v>4</v>
      </c>
      <c r="F22" s="36">
        <v>75</v>
      </c>
      <c r="G22" s="36">
        <v>72</v>
      </c>
      <c r="H22" s="38" t="str">
        <f t="shared" si="8"/>
        <v>SCOUTING</v>
      </c>
      <c r="I22" s="34">
        <v>524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117</v>
      </c>
      <c r="D23" s="32" t="s">
        <v>764</v>
      </c>
      <c r="E23" s="33">
        <v>4</v>
      </c>
      <c r="F23" s="36">
        <v>95</v>
      </c>
      <c r="G23" s="36">
        <v>83</v>
      </c>
      <c r="H23" s="38" t="str">
        <f t="shared" si="8"/>
        <v>SCOUTING</v>
      </c>
      <c r="I23" s="34">
        <v>668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REPORT_E2025117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"E2025117"</v>
      </c>
      <c r="F3" s="45" t="str">
        <f t="shared" ref="F3:F16" si="0">""""&amp;B3&amp;"""" &amp; " : " &amp;C3&amp;","</f>
        <v>"name" : "E2025117",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"E117"</v>
      </c>
      <c r="F4" s="45" t="str">
        <f t="shared" si="0"/>
        <v>"cod" : "E117",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117</v>
      </c>
      <c r="F6" s="45" t="str">
        <f t="shared" si="0"/>
        <v>"number" : 117,</v>
      </c>
    </row>
    <row r="7" spans="2:6" x14ac:dyDescent="0.25">
      <c r="B7" s="43" t="s">
        <v>116</v>
      </c>
      <c r="C7" s="43" t="str">
        <f ca="1">""""&amp;TEXT('SCOUT &amp; LOGISTICS'!B3,"dd/mm/aaaa")&amp;""""</f>
        <v>"21/11/Friday"</v>
      </c>
      <c r="F7" s="45" t="str">
        <f t="shared" ca="1" si="0"/>
        <v>"date" : "21/11/Friday",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"VASILEIOS KARAGKIOULES"</v>
      </c>
      <c r="F13" s="45" t="str">
        <f t="shared" si="0"/>
        <v>"Timerkeeper" : "VASILEIOS KARAGKIOULES",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"MINAS SOLON"</v>
      </c>
      <c r="F14" s="45" t="str">
        <f t="shared" si="0"/>
        <v>"Shotclock" : "MINAS SOLON",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"THEODOROS DELIGIANNIS"</v>
      </c>
      <c r="F15" s="45" t="str">
        <f t="shared" si="0"/>
        <v>"IRS" : "THEODOROS DELIGIANNIS",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689</v>
      </c>
      <c r="F25" s="45" t="str">
        <f t="shared" ref="F25:F48" si="1">""""&amp;C25&amp;"""" &amp; " : " &amp;D25&amp;","</f>
        <v>"total_actions" : 689,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job. Just be careful with the tipped rebounds. Keep it up!"</v>
      </c>
      <c r="F51" s="45" t="str">
        <f>""""&amp;B51&amp;"""" &amp; " : " &amp;C51&amp;","</f>
        <v>"comments" : "Good job. Just be careful with the tipped rebounds. Keep it up!",</v>
      </c>
    </row>
    <row r="52" spans="2:6" x14ac:dyDescent="0.25">
      <c r="B52" s="43" t="s">
        <v>153</v>
      </c>
      <c r="C52" s="43" t="str">
        <f>TEXT('SCOUT &amp; LOGISTICS'!F1,"0,0")</f>
        <v>12_117_OLY_PRS_E2025</v>
      </c>
      <c r="F52" s="45" t="str">
        <f>""""&amp;B52&amp;"""" &amp; " : " &amp;C52</f>
        <v>"result" : 12_117_OLY_PRS_E2025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E117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21/11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VASILEIOS KARAGKIOULES</v>
      </c>
      <c r="R8" s="206"/>
      <c r="S8" s="206"/>
      <c r="T8" s="206"/>
      <c r="U8" s="206"/>
      <c r="V8" s="206" t="str">
        <f>IF('SCOUT &amp; LOGISTICS'!D10="","",'SCOUT &amp; LOGISTICS'!D10)</f>
        <v>MINAS SOLON</v>
      </c>
      <c r="W8" s="206"/>
      <c r="X8" s="206"/>
      <c r="Y8" s="206"/>
      <c r="Z8" s="206"/>
      <c r="AA8" s="206" t="str">
        <f>IF('SCOUT &amp; LOGISTICS'!D11="","",'SCOUT &amp; LOGISTICS'!D11)</f>
        <v>THEODOROS DELIGIANNIS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689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1.0159651669085631E-2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job. Just be careful with the tipped rebounds.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5.515965166908563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F1455A-FD14-4078-B817-7E31313BEF2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2025-11-21T22:05:04Z</cp:lastPrinted>
  <dcterms:created xsi:type="dcterms:W3CDTF">2023-09-19T19:50:35Z</dcterms:created>
  <dcterms:modified xsi:type="dcterms:W3CDTF">2025-11-21T22:05:06Z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