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69" documentId="8_{B8AE3AD0-1F16-4B68-98A3-B281590E2211}" xr6:coauthVersionLast="47" xr6:coauthVersionMax="47" xr10:uidLastSave="{3746458B-AEA2-4E72-8D90-9982423BDC6A}"/>
  <bookViews>
    <workbookView minimized="1" xWindow="40785" yWindow="4920" windowWidth="14400" windowHeight="7275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<sst xmlns="http://schemas.openxmlformats.org/spreadsheetml/2006/main" count="3357" uniqueCount="839">
  <si>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</si>
  <si>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</si>
  <si>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</si>
  <si>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</si>
  <si>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</si>
  <si>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</si>
  <si>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</si>
  <si>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</si>
  <si>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</si>
  <si>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</si>
  <si>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</si>
  <si>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</si>
  <si>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</si>
  <si>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</si>
  <si>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</si>
  <si>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</si>
  <si>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</si>
  <si>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</si>
  <si>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</si>
  <si>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</si>
  <si>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</si>
  <si>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</si>
  <si>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</si>
  <si>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</si>
  <si>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</si>
  <si>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</si>
  <si>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</si>
  <si>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</si>
  <si>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</si>
  <si>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</si>
  <si>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</si>
  <si>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</si>
  <si>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</si>
  <si>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</si>
  <si>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</si>
  <si>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</si>
  <si>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</si>
  <si>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</si>
  <si>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</si>
  <si>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</si>
  <si>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</si>
  <si>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</si>
  <si>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</si>
  <si>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</si>
  <si>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</si>
  <si>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</si>
  <si>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</si>
  <si>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</si>
  <si>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</si>
  <si>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</si>
  <si>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</si>
  <si>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</si>
  <si>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</si>
  <si>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</si>
  <si>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</si>
  <si>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</si>
  <si>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</si>
  <si>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</si>
  <si>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</si>
  <si>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</si>
  <si>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</si>
  <si>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</si>
  <si>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</si>
  <si>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</si>
  <si>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</si>
  <si>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</si>
  <si>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</si>
  <si>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</si>
  <si>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</si>
  <si>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</si>
  <si>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</si>
  <si>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</si>
  <si>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</si>
  <si>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</si>
  <si>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</si>
  <si>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</si>
  <si>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</si>
  <si>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</si>
  <si>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</si>
  <si>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</si>
  <si>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</si>
  <si>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</si>
  <si>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</si>
  <si>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</si>
  <si>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</si>
  <si>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</si>
  <si>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</si>
  <si>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</si>
  <si>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</si>
  <si>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</si>
  <si>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</si>
  <si>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</si>
  <si>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</si>
  <si>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</si>
  <si>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</si>
  <si>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</si>
  <si>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</si>
  <si>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</si>
  <si>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</si>
  <si>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</si>
  <si>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</si>
  <si>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</si>
  <si>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</si>
  <si>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</si>
  <si>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</si>
  <si>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</si>
  <si>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</si>
  <si>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</si>
  <si>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</si>
  <si>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</si>
  <si>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</si>
  <si>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</si>
  <si>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</si>
  <si>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</si>
  <si>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</si>
  <si>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</si>
  <si>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</si>
  <si>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</si>
  <si>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</si>
  <si>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</si>
  <si>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</si>
  <si>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</si>
  <si>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</si>
  <si>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</si>
  <si>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</si>
  <si>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</si>
  <si>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</si>
  <si>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</si>
  <si>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</si>
  <si>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</si>
  <si>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</si>
  <si>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</si>
  <si>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</si>
  <si>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</si>
  <si>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</si>
  <si>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</si>
  <si>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</si>
  <si>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</si>
  <si>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</si>
  <si>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</si>
  <si>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</si>
  <si>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</si>
  <si>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</si>
  <si>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</si>
  <si>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</si>
  <si>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</si>
  <si>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</si>
  <si>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</si>
  <si>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</si>
  <si>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</si>
  <si>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</si>
  <si>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</si>
  <si>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</si>
  <si>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</si>
  <si>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</si>
  <si>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</si>
  <si>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</si>
  <si>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</si>
  <si>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</si>
  <si>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</si>
  <si>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</si>
  <si>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</si>
  <si>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</si>
  <si>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</si>
  <si>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</si>
  <si>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</si>
  <si>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</si>
  <si>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</si>
  <si>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</si>
  <si>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</si>
  <si>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</si>
  <si>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</si>
  <si>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</si>
  <si>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</si>
  <si>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</si>
  <si>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</si>
  <si>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</si>
  <si>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</si>
  <si>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</si>
  <si>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</si>
  <si>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</si>
  <si>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</si>
  <si>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</si>
  <si>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</si>
  <si>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</si>
  <si>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</si>
  <si>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</si>
  <si>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</si>
  <si>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</si>
  <si>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</si>
  <si>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</si>
  <si>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</si>
  <si>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</si>
  <si>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</si>
  <si>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</si>
  <si>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</si>
  <si>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</si>
  <si>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</si>
  <si>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</si>
  <si>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</si>
  <si>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</si>
  <si>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</si>
  <si>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</si>
  <si>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</si>
  <si>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</si>
  <si>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</si>
  <si>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</si>
  <si>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</si>
  <si>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</si>
  <si>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</si>
  <si>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</si>
  <si>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</si>
  <si>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</si>
  <si>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</si>
  <si>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</si>
  <si>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</si>
  <si>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</si>
  <si>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</si>
  <si>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</si>
  <si>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</si>
  <si>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</si>
  <si>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</si>
  <si>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</si>
  <si>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</si>
  <si>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</si>
  <si>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</si>
  <si>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</si>
  <si>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</si>
  <si>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</si>
  <si>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</si>
  <si>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</si>
  <si>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</si>
  <si>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</si>
  <si>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</si>
  <si>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</si>
  <si>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</si>
  <si>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</si>
  <si>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</si>
  <si>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</si>
  <si>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</si>
  <si>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</si>
  <si>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</si>
  <si>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</si>
  <si>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</si>
  <si>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</si>
  <si>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</si>
  <si>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</si>
  <si>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</si>
  <si>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</si>
  <si>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</si>
  <si>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</si>
  <si>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</si>
  <si>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</si>
  <si>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</si>
  <si>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</si>
  <si>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</si>
  <si>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</si>
  <si>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</si>
  <si>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</si>
  <si>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</si>
  <si>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</si>
  <si>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</si>
  <si>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</si>
  <si>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</si>
  <si>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</si>
  <si>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</si>
  <si>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</si>
  <si>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</si>
  <si>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</si>
  <si>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</si>
  <si>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</si>
  <si>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</si>
  <si>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</si>
  <si>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</si>
  <si>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</si>
  <si>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</si>
  <si>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</si>
  <si>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</si>
  <si>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</si>
  <si>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</si>
  <si>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</si>
  <si>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</si>
  <si>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</si>
  <si>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</si>
  <si>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</si>
  <si>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</si>
  <si>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</si>
  <si>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</si>
  <si>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</si>
  <si>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</si>
  <si>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</si>
  <si>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</si>
  <si>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</si>
  <si>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</si>
  <si>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</si>
  <si>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</si>
  <si>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</si>
  <si>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</si>
  <si>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</si>
  <si>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</si>
  <si>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</si>
  <si>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</si>
  <si>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</si>
  <si>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</si>
  <si>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</si>
  <si>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</si>
  <si>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</si>
  <si>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</si>
  <si>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</si>
  <si>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</si>
  <si>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</si>
  <si>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</si>
  <si>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</si>
  <si>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</si>
  <si>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</si>
  <si>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</si>
  <si>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</si>
  <si>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</si>
  <si>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</si>
  <si>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</si>
  <si>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</si>
  <si>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</si>
  <si>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</si>
  <si>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</si>
  <si>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</si>
  <si>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</si>
  <si>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</si>
  <si>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</si>
  <si>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</si>
  <si>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</si>
  <si>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</si>
  <si>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</si>
  <si>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</si>
  <si>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</si>
  <si>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</si>
  <si>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</si>
  <si>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</si>
  <si>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</si>
  <si>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</si>
  <si>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</si>
  <si>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</si>
  <si>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</si>
  <si>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</si>
  <si>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</si>
  <si>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</si>
  <si>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</si>
  <si>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</si>
  <si>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</si>
  <si>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</si>
  <si>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</si>
  <si>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</si>
  <si>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</si>
  <si>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</si>
  <si>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</si>
  <si>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</si>
  <si>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</si>
  <si>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</si>
  <si>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</si>
  <si>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</si>
  <si>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</si>
  <si>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</si>
  <si>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</si>
  <si>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</si>
  <si>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</si>
  <si>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</si>
  <si>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</si>
  <si>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</si>
  <si>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</si>
  <si>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</si>
  <si>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</si>
  <si>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</si>
  <si>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</si>
  <si>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</si>
  <si>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</si>
  <si>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</si>
  <si>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</si>
  <si>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</si>
  <si>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</si>
  <si>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</si>
  <si>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</si>
  <si>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</si>
  <si>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</si>
  <si>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</si>
  <si>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</si>
  <si>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</si>
  <si>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</si>
  <si>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</si>
  <si>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</si>
  <si>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</si>
  <si>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</si>
  <si>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</si>
  <si>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</si>
  <si>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</si>
  <si>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</si>
  <si>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</si>
  <si>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</si>
  <si>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</si>
  <si>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</si>
  <si>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</si>
  <si>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</si>
  <si>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</si>
  <si>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</si>
  <si>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</si>
  <si>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</si>
  <si>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</si>
  <si>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</si>
  <si>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</si>
  <si>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</si>
  <si>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</si>
  <si>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</si>
  <si>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</si>
  <si>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</si>
  <si>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</si>
  <si>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</si>
  <si>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</si>
  <si>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</si>
  <si>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</si>
  <si>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</si>
  <si>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</si>
  <si>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</si>
  <si>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</si>
  <si>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</si>
  <si>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</si>
  <si>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</si>
  <si>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</si>
  <si>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</si>
  <si>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</si>
  <si>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</si>
  <si>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</si>
  <si>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</si>
  <si>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</si>
  <si>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</si>
  <si>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</si>
  <si>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</si>
  <si>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</si>
  <si>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</si>
  <si>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</si>
  <si>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</si>
  <si>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</si>
  <si>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</si>
  <si>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</si>
  <si>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</si>
  <si>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</si>
  <si>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</si>
  <si>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</si>
  <si>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</si>
  <si>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</si>
  <si>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</si>
  <si>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</si>
  <si>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</si>
  <si>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</si>
  <si>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</si>
  <si>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</si>
  <si>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</si>
  <si>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</si>
  <si>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</si>
  <si>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</si>
  <si>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</si>
  <si>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</si>
  <si>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</si>
  <si>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</si>
  <si>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</si>
  <si>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</si>
  <si>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</si>
  <si>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</si>
  <si>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</si>
  <si>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</si>
  <si>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</si>
  <si>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</si>
  <si>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</si>
  <si>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</si>
  <si>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</si>
  <si>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</si>
  <si>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</si>
  <si>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</si>
  <si>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</si>
  <si>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</si>
  <si>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</si>
  <si>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</si>
  <si>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</si>
  <si>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</si>
  <si>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</si>
  <si>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</si>
  <si>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</si>
  <si>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</si>
  <si>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</si>
  <si>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</si>
  <si>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</si>
  <si>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</si>
  <si>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</si>
  <si>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</si>
  <si>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</si>
  <si>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</si>
  <si>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</si>
  <si>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</si>
  <si>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</si>
  <si>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</si>
  <si>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</si>
  <si>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</si>
  <si>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</si>
  <si>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</si>
  <si>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</si>
  <si>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</si>
  <si>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</si>
  <si>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</si>
  <si>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</si>
  <si>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</si>
  <si>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</si>
  <si>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</si>
  <si>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</si>
  <si>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</si>
  <si>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</si>
  <si>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</si>
  <si>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</si>
  <si>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</si>
  <si>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</si>
  <si>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</si>
  <si>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</si>
  <si>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</si>
  <si>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</si>
  <si>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</si>
  <si>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</si>
  <si>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</si>
  <si>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</si>
  <si>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</si>
  <si>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</si>
  <si>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</si>
  <si>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</si>
  <si>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</si>
  <si>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</si>
  <si>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</si>
  <si>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</si>
  <si>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</si>
  <si>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</si>
  <si>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</si>
  <si>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</si>
  <si>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</si>
  <si>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</si>
  <si>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</si>
  <si>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</si>
  <si>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</si>
  <si>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</si>
  <si>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</si>
  <si>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</si>
  <si>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</si>
  <si>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</si>
  <si>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</si>
  <si>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</si>
  <si>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</si>
  <si>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</si>
  <si>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</si>
  <si>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</si>
  <si>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</si>
  <si>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</si>
  <si>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</si>
  <si>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</si>
  <si>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</si>
  <si>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</si>
  <si>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</si>
  <si>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</si>
  <si>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</si>
  <si>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</si>
  <si>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</si>
  <si>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</si>
  <si>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</si>
  <si>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</si>
  <si>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</si>
  <si>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</si>
  <si>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</si>
  <si>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</si>
  <si>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</si>
  <si>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</si>
  <si>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</si>
  <si>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</si>
  <si>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</si>
  <si>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</si>
  <si>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</si>
  <si>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</si>
  <si>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</si>
  <si>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</si>
  <si>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</si>
  <si>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</si>
  <si>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</si>
  <si>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</si>
  <si>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</si>
  <si>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</si>
  <si>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</si>
  <si>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</si>
  <si>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</si>
  <si>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</si>
  <si>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</si>
  <si>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</si>
  <si>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</si>
  <si>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</si>
  <si>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</si>
  <si>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</si>
  <si>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</si>
  <si>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</si>
  <si>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</si>
  <si>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</si>
  <si>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</si>
  <si>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</si>
  <si>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</si>
  <si>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</si>
  <si>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</si>
  <si>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</si>
  <si>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</si>
  <si>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</si>
  <si>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</si>
  <si>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</si>
  <si>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</si>
  <si>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</si>
  <si>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</si>
  <si>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</si>
  <si>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</si>
  <si>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</si>
  <si>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</si>
  <si>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</si>
  <si>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</si>
  <si>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</si>
  <si>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</si>
  <si>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</si>
  <si>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</si>
  <si>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</si>
  <si>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</si>
  <si>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</si>
  <si>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</si>
  <si>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</si>
  <si>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</si>
  <si>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</si>
  <si>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</si>
  <si>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</si>
  <si>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</si>
  <si>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</si>
  <si>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</si>
  <si>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</si>
  <si>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</si>
  <si>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</si>
  <si>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</si>
  <si>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</si>
  <si>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</si>
  <si>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</si>
  <si>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</si>
  <si>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</si>
  <si>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</si>
  <si>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</si>
  <si>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</si>
  <si>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</si>
  <si>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</si>
  <si>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</si>
  <si>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</si>
  <si>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</si>
  <si>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</si>
  <si>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</si>
  <si>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</si>
  <si>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</si>
  <si>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</si>
  <si>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</si>
  <si>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</si>
  <si>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</si>
  <si>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</si>
  <si>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</si>
  <si>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</si>
  <si>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</si>
  <si>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</si>
  <si>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</si>
  <si>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</si>
  <si>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</si>
  <si>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</si>
  <si>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</si>
  <si>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</si>
  <si>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</si>
  <si>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</si>
  <si>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</si>
  <si>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</si>
  <si>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</si>
  <si>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</si>
  <si>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</si>
  <si>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</si>
  <si>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</si>
  <si>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</si>
  <si>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</si>
  <si>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</si>
  <si>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</si>
  <si>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</si>
  <si>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</si>
  <si>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</si>
  <si>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</si>
  <si>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</si>
  <si>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</si>
  <si>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</si>
  <si>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</si>
  <si>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</si>
  <si>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</si>
  <si>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</si>
  <si>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</si>
  <si>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</si>
  <si>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</si>
  <si>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</si>
  <si>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</si>
  <si>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</si>
  <si>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</si>
  <si>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</si>
  <si>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</si>
  <si>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</si>
  <si>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</si>
  <si>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</si>
  <si>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</si>
  <si>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</si>
  <si>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</si>
  <si>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</si>
  <si>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</si>
  <si>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</si>
  <si>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</si>
  <si>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</si>
  <si>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</si>
  <si>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</si>
  <si>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</si>
  <si>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</si>
  <si>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</si>
  <si>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</si>
  <si>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</si>
  <si>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</si>
  <si>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</si>
  <si>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</si>
  <si>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</si>
  <si>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</si>
  <si>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</si>
  <si>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</si>
  <si>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</si>
  <si>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</si>
  <si>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</si>
  <si>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</si>
  <si>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</si>
  <si>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</si>
  <si>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</si>
  <si>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</si>
  <si>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</si>
  <si>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</si>
  <si>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</si>
  <si>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</si>
  <si>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</si>
  <si>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</si>
  <si>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</si>
  <si>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</si>
  <si>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</si>
  <si>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</si>
  <si>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</si>
  <si>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</si>
  <si>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</si>
  <si>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</si>
  <si>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</si>
  <si>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</si>
  <si>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</si>
  <si>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</si>
  <si>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</si>
  <si>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</si>
  <si>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</si>
  <si>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</si>
  <si>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</si>
  <si>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</si>
  <si>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</si>
  <si>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</si>
  <si>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</si>
  <si>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</si>
  <si>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</si>
  <si>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</si>
  <si>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</si>
  <si>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</si>
  <si>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</si>
  <si>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</si>
  <si>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</si>
  <si>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</si>
  <si>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</si>
  <si>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</si>
  <si>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</si>
  <si>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</si>
  <si>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</si>
  <si>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</si>
  <si>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</si>
  <si>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</si>
  <si>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</si>
  <si>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</si>
  <si>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</si>
  <si>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</si>
  <si>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</si>
  <si>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</si>
  <si>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</si>
  <si>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</si>
  <si>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</si>
  <si>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</si>
  <si>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</si>
  <si>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</si>
  <si>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</si>
  <si>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</si>
  <si>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</si>
  <si>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</si>
  <si>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</si>
  <si>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</si>
  <si>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</si>
  <si>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</si>
  <si>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</si>
  <si>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</si>
  <si>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</si>
  <si>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</si>
  <si>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</si>
  <si>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</si>
  <si>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</si>
  <si>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</si>
  <si>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</si>
  <si>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</si>
  <si>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</si>
  <si>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</si>
  <si>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</si>
  <si>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</si>
  <si>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</si>
  <si>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</si>
  <si>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</si>
  <si>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</si>
  <si>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</si>
  <si>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</si>
  <si>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</si>
  <si>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</si>
  <si>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</si>
  <si>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</si>
  <si>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GUILLAUME VORS</t>
  </si>
  <si>
    <t>MAXIME VASSELIN</t>
  </si>
  <si>
    <t>SOFYAN LANGER</t>
  </si>
  <si>
    <t>NATHALIE LARUE</t>
  </si>
  <si>
    <t>ARNAUD WEICKERT</t>
  </si>
  <si>
    <t>HECTOR GUILLEN</t>
  </si>
  <si>
    <t>C:\Users\hector.guillen\EUROLEAGUE\EB STATS - Documents\General\SEASON 2025-26\Reports\Eurocup</t>
  </si>
  <si>
    <t>C:\Users\hector.guillen\EUROLEAGUE\EB STATS - Documents\General\SEASON 2025-26\Reports\Eurocup\PDF</t>
  </si>
  <si>
    <t>8:42</t>
  </si>
  <si>
    <t>3:31</t>
  </si>
  <si>
    <t>1:41</t>
  </si>
  <si>
    <t>7:18</t>
  </si>
  <si>
    <t>3:00</t>
  </si>
  <si>
    <t>Very good game.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</si>
</sst>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12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12_118_BOU_NIO_U2025</v>
      </c>
      <c r="G1" s="5"/>
      <c r="H1" s="5"/>
      <c r="I1" s="5"/>
      <c r="J1" s="8" t="s">
        <v>707</v>
      </c>
      <c r="K1" s="121" t="s">
        <v>831</v>
      </c>
      <c r="L1" s="121"/>
      <c r="M1" s="122" t="s">
        <v>239</v>
      </c>
      <c r="N1" s="121" t="s">
        <v>832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118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46021.760416666664</v>
      </c>
      <c r="C3" s="157"/>
      <c r="D3" s="39">
        <v>591</v>
      </c>
      <c r="E3" s="29"/>
      <c r="F3" s="26">
        <f>SUBTOTAL(3,I17:I106)</f>
        <v>5</v>
      </c>
      <c r="G3" s="27">
        <f>IF(OR(D3="",D3=0),"",F3/D3)</f>
        <v>8.4602368866328256E-3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Cosea JL Bourg-en-Bresse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BOU</v>
      </c>
      <c r="I4" s="5"/>
      <c r="J4" s="119" t="s">
        <v>714</v>
      </c>
      <c r="K4" s="54" t="s">
        <v>742</v>
      </c>
      <c r="L4" s="5"/>
      <c r="M4" s="167" t="s">
        <v>838</v>
      </c>
      <c r="N4" s="168"/>
      <c r="O4" s="2"/>
      <c r="P4" s="2"/>
      <c r="Q4" s="84" t="s">
        <v>175</v>
      </c>
      <c r="R4" s="94">
        <f>(IF(G3="",0,G3))</f>
        <v>8.4602368866328256E-3</v>
      </c>
      <c r="S4" s="61">
        <f>SUM(I13:M13)</f>
        <v>0</v>
      </c>
      <c r="T4" s="78"/>
      <c r="U4" s="61">
        <f>AC18</f>
        <v>4</v>
      </c>
      <c r="V4" s="61">
        <f>+AC22</f>
        <v>0</v>
      </c>
      <c r="W4" s="61">
        <f>AC24</f>
        <v>1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Panionios Athens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NIO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0.84602368866328259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0</v>
      </c>
      <c r="W5" s="70">
        <f t="shared" si="1"/>
        <v>1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825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826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3.8460236886632826</v>
      </c>
      <c r="N7" s="58"/>
      <c r="O7" s="2"/>
      <c r="P7" s="2"/>
      <c r="Q7" s="86">
        <f>SUM(R5,S5,AC16)</f>
        <v>3.8460236886632826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827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3.8460236886632826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828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829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118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830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118</v>
      </c>
      <c r="D17" s="32" t="s">
        <v>833</v>
      </c>
      <c r="E17" s="33">
        <v>1</v>
      </c>
      <c r="F17" s="36">
        <v>2</v>
      </c>
      <c r="G17" s="36">
        <v>4</v>
      </c>
      <c r="H17" s="38" t="str">
        <f>IF(I17="","",$I$14)</f>
        <v>SCOUTING</v>
      </c>
      <c r="I17" s="34">
        <v>12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118</v>
      </c>
      <c r="D18" s="32" t="s">
        <v>834</v>
      </c>
      <c r="E18" s="33">
        <v>1</v>
      </c>
      <c r="F18" s="36">
        <v>5</v>
      </c>
      <c r="G18" s="36">
        <v>10</v>
      </c>
      <c r="H18" s="38" t="str">
        <f t="shared" ref="H18:H81" si="8">IF(I18="","",$I$14)</f>
        <v>SCOUTING</v>
      </c>
      <c r="I18" s="34">
        <v>89</v>
      </c>
      <c r="J18" s="13" t="s">
        <v>4</v>
      </c>
      <c r="K18" s="13" t="s">
        <v>62</v>
      </c>
      <c r="L18" s="13" t="s">
        <v>47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118</v>
      </c>
      <c r="D19" s="32" t="s">
        <v>835</v>
      </c>
      <c r="E19" s="33">
        <v>2</v>
      </c>
      <c r="F19" s="36">
        <v>34</v>
      </c>
      <c r="G19" s="36">
        <v>28</v>
      </c>
      <c r="H19" s="38" t="str">
        <f t="shared" si="8"/>
        <v>SCOUTING</v>
      </c>
      <c r="I19" s="34">
        <v>252</v>
      </c>
      <c r="J19" s="13" t="s">
        <v>4</v>
      </c>
      <c r="K19" s="13" t="s">
        <v>62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118</v>
      </c>
      <c r="D20" s="32" t="s">
        <v>836</v>
      </c>
      <c r="E20" s="33">
        <v>4</v>
      </c>
      <c r="F20" s="36">
        <v>67</v>
      </c>
      <c r="G20" s="36">
        <v>63</v>
      </c>
      <c r="H20" s="38" t="str">
        <f t="shared" si="8"/>
        <v>SCOUTING</v>
      </c>
      <c r="I20" s="34">
        <v>477</v>
      </c>
      <c r="J20" s="13" t="s">
        <v>4</v>
      </c>
      <c r="K20" s="13" t="s">
        <v>62</v>
      </c>
      <c r="L20" s="13" t="s">
        <v>5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118</v>
      </c>
      <c r="D21" s="32" t="s">
        <v>837</v>
      </c>
      <c r="E21" s="33">
        <v>4</v>
      </c>
      <c r="F21" s="36">
        <v>76</v>
      </c>
      <c r="G21" s="36">
        <v>71</v>
      </c>
      <c r="H21" s="38" t="str">
        <f t="shared" si="8"/>
        <v>SCOUTING</v>
      </c>
      <c r="I21" s="34">
        <v>538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1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REPORT_U2025118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"U2025118"</v>
      </c>
      <c r="F3" s="45" t="str">
        <f t="shared" ref="F3:F16" si="0">""""&amp;B3&amp;"""" &amp; " : " &amp;C3&amp;","</f>
        <v>"name" : "U2025118",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"U118"</v>
      </c>
      <c r="F4" s="45" t="str">
        <f t="shared" si="0"/>
        <v>"cod" : "U118",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118</v>
      </c>
      <c r="F6" s="45" t="str">
        <f t="shared" si="0"/>
        <v>"number" : 118,</v>
      </c>
    </row>
    <row r="7" spans="2:6" x14ac:dyDescent="0.25">
      <c r="B7" s="43" t="s">
        <v>116</v>
      </c>
      <c r="C7" s="43" t="str">
        <f ca="1">""""&amp;TEXT('SCOUT &amp; LOGISTICS'!B3,"dd/mm/aaaa")&amp;""""</f>
        <v>"30/12/Tuesday"</v>
      </c>
      <c r="F7" s="45" t="str">
        <f t="shared" ca="1" si="0"/>
        <v>"date" : "30/12/Tuesday",</v>
      </c>
    </row>
    <row r="8" spans="2:6" x14ac:dyDescent="0.25">
      <c r="B8" s="43" t="s">
        <v>125</v>
      </c>
      <c r="C8" s="43" t="str">
        <f>""""&amp;'SCOUT &amp; LOGISTICS'!D4 &amp;""""</f>
        <v>"Cosea JL Bourg-en-Bresse"</v>
      </c>
      <c r="F8" s="45" t="str">
        <f t="shared" si="0"/>
        <v>"home_team" : "Cosea JL Bourg-en-Bresse",</v>
      </c>
    </row>
    <row r="9" spans="2:6" x14ac:dyDescent="0.25">
      <c r="B9" s="43" t="s">
        <v>126</v>
      </c>
      <c r="C9" s="43" t="str">
        <f>""""&amp;'SCOUT &amp; LOGISTICS'!D5&amp;""""</f>
        <v>"Panionios Athens"</v>
      </c>
      <c r="F9" s="45" t="str">
        <f t="shared" si="0"/>
        <v>"away_team" : "Panionios Athens",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"GUILLAUME VORS"</v>
      </c>
      <c r="F10" s="45" t="str">
        <f t="shared" si="0"/>
        <v>"Data_entry" : "GUILLAUME VORS",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"MAXIME VASSELIN"</v>
      </c>
      <c r="F11" s="45" t="str">
        <f t="shared" si="0"/>
        <v>"Caller_1" : "MAXIME VASSELIN",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"SOFYAN LANGER"</v>
      </c>
      <c r="F12" s="45" t="str">
        <f t="shared" si="0"/>
        <v>"Caller_2" : "SOFYAN LANGER",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"NATHALIE LARUE"</v>
      </c>
      <c r="F13" s="45" t="str">
        <f t="shared" si="0"/>
        <v>"Timerkeeper" : "NATHALIE LARUE",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"ARNAUD WEICKERT"</v>
      </c>
      <c r="F14" s="45" t="str">
        <f t="shared" si="0"/>
        <v>"Shotclock" : "ARNAUD WEICKERT",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591</v>
      </c>
      <c r="F25" s="45" t="str">
        <f t="shared" ref="F25:F48" si="1">""""&amp;C25&amp;"""" &amp; " : " &amp;D25&amp;","</f>
        <v>"total_actions" : 591,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game. Keep it up!"</v>
      </c>
      <c r="F51" s="45" t="str">
        <f>""""&amp;B51&amp;"""" &amp; " : " &amp;C51&amp;","</f>
        <v>"comments" : "Very good game. Keep it up!",</v>
      </c>
    </row>
    <row r="52" spans="2:6" x14ac:dyDescent="0.25">
      <c r="B52" s="43" t="s">
        <v>153</v>
      </c>
      <c r="C52" s="43" t="str">
        <f>TEXT('SCOUT &amp; LOGISTICS'!F1,"0,0")</f>
        <v>12_118_BOU_NIO_U2025</v>
      </c>
      <c r="F52" s="45" t="str">
        <f>""""&amp;B52&amp;"""" &amp; " : " &amp;C52</f>
        <v>"result" : 12_118_BOU_NIO_U2025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U118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30/12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Cosea Jl Bourg-En-Bresse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Panionios Athens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GUILLAUME VORS</v>
      </c>
      <c r="C8" s="206"/>
      <c r="D8" s="206"/>
      <c r="E8" s="206"/>
      <c r="F8" s="206"/>
      <c r="G8" s="206" t="str">
        <f>IF('SCOUT &amp; LOGISTICS'!D7="","",'SCOUT &amp; LOGISTICS'!D7)</f>
        <v>MAXIME VASSELIN</v>
      </c>
      <c r="H8" s="206"/>
      <c r="I8" s="206"/>
      <c r="J8" s="206"/>
      <c r="K8" s="206"/>
      <c r="L8" s="206" t="str">
        <f>IF('SCOUT &amp; LOGISTICS'!D8="","",'SCOUT &amp; LOGISTICS'!D8)</f>
        <v>SOFYAN LANGER</v>
      </c>
      <c r="M8" s="206"/>
      <c r="N8" s="206"/>
      <c r="O8" s="206"/>
      <c r="P8" s="206"/>
      <c r="Q8" s="206" t="str">
        <f>IF('SCOUT &amp; LOGISTICS'!D9="","",'SCOUT &amp; LOGISTICS'!D9)</f>
        <v>NATHALIE LARUE</v>
      </c>
      <c r="R8" s="206"/>
      <c r="S8" s="206"/>
      <c r="T8" s="206"/>
      <c r="U8" s="206"/>
      <c r="V8" s="206" t="str">
        <f>IF('SCOUT &amp; LOGISTICS'!D10="","",'SCOUT &amp; LOGISTICS'!D10)</f>
        <v>ARNAUD WEICKERT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591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8.4602368866328256E-3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1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game.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3.8460236886632826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44775AC-11FA-4836-8170-DB365D1ACFA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2025-12-30T19:53:07Z</cp:lastPrinted>
  <dcterms:created xsi:type="dcterms:W3CDTF">2023-09-19T19:50:35Z</dcterms:created>
  <dcterms:modified xsi:type="dcterms:W3CDTF">2025-12-30T19:53:13Z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