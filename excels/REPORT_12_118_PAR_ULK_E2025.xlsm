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0" documentId="8_{D2656266-9B69-49F8-AE5A-995F7FD30FB7}" xr6:coauthVersionLast="47" xr6:coauthVersionMax="47" xr10:uidLastSave="{00000000-0000-0000-0000-000000000000}"/>
  <bookViews>
    <workbookView xWindow="-405" yWindow="-15330" windowWidth="22230" windowHeight="135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<sst xmlns="http://schemas.openxmlformats.org/spreadsheetml/2006/main" count="3235" uniqueCount="752">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</sst>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12_118_PAR_ULK_E2025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118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45982.854166666664</v>
      </c>
      <c r="C3" s="157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Partizan Mozzart 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67" t="s">
        <v>750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Fenerbahce Beko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tr">
        <f>H7</f>
        <v>Data entry Name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tr">
        <f>I7</f>
        <v>Caller 1 Name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tr">
        <f>J7</f>
        <v>Caller 2 Name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tr">
        <f>K7</f>
        <v>Timerkeeper Name</v>
      </c>
      <c r="E9" s="179"/>
      <c r="F9" s="179"/>
      <c r="G9" s="18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tr">
        <f>L7</f>
        <v>Shotclock Name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REPORT_E2025118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"E2025118"</v>
      </c>
      <c r="F3" s="45" t="str">
        <f t="shared" ref="F3:F16" si="0">""""&amp;B3&amp;"""" &amp; " : " &amp;C3&amp;","</f>
        <v>"name" : "E2025118",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"E118"</v>
      </c>
      <c r="F4" s="45" t="str">
        <f t="shared" si="0"/>
        <v>"cod" : "E118",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118</v>
      </c>
      <c r="F6" s="45" t="str">
        <f t="shared" si="0"/>
        <v>"number" : 118,</v>
      </c>
    </row>
    <row r="7" spans="2:6" x14ac:dyDescent="0.2">
      <c r="B7" s="43" t="s">
        <v>116</v>
      </c>
      <c r="C7" s="43" t="str">
        <f ca="1">""""&amp;TEXT('SCOUT &amp; LOGISTICS'!B3,"dd/mm/aaaa")&amp;""""</f>
        <v>"21/11/Friday"</v>
      </c>
      <c r="F7" s="45" t="str">
        <f t="shared" ca="1" si="0"/>
        <v>"date" : "21/11/Friday",</v>
      </c>
    </row>
    <row r="8" spans="2:6" x14ac:dyDescent="0.2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12_118_PAR_ULK_E2025</v>
      </c>
      <c r="F52" s="45" t="str">
        <f>""""&amp;B52&amp;"""" &amp; " : " &amp;C52</f>
        <v>"result" : 12_118_PAR_ULK_E2025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E118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21/11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Partizan Mozzart 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Fenerbahce Beko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Data entry Name</v>
      </c>
      <c r="C8" s="206"/>
      <c r="D8" s="206"/>
      <c r="E8" s="206"/>
      <c r="F8" s="206"/>
      <c r="G8" s="206" t="str">
        <f>IF('SCOUT &amp; LOGISTICS'!D7="","",'SCOUT &amp; LOGISTICS'!D7)</f>
        <v>Caller 1 Name</v>
      </c>
      <c r="H8" s="206"/>
      <c r="I8" s="206"/>
      <c r="J8" s="206"/>
      <c r="K8" s="206"/>
      <c r="L8" s="206" t="str">
        <f>IF('SCOUT &amp; LOGISTICS'!D8="","",'SCOUT &amp; LOGISTICS'!D8)</f>
        <v>Caller 2 Name</v>
      </c>
      <c r="M8" s="206"/>
      <c r="N8" s="206"/>
      <c r="O8" s="206"/>
      <c r="P8" s="206"/>
      <c r="Q8" s="206" t="str">
        <f>IF('SCOUT &amp; LOGISTICS'!D9="","",'SCOUT &amp; LOGISTICS'!D9)</f>
        <v>Timerkeeper Name</v>
      </c>
      <c r="R8" s="206"/>
      <c r="S8" s="206"/>
      <c r="T8" s="206"/>
      <c r="U8" s="206"/>
      <c r="V8" s="206" t="str">
        <f>IF('SCOUT &amp; LOGISTICS'!D10="","",'SCOUT &amp; LOGISTICS'!D10)</f>
        <v>Shotclock Name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6C01D0E-1A1D-4908-BC6E-FC3F472AD85D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2025-11-21T20:37:17Z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