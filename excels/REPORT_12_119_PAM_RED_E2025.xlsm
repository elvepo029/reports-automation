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22" documentId="8_{8519AD5D-A35B-4D40-A890-A265CA57C427}" xr6:coauthVersionLast="47" xr6:coauthVersionMax="47" xr10:uidLastSave="{62E73F2F-5F30-4A58-9745-8F20D931FDC1}"/>
  <bookViews>
    <workbookView minimized="1" xWindow="2580" yWindow="2800" windowWidth="14400" windowHeight="728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<sst xmlns="http://schemas.openxmlformats.org/spreadsheetml/2006/main" count="3285" uniqueCount="766">
  <si>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</si>
  <si>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</si>
  <si>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</si>
  <si>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</si>
  <si>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</si>
  <si>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</si>
  <si>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</si>
  <si>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</si>
  <si>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</si>
  <si>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</si>
  <si>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</si>
  <si>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</si>
  <si>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</si>
  <si>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</si>
  <si>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</si>
  <si>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</si>
  <si>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</si>
  <si>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</si>
  <si>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</si>
  <si>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</si>
  <si>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</si>
  <si>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</si>
  <si>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</si>
  <si>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</si>
  <si>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</si>
  <si>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</si>
  <si>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</si>
  <si>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</si>
  <si>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</si>
  <si>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</si>
  <si>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</si>
  <si>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</si>
  <si>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</si>
  <si>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</si>
  <si>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</si>
  <si>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</si>
  <si>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</si>
  <si>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</si>
  <si>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</si>
  <si>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</si>
  <si>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</si>
  <si>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</si>
  <si>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</si>
  <si>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</si>
  <si>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</si>
  <si>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</si>
  <si>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</si>
  <si>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</si>
  <si>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</si>
  <si>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</si>
  <si>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</si>
  <si>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</si>
  <si>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</si>
  <si>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</si>
  <si>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</si>
  <si>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</si>
  <si>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</si>
  <si>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</si>
  <si>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</si>
  <si>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</si>
  <si>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</si>
  <si>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</si>
  <si>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</si>
  <si>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</si>
  <si>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</si>
  <si>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</si>
  <si>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</si>
  <si>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</si>
  <si>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</si>
  <si>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</si>
  <si>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</si>
  <si>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</si>
  <si>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</si>
  <si>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</si>
  <si>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</si>
  <si>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</si>
  <si>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</si>
  <si>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</si>
  <si>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</si>
  <si>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</si>
  <si>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</si>
  <si>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</si>
  <si>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</si>
  <si>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</si>
  <si>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</si>
  <si>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</si>
  <si>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</si>
  <si>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</si>
  <si>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</si>
  <si>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</si>
  <si>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</si>
  <si>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</si>
  <si>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</si>
  <si>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</si>
  <si>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</si>
  <si>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</si>
  <si>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</si>
  <si>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</si>
  <si>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</si>
  <si>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</si>
  <si>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</si>
  <si>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</si>
  <si>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</si>
  <si>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</si>
  <si>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</si>
  <si>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</si>
  <si>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</si>
  <si>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</si>
  <si>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</si>
  <si>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</si>
  <si>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</si>
  <si>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</si>
  <si>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</si>
  <si>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</si>
  <si>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</si>
  <si>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</si>
  <si>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</si>
  <si>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</si>
  <si>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</si>
  <si>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</si>
  <si>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</si>
  <si>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</si>
  <si>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</si>
  <si>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</si>
  <si>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</si>
  <si>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</si>
  <si>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</si>
  <si>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</si>
  <si>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</si>
  <si>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</si>
  <si>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</si>
  <si>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</si>
  <si>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</si>
  <si>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</si>
  <si>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</si>
  <si>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</si>
  <si>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</si>
  <si>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</si>
  <si>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</si>
  <si>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</si>
  <si>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</si>
  <si>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</si>
  <si>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</si>
  <si>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</si>
  <si>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</si>
  <si>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</si>
  <si>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</si>
  <si>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</si>
  <si>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</si>
  <si>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</si>
  <si>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</si>
  <si>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</si>
  <si>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</si>
  <si>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</si>
  <si>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</si>
  <si>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</si>
  <si>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</si>
  <si>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</si>
  <si>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</si>
  <si>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</si>
  <si>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</si>
  <si>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</si>
  <si>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</si>
  <si>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</si>
  <si>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</si>
  <si>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</si>
  <si>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</si>
  <si>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</si>
  <si>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</si>
  <si>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</si>
  <si>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</si>
  <si>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</si>
  <si>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</si>
  <si>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</si>
  <si>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</si>
  <si>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</si>
  <si>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</si>
  <si>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</si>
  <si>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</si>
  <si>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</si>
  <si>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</si>
  <si>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</si>
  <si>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</si>
  <si>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</si>
  <si>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</si>
  <si>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</si>
  <si>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</si>
  <si>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</si>
  <si>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</si>
  <si>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</si>
  <si>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</si>
  <si>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</si>
  <si>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</si>
  <si>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</si>
  <si>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</si>
  <si>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</si>
  <si>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</si>
  <si>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</si>
  <si>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</si>
  <si>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</si>
  <si>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</si>
  <si>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</si>
  <si>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</si>
  <si>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</si>
  <si>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</si>
  <si>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</si>
  <si>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</si>
  <si>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</si>
  <si>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</si>
  <si>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</si>
  <si>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</si>
  <si>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</si>
  <si>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</si>
  <si>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</si>
  <si>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</si>
  <si>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</si>
  <si>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</si>
  <si>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</si>
  <si>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</si>
  <si>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</si>
  <si>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</si>
  <si>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</si>
  <si>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</si>
  <si>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</si>
  <si>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</si>
  <si>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</si>
  <si>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</si>
  <si>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</si>
  <si>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</si>
  <si>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</si>
  <si>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</si>
  <si>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</si>
  <si>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</si>
  <si>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</si>
  <si>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</si>
  <si>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</si>
  <si>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</si>
  <si>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</si>
  <si>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</si>
  <si>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</si>
  <si>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</si>
  <si>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</si>
  <si>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</si>
  <si>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</si>
  <si>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</si>
  <si>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</si>
  <si>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</si>
  <si>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</si>
  <si>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</si>
  <si>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</si>
  <si>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</si>
  <si>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</si>
  <si>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</si>
  <si>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</si>
  <si>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</si>
  <si>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</si>
  <si>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</si>
  <si>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</si>
  <si>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</si>
  <si>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</si>
  <si>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</si>
  <si>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</si>
  <si>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</si>
  <si>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</si>
  <si>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</si>
  <si>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</si>
  <si>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</si>
  <si>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</si>
  <si>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</si>
  <si>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</si>
  <si>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</si>
  <si>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</si>
  <si>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</si>
  <si>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</si>
  <si>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</si>
  <si>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</si>
  <si>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</si>
  <si>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</si>
  <si>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</si>
  <si>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</si>
  <si>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</si>
  <si>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</si>
  <si>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</si>
  <si>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</si>
  <si>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</si>
  <si>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</si>
  <si>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</si>
  <si>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</si>
  <si>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</si>
  <si>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</si>
  <si>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</si>
  <si>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</si>
  <si>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</si>
  <si>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</si>
  <si>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</si>
  <si>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</si>
  <si>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</si>
  <si>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</si>
  <si>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</si>
  <si>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</si>
  <si>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</si>
  <si>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</si>
  <si>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</si>
  <si>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</si>
  <si>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</si>
  <si>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</si>
  <si>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</si>
  <si>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</si>
  <si>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</si>
  <si>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</si>
  <si>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</si>
  <si>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</si>
  <si>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</si>
  <si>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</si>
  <si>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</si>
  <si>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</si>
  <si>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</si>
  <si>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</si>
  <si>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</si>
  <si>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</si>
  <si>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</si>
  <si>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</si>
  <si>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</si>
  <si>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</si>
  <si>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</si>
  <si>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</si>
  <si>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</si>
  <si>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</si>
  <si>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</si>
  <si>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</si>
  <si>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</si>
  <si>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</si>
  <si>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</si>
  <si>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</si>
  <si>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</si>
  <si>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</si>
  <si>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</si>
  <si>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</si>
  <si>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</si>
  <si>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</si>
  <si>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</si>
  <si>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</si>
  <si>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</si>
  <si>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</si>
  <si>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</si>
  <si>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</si>
  <si>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</si>
  <si>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</si>
  <si>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</si>
  <si>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</si>
  <si>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</si>
  <si>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</si>
  <si>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</si>
  <si>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</si>
  <si>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</si>
  <si>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</si>
  <si>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</si>
  <si>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</si>
  <si>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</si>
  <si>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</si>
  <si>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</si>
  <si>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</si>
  <si>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</si>
  <si>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</si>
  <si>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</si>
  <si>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</si>
  <si>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</si>
  <si>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</si>
  <si>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</si>
  <si>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</si>
  <si>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</si>
  <si>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</si>
  <si>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</si>
  <si>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</si>
  <si>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</si>
  <si>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</si>
  <si>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</si>
  <si>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</si>
  <si>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</si>
  <si>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</si>
  <si>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</si>
  <si>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</si>
  <si>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</si>
  <si>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</si>
  <si>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</si>
  <si>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</si>
  <si>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</si>
  <si>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</si>
  <si>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</si>
  <si>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</si>
  <si>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</si>
  <si>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</si>
  <si>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</si>
  <si>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</si>
  <si>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</si>
  <si>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</si>
  <si>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</si>
  <si>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</si>
  <si>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</si>
  <si>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</si>
  <si>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</si>
  <si>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</si>
  <si>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</si>
  <si>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</si>
  <si>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</si>
  <si>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</si>
  <si>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</si>
  <si>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</si>
  <si>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</si>
  <si>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</si>
  <si>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</si>
  <si>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</si>
  <si>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</si>
  <si>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</si>
  <si>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</si>
  <si>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</si>
  <si>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</si>
  <si>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</si>
  <si>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</si>
  <si>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</si>
  <si>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</si>
  <si>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</si>
  <si>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</si>
  <si>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</si>
  <si>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</si>
  <si>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</si>
  <si>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</si>
  <si>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</si>
  <si>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</si>
  <si>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</si>
  <si>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</si>
  <si>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</si>
  <si>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</si>
  <si>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</si>
  <si>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</si>
  <si>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</si>
  <si>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</si>
  <si>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</si>
  <si>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</si>
  <si>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</si>
  <si>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</si>
  <si>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</si>
  <si>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</si>
  <si>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</si>
  <si>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</si>
  <si>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</si>
  <si>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</si>
  <si>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</si>
  <si>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</si>
  <si>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</si>
  <si>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</si>
  <si>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</si>
  <si>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</si>
  <si>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</si>
  <si>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</si>
  <si>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</si>
  <si>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</si>
  <si>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</si>
  <si>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</si>
  <si>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</si>
  <si>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</si>
  <si>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</si>
  <si>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</si>
  <si>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</si>
  <si>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</si>
  <si>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</si>
  <si>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</si>
  <si>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</si>
  <si>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</si>
  <si>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</si>
  <si>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</si>
  <si>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</si>
  <si>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</si>
  <si>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</si>
  <si>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</si>
  <si>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</si>
  <si>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</si>
  <si>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</si>
  <si>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</si>
  <si>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</si>
  <si>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</si>
  <si>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</si>
  <si>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</si>
  <si>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</si>
  <si>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</si>
  <si>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</si>
  <si>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</si>
  <si>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</si>
  <si>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</si>
  <si>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</si>
  <si>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</si>
  <si>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</si>
  <si>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</si>
  <si>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</si>
  <si>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</si>
  <si>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</si>
  <si>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</si>
  <si>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</si>
  <si>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</si>
  <si>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</si>
  <si>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</si>
  <si>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</si>
  <si>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</si>
  <si>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</si>
  <si>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</si>
  <si>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</si>
  <si>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</si>
  <si>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</si>
  <si>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</si>
  <si>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</si>
  <si>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</si>
  <si>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</si>
  <si>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</si>
  <si>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</si>
  <si>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</si>
  <si>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</si>
  <si>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</si>
  <si>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</si>
  <si>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</si>
  <si>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</si>
  <si>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</si>
  <si>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</si>
  <si>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</si>
  <si>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</si>
  <si>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</si>
  <si>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</si>
  <si>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</si>
  <si>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</si>
  <si>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</si>
  <si>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</si>
  <si>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</si>
  <si>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</si>
  <si>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</si>
  <si>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</si>
  <si>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</si>
  <si>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</si>
  <si>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</si>
  <si>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</si>
  <si>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</si>
  <si>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</si>
  <si>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</si>
  <si>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</si>
  <si>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</si>
  <si>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</si>
  <si>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</si>
  <si>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</si>
  <si>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</si>
  <si>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</si>
  <si>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</si>
  <si>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</si>
  <si>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</si>
  <si>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</si>
  <si>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</si>
  <si>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</si>
  <si>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</si>
  <si>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</si>
  <si>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</si>
  <si>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</si>
  <si>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</si>
  <si>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</si>
  <si>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</si>
  <si>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</si>
  <si>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</si>
  <si>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</si>
  <si>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</si>
  <si>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</si>
  <si>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</si>
  <si>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</si>
  <si>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</si>
  <si>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</si>
  <si>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</si>
  <si>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</si>
  <si>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</si>
  <si>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</si>
  <si>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</si>
  <si>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</si>
  <si>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</si>
  <si>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</si>
  <si>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</si>
  <si>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</si>
  <si>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</si>
  <si>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</si>
  <si>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</si>
  <si>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</si>
  <si>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</si>
  <si>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</si>
  <si>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</si>
  <si>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</si>
  <si>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</si>
  <si>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</si>
  <si>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</si>
  <si>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</si>
  <si>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</si>
  <si>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</si>
  <si>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</si>
  <si>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</si>
  <si>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</si>
  <si>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</si>
  <si>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</si>
  <si>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</si>
  <si>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</si>
  <si>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</si>
  <si>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</si>
  <si>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</si>
  <si>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</si>
  <si>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</si>
  <si>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</si>
  <si>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</si>
  <si>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</si>
  <si>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</si>
  <si>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</si>
  <si>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</si>
  <si>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</si>
  <si>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</si>
  <si>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</si>
  <si>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</si>
  <si>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</si>
  <si>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</si>
  <si>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</si>
  <si>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</si>
  <si>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</si>
  <si>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</si>
  <si>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</si>
  <si>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</si>
  <si>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</si>
  <si>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</si>
  <si>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</si>
  <si>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</si>
  <si>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</si>
  <si>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</si>
  <si>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</si>
  <si>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</si>
  <si>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</si>
  <si>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</si>
  <si>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</si>
  <si>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</si>
  <si>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</si>
  <si>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</si>
  <si>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</si>
  <si>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</si>
  <si>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</si>
  <si>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</si>
  <si>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</si>
  <si>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</si>
  <si>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</si>
  <si>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</si>
  <si>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</si>
  <si>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</si>
  <si>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</si>
  <si>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</si>
  <si>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</si>
  <si>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</si>
  <si>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</si>
  <si>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</si>
  <si>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</si>
  <si>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</si>
  <si>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</si>
  <si>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</si>
  <si>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</si>
  <si>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</si>
  <si>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</si>
  <si>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</si>
  <si>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</si>
  <si>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</si>
  <si>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</si>
  <si>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</si>
  <si>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</si>
  <si>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</si>
  <si>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</si>
  <si>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</si>
  <si>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</si>
  <si>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</si>
  <si>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</si>
  <si>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</si>
  <si>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</si>
  <si>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</si>
  <si>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</si>
  <si>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</si>
  <si>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</si>
  <si>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</si>
  <si>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</si>
  <si>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</si>
  <si>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</si>
  <si>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</si>
  <si>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</si>
  <si>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</si>
  <si>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</si>
  <si>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</si>
  <si>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</si>
  <si>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</si>
  <si>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</si>
  <si>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</si>
  <si>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</si>
  <si>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</si>
  <si>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</si>
  <si>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</si>
  <si>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</si>
  <si>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</si>
  <si>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</si>
  <si>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</si>
  <si>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</si>
  <si>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</si>
  <si>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</si>
  <si>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</si>
  <si>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</si>
  <si>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</si>
  <si>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</si>
  <si>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</si>
  <si>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</si>
  <si>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</si>
  <si>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</si>
  <si>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</si>
  <si>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</si>
  <si>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</si>
  <si>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</si>
  <si>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</si>
  <si>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</si>
  <si>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</si>
  <si>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</si>
  <si>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</si>
  <si>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</si>
  <si>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</si>
  <si>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</si>
  <si>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</si>
  <si>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</si>
  <si>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</si>
  <si>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</si>
  <si>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</si>
  <si>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</si>
  <si>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</si>
  <si>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</si>
  <si>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</si>
  <si>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</si>
  <si>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</si>
  <si>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</si>
  <si>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</si>
  <si>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</si>
  <si>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</si>
  <si>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</si>
  <si>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</si>
  <si>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</si>
  <si>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</si>
  <si>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</si>
  <si>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</si>
  <si>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</si>
  <si>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</si>
  <si>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</si>
  <si>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</si>
  <si>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</si>
  <si>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</si>
  <si>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 MATEU</t>
  </si>
  <si>
    <t>JACOBO LAPRESTA</t>
  </si>
  <si>
    <t>JOSE VICENTE ARQUES</t>
  </si>
  <si>
    <t>LUIS CEBRIAN MICO</t>
  </si>
  <si>
    <t>MARIA DESSE</t>
  </si>
  <si>
    <t>PABLO DESSE</t>
  </si>
  <si>
    <t>BORJA RODRIGUEZ</t>
  </si>
  <si>
    <t>2:14</t>
  </si>
  <si>
    <t>05:47</t>
  </si>
  <si>
    <t>06:16</t>
  </si>
  <si>
    <t>04:28</t>
  </si>
  <si>
    <t>04:02</t>
  </si>
  <si>
    <t>00:13</t>
  </si>
  <si>
    <t>00:10</t>
  </si>
  <si>
    <t>I'm sorry because you don’t make many mistakes, but you cannot record an offensive rebound as an offensive foul. On the TV graphics you can see how the incorrect correction is made while the ball is live. Valencia entered the bonus one foul earlier than they should have. Don’t make corrections while the game is in play. Only during time-outs, IRS or at the end of a period. We are not in a hurry for corrections.
Regarding communication, keep in mind that in the office we watch the game with a delay of between 30 and 60 seconds, plus the time we spend reviewing plays. For any question or doubt about a play, please mention the action number.</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</si>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</sst>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12</v>
      </c>
      <c r="D1" s="124" t="s">
        <v>749</v>
      </c>
      <c r="E1" s="125">
        <v>2025</v>
      </c>
      <c r="F1" s="120" t="str">
        <f>TEXT(C1,"00") &amp; "_" &amp; TEXT(C2,"000")&amp; "_" &amp; H4 &amp; "_" &amp; H5 &amp; "_" &amp; B2</f>
        <v>12_119_PAM_RED_E2025</v>
      </c>
      <c r="G1" s="5"/>
      <c r="H1" s="5"/>
      <c r="I1" s="5"/>
      <c r="J1" s="8" t="s">
        <v>707</v>
      </c>
      <c r="K1" s="121" t="s">
        <v>742</v>
      </c>
      <c r="L1" s="121"/>
      <c r="M1" s="122" t="s">
        <v>239</v>
      </c>
      <c r="N1" s="121" t="s">
        <v>765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119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45982.875</v>
      </c>
      <c r="C3" s="157"/>
      <c r="D3" s="39">
        <v>602</v>
      </c>
      <c r="E3" s="29"/>
      <c r="F3" s="26">
        <f>SUBTOTAL(3,I17:I106)</f>
        <v>8</v>
      </c>
      <c r="G3" s="27">
        <f>IF(OR(D3="",D3=0),"",F3/D3)</f>
        <v>1.3289036544850499E-2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Valencia Basket</v>
      </c>
      <c r="E4" s="161"/>
      <c r="F4" s="161"/>
      <c r="G4" s="162"/>
      <c r="H4" s="118" t="str">
        <f>IF(ISERROR(VLOOKUP($B$2&amp;TEXT($C$2,"000"),GAMES!$A$3:$I$562,6,FALSE)),"LOC",VLOOKUP($B$2&amp;TEXT($C$2,"000"),GAMES!$A$3:$I$562,6,FALSE))</f>
        <v>PAM</v>
      </c>
      <c r="I4" s="5"/>
      <c r="J4" s="119" t="s">
        <v>714</v>
      </c>
      <c r="K4" s="54" t="s">
        <v>743</v>
      </c>
      <c r="L4" s="5"/>
      <c r="M4" s="167" t="s">
        <v>764</v>
      </c>
      <c r="N4" s="168"/>
      <c r="O4" s="2"/>
      <c r="P4" s="2"/>
      <c r="Q4" s="84" t="s">
        <v>175</v>
      </c>
      <c r="R4" s="94">
        <f>(IF(G3="",0,G3))</f>
        <v>1.3289036544850499E-2</v>
      </c>
      <c r="S4" s="61">
        <f>SUM(I13:M13)</f>
        <v>9</v>
      </c>
      <c r="T4" s="78"/>
      <c r="U4" s="61">
        <f>AC18</f>
        <v>4</v>
      </c>
      <c r="V4" s="61">
        <f>+AC22</f>
        <v>2</v>
      </c>
      <c r="W4" s="61">
        <f>AC24</f>
        <v>0</v>
      </c>
      <c r="X4" s="61">
        <f>AC29</f>
        <v>1</v>
      </c>
      <c r="Y4" s="61">
        <f>AC25</f>
        <v>0</v>
      </c>
      <c r="Z4" s="84">
        <f>AC23</f>
        <v>0</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Crvena Zvezda Meridianbet Belgrade</v>
      </c>
      <c r="E5" s="174"/>
      <c r="F5" s="174"/>
      <c r="G5" s="175"/>
      <c r="H5" s="118" t="str">
        <f>IF(ISERROR(VLOOKUP($B$2&amp;TEXT($C$2,"000"),GAMES!$A$3:$I$562,7,FALSE)),"VIS",VLOOKUP($B$2&amp;TEXT($C$2,"000"),GAMES!$A$3:$I$562,7,FALSE))</f>
        <v>RED</v>
      </c>
      <c r="I5" s="5"/>
      <c r="J5" s="5"/>
      <c r="K5" s="5"/>
      <c r="L5" s="5"/>
      <c r="M5" s="169"/>
      <c r="N5" s="170"/>
      <c r="O5" s="2"/>
      <c r="P5" s="2"/>
      <c r="Q5" s="89" t="s">
        <v>174</v>
      </c>
      <c r="R5" s="94">
        <f>R4*R3</f>
        <v>1.3289036544850499</v>
      </c>
      <c r="S5" s="70">
        <f t="shared" ref="S5" si="0">S4*S3</f>
        <v>9</v>
      </c>
      <c r="T5" s="92"/>
      <c r="U5" s="70">
        <f t="shared" ref="U5:AG5" si="1">U4*U3</f>
        <v>2</v>
      </c>
      <c r="V5" s="70">
        <f t="shared" si="1"/>
        <v>2</v>
      </c>
      <c r="W5" s="70">
        <f t="shared" si="1"/>
        <v>0</v>
      </c>
      <c r="X5" s="70">
        <f t="shared" si="1"/>
        <v>1</v>
      </c>
      <c r="Y5" s="70">
        <f t="shared" si="1"/>
        <v>0</v>
      </c>
      <c r="Z5" s="89">
        <f t="shared" si="1"/>
        <v>0</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30.32890365448505</v>
      </c>
      <c r="N7" s="58"/>
      <c r="O7" s="2"/>
      <c r="P7" s="2"/>
      <c r="Q7" s="86">
        <f>SUM(R5,S5,AC16)</f>
        <v>30.32890365448505</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30.32890365448505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119</v>
      </c>
      <c r="H12" s="40" t="str">
        <f>$I$10</f>
        <v>LOGISTICS</v>
      </c>
      <c r="I12" s="14" t="s">
        <v>17</v>
      </c>
      <c r="J12" s="15" t="s">
        <v>15</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6</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119</v>
      </c>
      <c r="D17" s="32" t="s">
        <v>757</v>
      </c>
      <c r="E17" s="33">
        <v>1</v>
      </c>
      <c r="F17" s="36">
        <v>19</v>
      </c>
      <c r="G17" s="36">
        <v>21</v>
      </c>
      <c r="H17" s="38" t="str">
        <f>IF(I17="","",$I$14)</f>
        <v>SCOUTING</v>
      </c>
      <c r="I17" s="34">
        <v>98</v>
      </c>
      <c r="J17" s="13" t="s">
        <v>4</v>
      </c>
      <c r="K17" s="13" t="s">
        <v>63</v>
      </c>
      <c r="L17" s="13" t="s">
        <v>75</v>
      </c>
      <c r="M17" s="13" t="s">
        <v>164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7</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119</v>
      </c>
      <c r="D18" s="32" t="s">
        <v>53</v>
      </c>
      <c r="E18" s="33">
        <v>1</v>
      </c>
      <c r="F18" s="36">
        <v>26</v>
      </c>
      <c r="G18" s="36">
        <v>26</v>
      </c>
      <c r="H18" s="38" t="str">
        <f t="shared" ref="H18:H81" si="8">IF(I18="","",$I$14)</f>
        <v>SCOUTING</v>
      </c>
      <c r="I18" s="34">
        <v>134</v>
      </c>
      <c r="J18" s="13" t="s">
        <v>4</v>
      </c>
      <c r="K18" s="13" t="s">
        <v>63</v>
      </c>
      <c r="L18" s="13" t="s">
        <v>6</v>
      </c>
      <c r="M18" s="13" t="s">
        <v>12</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2</v>
      </c>
      <c r="AB18" s="66" t="s">
        <v>5</v>
      </c>
      <c r="AC18" s="61">
        <f t="shared" si="5"/>
        <v>4</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119</v>
      </c>
      <c r="D19" s="32" t="s">
        <v>758</v>
      </c>
      <c r="E19" s="33">
        <v>2</v>
      </c>
      <c r="F19" s="36">
        <v>31</v>
      </c>
      <c r="G19" s="36">
        <v>30</v>
      </c>
      <c r="H19" s="38" t="str">
        <f t="shared" si="8"/>
        <v>SCOUTING</v>
      </c>
      <c r="I19" s="34">
        <v>206</v>
      </c>
      <c r="J19" s="13" t="s">
        <v>3</v>
      </c>
      <c r="K19" s="13" t="s">
        <v>63</v>
      </c>
      <c r="L19" s="13" t="s">
        <v>76</v>
      </c>
      <c r="M19" s="13" t="s">
        <v>8</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119</v>
      </c>
      <c r="D20" s="32" t="s">
        <v>759</v>
      </c>
      <c r="E20" s="33">
        <v>2</v>
      </c>
      <c r="F20" s="36">
        <v>31</v>
      </c>
      <c r="G20" s="36">
        <v>29</v>
      </c>
      <c r="H20" s="38" t="str">
        <f t="shared" si="8"/>
        <v>SCOUTING</v>
      </c>
      <c r="I20" s="34">
        <v>200</v>
      </c>
      <c r="J20" s="13" t="s">
        <v>4</v>
      </c>
      <c r="K20" s="13" t="s">
        <v>63</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119</v>
      </c>
      <c r="D21" s="32" t="s">
        <v>760</v>
      </c>
      <c r="E21" s="33">
        <v>3</v>
      </c>
      <c r="F21" s="36">
        <v>52</v>
      </c>
      <c r="G21" s="36">
        <v>53</v>
      </c>
      <c r="H21" s="38" t="str">
        <f t="shared" si="8"/>
        <v>SCOUTING</v>
      </c>
      <c r="I21" s="34">
        <v>383</v>
      </c>
      <c r="J21" s="13" t="s">
        <v>4</v>
      </c>
      <c r="K21" s="13" t="s">
        <v>62</v>
      </c>
      <c r="L21" s="13" t="s">
        <v>5</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119</v>
      </c>
      <c r="D22" s="32" t="s">
        <v>761</v>
      </c>
      <c r="E22" s="33">
        <v>3</v>
      </c>
      <c r="F22" s="36">
        <v>55</v>
      </c>
      <c r="G22" s="36">
        <v>53</v>
      </c>
      <c r="H22" s="38" t="str">
        <f t="shared" si="8"/>
        <v>SCOUTING</v>
      </c>
      <c r="I22" s="34">
        <v>402</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119</v>
      </c>
      <c r="D23" s="32" t="s">
        <v>762</v>
      </c>
      <c r="E23" s="33">
        <v>3</v>
      </c>
      <c r="F23" s="36">
        <v>60</v>
      </c>
      <c r="G23" s="36">
        <v>60</v>
      </c>
      <c r="H23" s="38" t="str">
        <f t="shared" si="8"/>
        <v>SCOUTING</v>
      </c>
      <c r="I23" s="34">
        <v>449</v>
      </c>
      <c r="J23" s="13" t="s">
        <v>4</v>
      </c>
      <c r="K23" s="13" t="s">
        <v>63</v>
      </c>
      <c r="L23" s="13" t="s">
        <v>6</v>
      </c>
      <c r="M23" s="13" t="s">
        <v>168</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119</v>
      </c>
      <c r="D24" s="32" t="s">
        <v>763</v>
      </c>
      <c r="E24" s="33">
        <v>4</v>
      </c>
      <c r="F24" s="36">
        <v>75</v>
      </c>
      <c r="G24" s="36">
        <v>73</v>
      </c>
      <c r="H24" s="38" t="str">
        <f t="shared" si="8"/>
        <v>SCOUTING</v>
      </c>
      <c r="I24" s="34">
        <v>588</v>
      </c>
      <c r="J24" s="13" t="s">
        <v>4</v>
      </c>
      <c r="K24" s="13" t="s">
        <v>63</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1</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REPORT_E2025119</v>
      </c>
    </row>
    <row r="2" spans="2:6" x14ac:dyDescent="0.25">
      <c r="F2" s="45" t="s">
        <v>157</v>
      </c>
    </row>
    <row r="3" spans="2:6" x14ac:dyDescent="0.25">
      <c r="B3" s="43" t="s">
        <v>156</v>
      </c>
      <c r="C3" s="43" t="str">
        <f>""""&amp;'SCOUT &amp; LOGISTICS'!B2&amp;TEXT('SCOUT &amp; LOGISTICS'!C2,"000")&amp;""""</f>
        <v>"E2025119"</v>
      </c>
      <c r="F3" s="45" t="str">
        <f t="shared" ref="F3:F16" si="0">""""&amp;B3&amp;"""" &amp; " : " &amp;C3&amp;","</f>
        <v>"name" : "E2025119",</v>
      </c>
    </row>
    <row r="4" spans="2:6" x14ac:dyDescent="0.25">
      <c r="B4" s="43" t="s">
        <v>119</v>
      </c>
      <c r="C4" s="43" t="str">
        <f>""""&amp;LEFT('SCOUT &amp; LOGISTICS'!B2,1) &amp; TEXT('SCOUT &amp; LOGISTICS'!C2,"000")&amp;""""</f>
        <v>"E119"</v>
      </c>
      <c r="F4" s="45" t="str">
        <f t="shared" si="0"/>
        <v>"cod" : "E119",</v>
      </c>
    </row>
    <row r="5" spans="2:6" x14ac:dyDescent="0.25">
      <c r="B5" s="43" t="s">
        <v>117</v>
      </c>
      <c r="C5" s="43" t="str">
        <f>""""&amp;LEFT('SCOUT &amp; LOGISTICS'!B2,1)&amp;""""</f>
        <v>"E"</v>
      </c>
      <c r="F5" s="45" t="str">
        <f t="shared" si="0"/>
        <v>"competition" : "E",</v>
      </c>
    </row>
    <row r="6" spans="2:6" x14ac:dyDescent="0.25">
      <c r="B6" s="43" t="s">
        <v>118</v>
      </c>
      <c r="C6" s="43" t="str">
        <f>TEXT('SCOUT &amp; LOGISTICS'!C2,"000")</f>
        <v>119</v>
      </c>
      <c r="F6" s="45" t="str">
        <f t="shared" si="0"/>
        <v>"number" : 119,</v>
      </c>
    </row>
    <row r="7" spans="2:6" x14ac:dyDescent="0.25">
      <c r="B7" s="43" t="s">
        <v>116</v>
      </c>
      <c r="C7" s="43" t="str">
        <f ca="1">""""&amp;TEXT('SCOUT &amp; LOGISTICS'!B3,"dd/mm/aaaa")&amp;""""</f>
        <v>"21/11/Friday"</v>
      </c>
      <c r="F7" s="45" t="str">
        <f t="shared" ca="1" si="0"/>
        <v>"date" : "21/11/Friday",</v>
      </c>
    </row>
    <row r="8" spans="2:6" x14ac:dyDescent="0.25">
      <c r="B8" s="43" t="s">
        <v>125</v>
      </c>
      <c r="C8" s="43" t="str">
        <f>""""&amp;'SCOUT &amp; LOGISTICS'!D4 &amp;""""</f>
        <v>"Valencia Basket"</v>
      </c>
      <c r="F8" s="45" t="str">
        <f t="shared" si="0"/>
        <v>"home_team" : "Valencia Basket",</v>
      </c>
    </row>
    <row r="9" spans="2:6" x14ac:dyDescent="0.25">
      <c r="B9" s="43" t="s">
        <v>126</v>
      </c>
      <c r="C9" s="43" t="str">
        <f>""""&amp;'SCOUT &amp; LOGISTICS'!D5&amp;""""</f>
        <v>"Crvena Zvezda Meridianbet Belgrade"</v>
      </c>
      <c r="F9" s="45" t="str">
        <f t="shared" si="0"/>
        <v>"away_team" : "Crvena Zvezda Meridianbet Belgrade",</v>
      </c>
    </row>
    <row r="10" spans="2:6" x14ac:dyDescent="0.25">
      <c r="B10" s="43" t="s">
        <v>127</v>
      </c>
      <c r="C10" s="43" t="str">
        <f>""""&amp;IF('SCOUT &amp; LOGISTICS'!D6="","",'SCOUT &amp; LOGISTICS'!D6)&amp;""""</f>
        <v>"JACOBO LAPRESTA"</v>
      </c>
      <c r="F10" s="45" t="str">
        <f t="shared" si="0"/>
        <v>"Data_entry" : "JACOBO LAPRESTA",</v>
      </c>
    </row>
    <row r="11" spans="2:6" x14ac:dyDescent="0.25">
      <c r="B11" s="43" t="s">
        <v>128</v>
      </c>
      <c r="C11" s="43" t="str">
        <f>""""&amp;IF('SCOUT &amp; LOGISTICS'!D7="","",'SCOUT &amp; LOGISTICS'!D7)&amp;""""</f>
        <v>"JOSE VICENTE ARQUES"</v>
      </c>
      <c r="F11" s="45" t="str">
        <f t="shared" si="0"/>
        <v>"Caller_1" : "JOSE VICENTE ARQUES",</v>
      </c>
    </row>
    <row r="12" spans="2:6" x14ac:dyDescent="0.25">
      <c r="B12" s="43" t="s">
        <v>129</v>
      </c>
      <c r="C12" s="43" t="str">
        <f>""""&amp;IF('SCOUT &amp; LOGISTICS'!D8="","",'SCOUT &amp; LOGISTICS'!D8)&amp;""""</f>
        <v>"LUIS CEBRIAN MICO"</v>
      </c>
      <c r="F12" s="45" t="str">
        <f t="shared" si="0"/>
        <v>"Caller_2" : "LUIS CEBRIAN MICO",</v>
      </c>
    </row>
    <row r="13" spans="2:6" x14ac:dyDescent="0.25">
      <c r="B13" s="43" t="s">
        <v>98</v>
      </c>
      <c r="C13" s="43" t="str">
        <f>""""&amp;IF('SCOUT &amp; LOGISTICS'!D9="","",'SCOUT &amp; LOGISTICS'!D9)&amp;""""</f>
        <v>"MARIA DESSE"</v>
      </c>
      <c r="F13" s="45" t="str">
        <f t="shared" si="0"/>
        <v>"Timerkeeper" : "MARIA DESSE",</v>
      </c>
    </row>
    <row r="14" spans="2:6" x14ac:dyDescent="0.25">
      <c r="B14" s="43" t="s">
        <v>99</v>
      </c>
      <c r="C14" s="43" t="str">
        <f>""""&amp;IF('SCOUT &amp; LOGISTICS'!D10="","",'SCOUT &amp; LOGISTICS'!D10)&amp;""""</f>
        <v>"PABLO DESSE"</v>
      </c>
      <c r="F14" s="45" t="str">
        <f t="shared" si="0"/>
        <v>"Shotclock" : "PABLO DESSE",</v>
      </c>
    </row>
    <row r="15" spans="2:6" x14ac:dyDescent="0.25">
      <c r="B15" s="43" t="s">
        <v>108</v>
      </c>
      <c r="C15" s="43" t="str">
        <f>""""&amp;IF('SCOUT &amp; LOGISTICS'!D11="","",'SCOUT &amp; LOGISTICS'!D11)&amp;""""</f>
        <v>"BORJA RODRIGUEZ"</v>
      </c>
      <c r="F15" s="45" t="str">
        <f t="shared" si="0"/>
        <v>"IRS" : "BORJA RODRIGUEZ",</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"NO"</v>
      </c>
      <c r="F19" s="45" t="str">
        <f>""""&amp;C19&amp;"""" &amp; " : " &amp;D19&amp;","</f>
        <v>"check_list_on_time" : "NO",</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602</v>
      </c>
      <c r="F25" s="45" t="str">
        <f t="shared" ref="F25:F48" si="1">""""&amp;C25&amp;"""" &amp; " : " &amp;D25&amp;","</f>
        <v>"total_actions" : 602,</v>
      </c>
    </row>
    <row r="26" spans="2:6" x14ac:dyDescent="0.25">
      <c r="C26" s="43" t="s">
        <v>132</v>
      </c>
      <c r="D26" s="43">
        <f>'SCOUT &amp; LOGISTICS'!F3</f>
        <v>8</v>
      </c>
      <c r="F26" s="45" t="str">
        <f t="shared" si="1"/>
        <v>"total_correcions" : 8,</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2</v>
      </c>
      <c r="F32" s="45" t="str">
        <f t="shared" si="1"/>
        <v>"q2" : 2,</v>
      </c>
    </row>
    <row r="33" spans="3:6" x14ac:dyDescent="0.25">
      <c r="C33" s="43" t="s">
        <v>137</v>
      </c>
      <c r="D33" s="43">
        <f>'SCOUT &amp; LOGISTICS'!AG19</f>
        <v>3</v>
      </c>
      <c r="F33" s="45" t="str">
        <f t="shared" si="1"/>
        <v>"q3" : 3,</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"I'm sorry because you don’t make many mistakes, but you cannot record an offensive rebound as an offensive foul. On the TV graphics you can see how the incorrect correction is made while the ball is live. Valencia entered the bonus one foul earlier than they should have. Don’t make corrections while the game is in play. Only during time-outs, IRS or at the end of a period. We are not in a hurry for corrections.
Regarding communication, keep in mind that in the office we watch the game with a delay of between 30 and 60 seconds, plus the time we spend reviewing plays. For any question or doubt about a play, please mention the action number."</v>
      </c>
      <c r="F51" s="45" t="str">
        <f>""""&amp;B51&amp;"""" &amp; " : " &amp;C51&amp;","</f>
        <v>"comments" : "I'm sorry because you don’t make many mistakes, but you cannot record an offensive rebound as an offensive foul. On the TV graphics you can see how the incorrect correction is made while the ball is live. Valencia entered the bonus one foul earlier than they should have. Don’t make corrections while the game is in play. Only during time-outs, IRS or at the end of a period. We are not in a hurry for corrections.
Regarding communication, keep in mind that in the office we watch the game with a delay of between 30 and 60 seconds, plus the time we spend reviewing plays. For any question or doubt about a play, please mention the action number.",</v>
      </c>
    </row>
    <row r="52" spans="2:6" x14ac:dyDescent="0.25">
      <c r="B52" s="43" t="s">
        <v>153</v>
      </c>
      <c r="C52" s="43" t="str">
        <f>TEXT('SCOUT &amp; LOGISTICS'!F1,"0,0")</f>
        <v>12_119_PAM_RED_E2025</v>
      </c>
      <c r="F52" s="45" t="str">
        <f>""""&amp;B52&amp;"""" &amp; " : " &amp;C52</f>
        <v>"result" : 12_119_PAM_RED_E2025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E119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21/11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Valencia Basket</v>
      </c>
      <c r="C6" s="212"/>
      <c r="D6" s="212"/>
      <c r="E6" s="212"/>
      <c r="F6" s="212"/>
      <c r="G6" s="212"/>
      <c r="H6" s="212"/>
      <c r="I6" s="212"/>
      <c r="J6" s="212"/>
      <c r="K6" s="212"/>
      <c r="L6" s="212"/>
      <c r="M6" s="212"/>
      <c r="N6" s="212"/>
      <c r="O6" s="212"/>
      <c r="P6" s="212"/>
      <c r="Q6" s="212" t="str">
        <f>PROPER('SCOUT &amp; LOGISTICS'!D5)</f>
        <v>Crvena Zvezda Meridianbet Belgrade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JACOBO LAPRESTA</v>
      </c>
      <c r="C8" s="206"/>
      <c r="D8" s="206"/>
      <c r="E8" s="206"/>
      <c r="F8" s="206"/>
      <c r="G8" s="206" t="str">
        <f>IF('SCOUT &amp; LOGISTICS'!D7="","",'SCOUT &amp; LOGISTICS'!D7)</f>
        <v>JOSE VICENTE ARQUES</v>
      </c>
      <c r="H8" s="206"/>
      <c r="I8" s="206"/>
      <c r="J8" s="206"/>
      <c r="K8" s="206"/>
      <c r="L8" s="206" t="str">
        <f>IF('SCOUT &amp; LOGISTICS'!D8="","",'SCOUT &amp; LOGISTICS'!D8)</f>
        <v>LUIS CEBRIAN MICO</v>
      </c>
      <c r="M8" s="206"/>
      <c r="N8" s="206"/>
      <c r="O8" s="206"/>
      <c r="P8" s="206"/>
      <c r="Q8" s="206" t="str">
        <f>IF('SCOUT &amp; LOGISTICS'!D9="","",'SCOUT &amp; LOGISTICS'!D9)</f>
        <v>MARIA DESSE</v>
      </c>
      <c r="R8" s="206"/>
      <c r="S8" s="206"/>
      <c r="T8" s="206"/>
      <c r="U8" s="206"/>
      <c r="V8" s="206" t="str">
        <f>IF('SCOUT &amp; LOGISTICS'!D10="","",'SCOUT &amp; LOGISTICS'!D10)</f>
        <v>PABLO DESSE</v>
      </c>
      <c r="W8" s="206"/>
      <c r="X8" s="206"/>
      <c r="Y8" s="206"/>
      <c r="Z8" s="206"/>
      <c r="AA8" s="206" t="str">
        <f>IF('SCOUT &amp; LOGISTICS'!D11="","",'SCOUT &amp; LOGISTICS'!D11)</f>
        <v>BORJA RODRIGUEZ</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NO</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602</v>
      </c>
      <c r="C17" s="204"/>
      <c r="D17" s="204"/>
      <c r="E17" s="204"/>
      <c r="F17" s="204"/>
      <c r="G17" s="204"/>
      <c r="H17" s="204"/>
      <c r="I17" s="204"/>
      <c r="J17" s="204"/>
      <c r="K17" s="204"/>
      <c r="L17" s="204">
        <f>'SCOUT &amp; LOGISTICS'!F3</f>
        <v>8</v>
      </c>
      <c r="M17" s="204"/>
      <c r="N17" s="204"/>
      <c r="O17" s="204"/>
      <c r="P17" s="204"/>
      <c r="Q17" s="204"/>
      <c r="R17" s="204"/>
      <c r="S17" s="204"/>
      <c r="T17" s="204"/>
      <c r="U17" s="204"/>
      <c r="V17" s="205">
        <f>IF(OR(B17="",B17=0),"",L17/B17)</f>
        <v>1.3289036544850499E-2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2</v>
      </c>
      <c r="I22" s="197"/>
      <c r="J22" s="197"/>
      <c r="K22" s="197"/>
      <c r="L22" s="197"/>
      <c r="M22" s="197"/>
      <c r="N22" s="197">
        <f>'SCOUT &amp; LOGISTICS'!AG19</f>
        <v>3</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7</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4</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I'm sorry because you don’t make many mistakes, but you cannot record an offensive rebound as an offensive foul. On the TV graphics you can see how the incorrect correction is made while the ball is live. Valencia entered the bonus one foul earlier than they should have. Don’t make corrections while the game is in play. Only during time-outs, IRS or at the end of a period. We are not in a hurry for corrections.
Regarding communication, keep in mind that in the office we watch the game with a delay of between 30 and 60 seconds, plus the time we spend reviewing plays. For any question or doubt about a play, please mention the action number.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30.32890365448505</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4F405845-37D8-420A-86C4-71F742ED7E24}"/>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2025-11-25T15:21:03Z</cp:lastPrinted>
  <dcterms:created xsi:type="dcterms:W3CDTF">2023-09-19T19:50:35Z</dcterms:created>
  <dcterms:modified xsi:type="dcterms:W3CDTF">2025-11-25T15:22:50Z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