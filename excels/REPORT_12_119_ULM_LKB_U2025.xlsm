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0" documentId="8_{3321F7AA-8415-4A43-BAA1-1862AD24F06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<sst xmlns="http://schemas.openxmlformats.org/spreadsheetml/2006/main" count="3321" uniqueCount="826">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</sst>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12_119_ULM_LKB_U2025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119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46024.791666666664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ratiopharm Ulm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743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Lietkabelis Panevezys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/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/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/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/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/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"U2025119"</v>
      </c>
      <c r="F3" s="45" t="str">
        <f t="shared" ref="F3:F16" si="0">""""&amp;B3&amp;"""" &amp; " : " &amp;C3&amp;","</f>
        <v>"name" : "U2025119",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"U119"</v>
      </c>
      <c r="F4" s="45" t="str">
        <f t="shared" si="0"/>
        <v>"cod" : "U119",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119</v>
      </c>
      <c r="F6" s="45" t="str">
        <f t="shared" si="0"/>
        <v>"number" : 119,</v>
      </c>
    </row>
    <row r="7" spans="2:6" x14ac:dyDescent="0.25">
      <c r="B7" s="43" t="s">
        <v>116</v>
      </c>
      <c r="C7" s="43" t="str">
        <f ca="1">""""&amp;TEXT('SCOUT &amp; LOGISTICS'!B3,"dd/mm/aaaa")&amp;""""</f>
        <v>"02/01/2026"</v>
      </c>
      <c r="F7" s="45" t="str">
        <f t="shared" ca="1" si="0"/>
        <v>"date" : "02/01/2026",</v>
      </c>
    </row>
    <row r="8" spans="2:6" x14ac:dyDescent="0.25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5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5">
      <c r="B52" s="43" t="s">
        <v>153</v>
      </c>
      <c r="C52" s="43" t="str">
        <f>TEXT('SCOUT &amp; LOGISTICS'!F1,"0,0")</f>
        <v>12_119_ULM_LKB_U2025</v>
      </c>
      <c r="F52" s="45" t="str">
        <f>""""&amp;B52&amp;"""" &amp; " : " &amp;C52</f>
        <v>"result" : 12_119_ULM_LKB_U2025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U119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Ratiopharm Ulm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Lietkabelis Panevezys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/>
      </c>
      <c r="C8" s="206"/>
      <c r="D8" s="206"/>
      <c r="E8" s="206"/>
      <c r="F8" s="206"/>
      <c r="G8" s="206" t="str">
        <f>IF('SCOUT &amp; LOGISTICS'!D7="","",'SCOUT &amp; LOGISTICS'!D7)</f>
        <v/>
      </c>
      <c r="H8" s="206"/>
      <c r="I8" s="206"/>
      <c r="J8" s="206"/>
      <c r="K8" s="206"/>
      <c r="L8" s="206" t="str">
        <f>IF('SCOUT &amp; LOGISTICS'!D8="","",'SCOUT &amp; LOGISTICS'!D8)</f>
        <v/>
      </c>
      <c r="M8" s="206"/>
      <c r="N8" s="206"/>
      <c r="O8" s="206"/>
      <c r="P8" s="206"/>
      <c r="Q8" s="206" t="str">
        <f>IF('SCOUT &amp; LOGISTICS'!D9="","",'SCOUT &amp; LOGISTICS'!D9)</f>
        <v/>
      </c>
      <c r="R8" s="206"/>
      <c r="S8" s="206"/>
      <c r="T8" s="206"/>
      <c r="U8" s="206"/>
      <c r="V8" s="206" t="str">
        <f>IF('SCOUT &amp; LOGISTICS'!D10="","",'SCOUT &amp; LOGISTICS'!D10)</f>
        <v/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739ED9-AB41-42BB-9C66-CD85B338E36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2025-12-23T17:32:05Z</cp:lastPrinted>
  <dcterms:created xsi:type="dcterms:W3CDTF">2023-09-19T19:50:35Z</dcterms:created>
  <dcterms:modified xsi:type="dcterms:W3CDTF">2026-01-13T15:24:09Z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