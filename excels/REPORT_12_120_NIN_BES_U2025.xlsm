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6" documentId="8_{28E79700-E2B7-4916-BFFB-B200862E74E4}" xr6:coauthVersionLast="47" xr6:coauthVersionMax="47" xr10:uidLastSave="{EF1FBF02-D5AE-427A-8D0B-7874FBF72E42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<sst xmlns="http://schemas.openxmlformats.org/spreadsheetml/2006/main" count="3387" uniqueCount="843">
  <si>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</si>
  <si>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</si>
  <si>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</si>
  <si>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</si>
  <si>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</si>
  <si>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</si>
  <si>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</si>
  <si>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</si>
  <si>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</si>
  <si>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</si>
  <si>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</si>
  <si>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</si>
  <si>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</si>
  <si>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</si>
  <si>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</si>
  <si>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</si>
  <si>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</si>
  <si>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</si>
  <si>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</si>
  <si>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</si>
  <si>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</si>
  <si>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</si>
  <si>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</si>
  <si>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</si>
  <si>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</si>
  <si>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</si>
  <si>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</si>
  <si>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</si>
  <si>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</si>
  <si>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</si>
  <si>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</si>
  <si>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</si>
  <si>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</si>
  <si>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</si>
  <si>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</si>
  <si>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</si>
  <si>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</si>
  <si>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</si>
  <si>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</si>
  <si>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</si>
  <si>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</si>
  <si>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</si>
  <si>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</si>
  <si>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</si>
  <si>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</si>
  <si>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</si>
  <si>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</si>
  <si>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</si>
  <si>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</si>
  <si>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</si>
  <si>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</si>
  <si>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</si>
  <si>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</si>
  <si>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</si>
  <si>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</si>
  <si>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</si>
  <si>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</si>
  <si>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</si>
  <si>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</si>
  <si>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</si>
  <si>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</si>
  <si>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</si>
  <si>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</si>
  <si>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</si>
  <si>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</si>
  <si>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</si>
  <si>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</si>
  <si>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</si>
  <si>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</si>
  <si>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</si>
  <si>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</si>
  <si>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</si>
  <si>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</si>
  <si>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</si>
  <si>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</si>
  <si>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</si>
  <si>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</si>
  <si>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</si>
  <si>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</si>
  <si>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</si>
  <si>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</si>
  <si>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</si>
  <si>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</si>
  <si>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</si>
  <si>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</si>
  <si>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</si>
  <si>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</si>
  <si>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</si>
  <si>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</si>
  <si>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</si>
  <si>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</si>
  <si>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</si>
  <si>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</si>
  <si>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</si>
  <si>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</si>
  <si>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</si>
  <si>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</si>
  <si>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</si>
  <si>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</si>
  <si>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</si>
  <si>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</si>
  <si>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</si>
  <si>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</si>
  <si>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</si>
  <si>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</si>
  <si>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</si>
  <si>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</si>
  <si>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</si>
  <si>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</si>
  <si>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</si>
  <si>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</si>
  <si>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</si>
  <si>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</si>
  <si>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</si>
  <si>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</si>
  <si>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</si>
  <si>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</si>
  <si>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</si>
  <si>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</si>
  <si>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</si>
  <si>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</si>
  <si>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</si>
  <si>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</si>
  <si>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</si>
  <si>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</si>
  <si>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</si>
  <si>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</si>
  <si>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</si>
  <si>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</si>
  <si>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</si>
  <si>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</si>
  <si>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</si>
  <si>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</si>
  <si>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</si>
  <si>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</si>
  <si>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</si>
  <si>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</si>
  <si>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</si>
  <si>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</si>
  <si>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</si>
  <si>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</si>
  <si>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</si>
  <si>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</si>
  <si>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</si>
  <si>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</si>
  <si>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</si>
  <si>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</si>
  <si>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</si>
  <si>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</si>
  <si>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</si>
  <si>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</si>
  <si>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</si>
  <si>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</si>
  <si>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</si>
  <si>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</si>
  <si>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</si>
  <si>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</si>
  <si>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</si>
  <si>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</si>
  <si>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</si>
  <si>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</si>
  <si>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</si>
  <si>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</si>
  <si>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</si>
  <si>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</si>
  <si>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</si>
  <si>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</si>
  <si>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</si>
  <si>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</si>
  <si>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</si>
  <si>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</si>
  <si>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</si>
  <si>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</si>
  <si>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</si>
  <si>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</si>
  <si>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</si>
  <si>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</si>
  <si>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</si>
  <si>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</si>
  <si>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</si>
  <si>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</si>
  <si>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</si>
  <si>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</si>
  <si>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</si>
  <si>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</si>
  <si>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</si>
  <si>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</si>
  <si>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</si>
  <si>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</si>
  <si>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</si>
  <si>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</si>
  <si>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</si>
  <si>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</si>
  <si>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</si>
  <si>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</si>
  <si>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</si>
  <si>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</si>
  <si>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</si>
  <si>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</si>
  <si>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</si>
  <si>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</si>
  <si>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</si>
  <si>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</si>
  <si>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</si>
  <si>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</si>
  <si>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</si>
  <si>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</si>
  <si>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</si>
  <si>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</si>
  <si>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</si>
  <si>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</si>
  <si>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</si>
  <si>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</si>
  <si>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</si>
  <si>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</si>
  <si>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</si>
  <si>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</si>
  <si>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</si>
  <si>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</si>
  <si>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</si>
  <si>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</si>
  <si>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</si>
  <si>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</si>
  <si>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</si>
  <si>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</si>
  <si>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</si>
  <si>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</si>
  <si>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</si>
  <si>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</si>
  <si>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</si>
  <si>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</si>
  <si>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</si>
  <si>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</si>
  <si>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</si>
  <si>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</si>
  <si>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</si>
  <si>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</si>
  <si>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</si>
  <si>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</si>
  <si>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</si>
  <si>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</si>
  <si>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</si>
  <si>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</si>
  <si>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</si>
  <si>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</si>
  <si>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</si>
  <si>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</si>
  <si>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</si>
  <si>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</si>
  <si>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</si>
  <si>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</si>
  <si>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</si>
  <si>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</si>
  <si>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</si>
  <si>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</si>
  <si>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</si>
  <si>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</si>
  <si>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</si>
  <si>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</si>
  <si>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</si>
  <si>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</si>
  <si>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</si>
  <si>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</si>
  <si>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</si>
  <si>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</si>
  <si>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</si>
  <si>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</si>
  <si>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</si>
  <si>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</si>
  <si>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</si>
  <si>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</si>
  <si>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</si>
  <si>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</si>
  <si>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</si>
  <si>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</si>
  <si>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</si>
  <si>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</si>
  <si>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</si>
  <si>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</si>
  <si>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</si>
  <si>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</si>
  <si>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</si>
  <si>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</si>
  <si>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</si>
  <si>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</si>
  <si>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</si>
  <si>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</si>
  <si>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</si>
  <si>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</si>
  <si>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</si>
  <si>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</si>
  <si>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</si>
  <si>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</si>
  <si>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</si>
  <si>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</si>
  <si>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</si>
  <si>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</si>
  <si>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</si>
  <si>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</si>
  <si>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</si>
  <si>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</si>
  <si>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</si>
  <si>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</si>
  <si>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</si>
  <si>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</si>
  <si>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</si>
  <si>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</si>
  <si>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</si>
  <si>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</si>
  <si>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</si>
  <si>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</si>
  <si>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</si>
  <si>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</si>
  <si>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</si>
  <si>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</si>
  <si>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</si>
  <si>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</si>
  <si>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</si>
  <si>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</si>
  <si>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</si>
  <si>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</si>
  <si>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</si>
  <si>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</si>
  <si>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</si>
  <si>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</si>
  <si>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</si>
  <si>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</si>
  <si>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</si>
  <si>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</si>
  <si>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</si>
  <si>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</si>
  <si>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</si>
  <si>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</si>
  <si>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</si>
  <si>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</si>
  <si>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</si>
  <si>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</si>
  <si>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</si>
  <si>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</si>
  <si>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</si>
  <si>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</si>
  <si>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</si>
  <si>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</si>
  <si>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</si>
  <si>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</si>
  <si>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</si>
  <si>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</si>
  <si>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</si>
  <si>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</si>
  <si>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</si>
  <si>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</si>
  <si>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</si>
  <si>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</si>
  <si>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</si>
  <si>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</si>
  <si>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</si>
  <si>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</si>
  <si>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</si>
  <si>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</si>
  <si>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</si>
  <si>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</si>
  <si>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</si>
  <si>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</si>
  <si>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</si>
  <si>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</si>
  <si>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</si>
  <si>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</si>
  <si>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</si>
  <si>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</si>
  <si>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</si>
  <si>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</si>
  <si>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</si>
  <si>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</si>
  <si>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</si>
  <si>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</si>
  <si>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</si>
  <si>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</si>
  <si>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</si>
  <si>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</si>
  <si>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</si>
  <si>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</si>
  <si>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</si>
  <si>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</si>
  <si>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</si>
  <si>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</si>
  <si>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</si>
  <si>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</si>
  <si>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</si>
  <si>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</si>
  <si>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</si>
  <si>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</si>
  <si>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</si>
  <si>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</si>
  <si>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</si>
  <si>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</si>
  <si>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</si>
  <si>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</si>
  <si>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</si>
  <si>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</si>
  <si>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</si>
  <si>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</si>
  <si>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</si>
  <si>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</si>
  <si>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</si>
  <si>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</si>
  <si>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</si>
  <si>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</si>
  <si>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</si>
  <si>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</si>
  <si>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</si>
  <si>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</si>
  <si>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</si>
  <si>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</si>
  <si>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</si>
  <si>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</si>
  <si>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</si>
  <si>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</si>
  <si>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</si>
  <si>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</si>
  <si>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</si>
  <si>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</si>
  <si>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</si>
  <si>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</si>
  <si>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</si>
  <si>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</si>
  <si>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</si>
  <si>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</si>
  <si>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</si>
  <si>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</si>
  <si>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</si>
  <si>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</si>
  <si>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</si>
  <si>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</si>
  <si>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</si>
  <si>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</si>
  <si>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</si>
  <si>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</si>
  <si>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</si>
  <si>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</si>
  <si>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</si>
  <si>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</si>
  <si>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</si>
  <si>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</si>
  <si>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</si>
  <si>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</si>
  <si>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</si>
  <si>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</si>
  <si>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</si>
  <si>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</si>
  <si>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</si>
  <si>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</si>
  <si>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</si>
  <si>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</si>
  <si>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</si>
  <si>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</si>
  <si>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</si>
  <si>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</si>
  <si>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</si>
  <si>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</si>
  <si>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</si>
  <si>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</si>
  <si>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</si>
  <si>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</si>
  <si>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</si>
  <si>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</si>
  <si>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</si>
  <si>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</si>
  <si>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</si>
  <si>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</si>
  <si>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</si>
  <si>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</si>
  <si>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</si>
  <si>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</si>
  <si>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</si>
  <si>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</si>
  <si>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</si>
  <si>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</si>
  <si>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</si>
  <si>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</si>
  <si>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</si>
  <si>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</si>
  <si>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</si>
  <si>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</si>
  <si>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</si>
  <si>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</si>
  <si>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</si>
  <si>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</si>
  <si>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</si>
  <si>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</si>
  <si>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</si>
  <si>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</si>
  <si>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</si>
  <si>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</si>
  <si>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</si>
  <si>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</si>
  <si>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</si>
  <si>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</si>
  <si>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</si>
  <si>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</si>
  <si>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</si>
  <si>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</si>
  <si>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</si>
  <si>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</si>
  <si>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</si>
  <si>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</si>
  <si>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</si>
  <si>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</si>
  <si>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</si>
  <si>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</si>
  <si>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</si>
  <si>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</si>
  <si>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</si>
  <si>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</si>
  <si>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</si>
  <si>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</si>
  <si>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</si>
  <si>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</si>
  <si>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</si>
  <si>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</si>
  <si>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</si>
  <si>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</si>
  <si>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</si>
  <si>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</si>
  <si>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</si>
  <si>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</si>
  <si>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</si>
  <si>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</si>
  <si>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</si>
  <si>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</si>
  <si>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</si>
  <si>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</si>
  <si>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</si>
  <si>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</si>
  <si>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</si>
  <si>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</si>
  <si>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</si>
  <si>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</si>
  <si>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</si>
  <si>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</si>
  <si>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</si>
  <si>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</si>
  <si>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</si>
  <si>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</si>
  <si>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</si>
  <si>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</si>
  <si>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</si>
  <si>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</si>
  <si>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</si>
  <si>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</si>
  <si>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</si>
  <si>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</si>
  <si>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</si>
  <si>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</si>
  <si>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</si>
  <si>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</si>
  <si>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</si>
  <si>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</si>
  <si>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</si>
  <si>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</si>
  <si>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</si>
  <si>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</si>
  <si>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</si>
  <si>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</si>
  <si>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</si>
  <si>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</si>
  <si>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</si>
  <si>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</si>
  <si>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</si>
  <si>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</si>
  <si>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</si>
  <si>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</si>
  <si>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</si>
  <si>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</si>
  <si>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</si>
  <si>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</si>
  <si>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</si>
  <si>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</si>
  <si>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</si>
  <si>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</si>
  <si>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</si>
  <si>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</si>
  <si>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</si>
  <si>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</si>
  <si>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</si>
  <si>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</si>
  <si>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</si>
  <si>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</si>
  <si>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</si>
  <si>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</si>
  <si>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</si>
  <si>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</si>
  <si>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</si>
  <si>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</si>
  <si>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</si>
  <si>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</si>
  <si>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</si>
  <si>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</si>
  <si>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</si>
  <si>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</si>
  <si>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</si>
  <si>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</si>
  <si>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</si>
  <si>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</si>
  <si>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</si>
  <si>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</si>
  <si>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</si>
  <si>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</si>
  <si>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</si>
  <si>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</si>
  <si>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</si>
  <si>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</si>
  <si>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</si>
  <si>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</si>
  <si>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</si>
  <si>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</si>
  <si>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</si>
  <si>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</si>
  <si>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</si>
  <si>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</si>
  <si>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</si>
  <si>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</si>
  <si>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</si>
  <si>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</si>
  <si>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</si>
  <si>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</si>
  <si>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</si>
  <si>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</si>
  <si>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</si>
  <si>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</si>
  <si>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</si>
  <si>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</si>
  <si>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</si>
  <si>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</si>
  <si>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</si>
  <si>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</si>
  <si>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</si>
  <si>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</si>
  <si>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</si>
  <si>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</si>
  <si>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</si>
  <si>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</si>
  <si>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</si>
  <si>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</si>
  <si>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</si>
  <si>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</si>
  <si>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</si>
  <si>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</si>
  <si>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</si>
  <si>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</si>
  <si>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</si>
  <si>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</si>
  <si>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</si>
  <si>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</si>
  <si>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</si>
  <si>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</si>
  <si>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</si>
  <si>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</si>
  <si>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</si>
  <si>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</si>
  <si>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</si>
  <si>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</si>
  <si>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</si>
  <si>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</si>
  <si>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</si>
  <si>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</si>
  <si>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</si>
  <si>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</si>
  <si>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</si>
  <si>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</si>
  <si>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</si>
  <si>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</si>
  <si>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</si>
  <si>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</si>
  <si>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</si>
  <si>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</si>
  <si>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</si>
  <si>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</si>
  <si>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</si>
  <si>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</si>
  <si>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</si>
  <si>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</si>
  <si>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</si>
  <si>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</si>
  <si>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</si>
  <si>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</si>
  <si>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</si>
  <si>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</si>
  <si>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</si>
  <si>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</si>
  <si>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</si>
  <si>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</si>
  <si>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</si>
  <si>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</si>
  <si>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</si>
  <si>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</si>
  <si>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</si>
  <si>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</si>
  <si>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</si>
  <si>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</si>
  <si>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</si>
  <si>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</si>
  <si>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</si>
  <si>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</si>
  <si>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</si>
  <si>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</si>
  <si>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</si>
  <si>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</si>
  <si>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</si>
  <si>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</si>
  <si>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</si>
  <si>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</si>
  <si>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</si>
  <si>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</si>
  <si>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</si>
  <si>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</si>
  <si>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</si>
  <si>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</si>
  <si>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</si>
  <si>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</si>
  <si>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</si>
  <si>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</si>
  <si>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</si>
  <si>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</si>
  <si>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</si>
  <si>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</si>
  <si>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</si>
  <si>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</si>
  <si>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</si>
  <si>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</si>
  <si>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</si>
  <si>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</si>
  <si>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</si>
  <si>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</si>
  <si>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</si>
  <si>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</si>
  <si>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</si>
  <si>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</si>
  <si>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</si>
  <si>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</si>
  <si>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</si>
  <si>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</si>
  <si>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</si>
  <si>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</si>
  <si>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</si>
  <si>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</si>
  <si>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</si>
  <si>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</si>
  <si>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</si>
  <si>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</si>
  <si>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</si>
  <si>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</si>
  <si>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</si>
  <si>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</si>
  <si>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</si>
  <si>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</si>
  <si>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</si>
  <si>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</si>
  <si>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</si>
  <si>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</si>
  <si>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</si>
  <si>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</si>
  <si>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</si>
  <si>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</si>
  <si>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</si>
  <si>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</si>
  <si>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</si>
  <si>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</si>
  <si>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</si>
  <si>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</si>
  <si>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</si>
  <si>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</si>
  <si>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</si>
  <si>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</si>
  <si>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</si>
  <si>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</si>
  <si>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</si>
  <si>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</si>
  <si>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</si>
  <si>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</si>
  <si>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</si>
  <si>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</si>
  <si>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</si>
  <si>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</si>
  <si>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</si>
  <si>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</si>
  <si>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</si>
  <si>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</si>
  <si>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</si>
  <si>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</si>
  <si>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</si>
  <si>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</si>
  <si>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</si>
  <si>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</si>
  <si>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</si>
  <si>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</si>
  <si>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</si>
  <si>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</si>
  <si>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</si>
  <si>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</si>
  <si>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</si>
  <si>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</si>
  <si>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</si>
  <si>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</si>
  <si>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</si>
  <si>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</si>
  <si>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</si>
  <si>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</si>
  <si>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</si>
  <si>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</si>
  <si>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</si>
  <si>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</si>
  <si>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</si>
  <si>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</si>
  <si>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</si>
  <si>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</si>
  <si>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</si>
  <si>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</si>
  <si>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</si>
  <si>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</si>
  <si>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</si>
  <si>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</si>
  <si>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</si>
  <si>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</si>
  <si>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</si>
  <si>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</si>
  <si>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MORITZ HEIM</t>
  </si>
  <si>
    <t>MARC ROTHE</t>
  </si>
  <si>
    <t>ALEXANDER JAHN</t>
  </si>
  <si>
    <t>SEBASTIAN LUCK</t>
  </si>
  <si>
    <t>CURT KINDLER</t>
  </si>
  <si>
    <t>ELOI VERGE</t>
  </si>
  <si>
    <t>C:\Users\eloi.verge\OneDrive - EUROLEAGUE\Desktop\GAME REPORTS\25-26</t>
  </si>
  <si>
    <t>09:59</t>
  </si>
  <si>
    <t>08:51</t>
  </si>
  <si>
    <t>03:56</t>
  </si>
  <si>
    <t>04:20</t>
  </si>
  <si>
    <t>03:25</t>
  </si>
  <si>
    <t>00:03</t>
  </si>
  <si>
    <t>04:16</t>
  </si>
  <si>
    <t>03:20</t>
  </si>
  <si>
    <t>08:28</t>
  </si>
  <si>
    <t>02:39</t>
  </si>
  <si>
    <t>It was the last game of the year, you had some issues with the clock, but under these circumstances you need to be more focused, starting with recording the jump ball. I corrected some clear plays for you. Even so, you played a perfect last quarter, and this is the direction to follow next year. Happy holidays!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</si>
</sst>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4" sqref="M4:N6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12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12_120_NIN_BES_U2025</v>
      </c>
      <c r="G1" s="5"/>
      <c r="H1" s="5"/>
      <c r="I1" s="5"/>
      <c r="J1" s="8" t="s">
        <v>707</v>
      </c>
      <c r="K1" s="121" t="s">
        <v>831</v>
      </c>
      <c r="L1" s="121"/>
      <c r="M1" s="122" t="s">
        <v>239</v>
      </c>
      <c r="N1" s="121" t="s">
        <v>831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46024.791666666664</v>
      </c>
      <c r="C3" s="157"/>
      <c r="D3" s="39">
        <v>650</v>
      </c>
      <c r="E3" s="29"/>
      <c r="F3" s="26">
        <f>SUBTOTAL(3,I17:I106)</f>
        <v>11</v>
      </c>
      <c r="G3" s="27">
        <f>IF(OR(D3="",D3=0),"",F3/D3)</f>
        <v>1.6923076923076923E-2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NINERS Chemnitz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NIN</v>
      </c>
      <c r="I4" s="5"/>
      <c r="J4" s="119" t="s">
        <v>714</v>
      </c>
      <c r="K4" s="54" t="s">
        <v>742</v>
      </c>
      <c r="L4" s="5"/>
      <c r="M4" s="167" t="s">
        <v>842</v>
      </c>
      <c r="N4" s="168"/>
      <c r="O4" s="2"/>
      <c r="P4" s="2"/>
      <c r="Q4" s="84" t="s">
        <v>175</v>
      </c>
      <c r="R4" s="94">
        <f>(IF(G3="",0,G3))</f>
        <v>1.6923076923076923E-2</v>
      </c>
      <c r="S4" s="61">
        <f>SUM(I13:M13)</f>
        <v>0</v>
      </c>
      <c r="T4" s="78"/>
      <c r="U4" s="61">
        <f>AC18</f>
        <v>4</v>
      </c>
      <c r="V4" s="61">
        <f>+AC22</f>
        <v>3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1</v>
      </c>
      <c r="AA4" s="61">
        <f>AC21</f>
        <v>1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Besiktas GAIN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BES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1.6923076923076923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3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2.5</v>
      </c>
      <c r="AA5" s="70">
        <f t="shared" si="1"/>
        <v>5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18.192307692307693</v>
      </c>
      <c r="N7" s="58"/>
      <c r="O7" s="2"/>
      <c r="P7" s="2"/>
      <c r="Q7" s="86">
        <f>SUM(R5,S5,AC16)</f>
        <v>18.192307692307693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827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18.192307692307693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828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829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830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16.5</v>
      </c>
      <c r="AD16" s="75">
        <f>SUM(AD17:AD24)</f>
        <v>45</v>
      </c>
      <c r="AE16" s="76" t="s">
        <v>42</v>
      </c>
      <c r="AF16" s="75">
        <f>SUM(AF17:AF24)</f>
        <v>7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120</v>
      </c>
      <c r="D17" s="32" t="s">
        <v>832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2</v>
      </c>
      <c r="J17" s="13" t="s">
        <v>3</v>
      </c>
      <c r="K17" s="13" t="s">
        <v>63</v>
      </c>
      <c r="L17" s="13" t="s">
        <v>46</v>
      </c>
      <c r="M17" s="13" t="s">
        <v>46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10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6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120</v>
      </c>
      <c r="D18" s="32" t="s">
        <v>833</v>
      </c>
      <c r="E18" s="33">
        <v>1</v>
      </c>
      <c r="F18" s="36">
        <v>5</v>
      </c>
      <c r="G18" s="36">
        <v>2</v>
      </c>
      <c r="H18" s="38" t="str">
        <f t="shared" ref="H18:H81" si="8">IF(I18="","",$I$14)</f>
        <v>SCOUTING</v>
      </c>
      <c r="I18" s="34">
        <v>9</v>
      </c>
      <c r="J18" s="13" t="s">
        <v>4</v>
      </c>
      <c r="K18" s="13" t="s">
        <v>62</v>
      </c>
      <c r="L18" s="13" t="s">
        <v>7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120</v>
      </c>
      <c r="D19" s="32" t="s">
        <v>834</v>
      </c>
      <c r="E19" s="33">
        <v>1</v>
      </c>
      <c r="F19" s="36">
        <v>15</v>
      </c>
      <c r="G19" s="36">
        <v>13</v>
      </c>
      <c r="H19" s="38" t="str">
        <f t="shared" si="8"/>
        <v>SCOUTING</v>
      </c>
      <c r="I19" s="34">
        <v>73</v>
      </c>
      <c r="J19" s="13" t="s">
        <v>4</v>
      </c>
      <c r="K19" s="13" t="s">
        <v>63</v>
      </c>
      <c r="L19" s="13" t="s">
        <v>48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120</v>
      </c>
      <c r="D20" s="32" t="s">
        <v>835</v>
      </c>
      <c r="E20" s="33">
        <v>1</v>
      </c>
      <c r="F20" s="36">
        <v>15</v>
      </c>
      <c r="G20" s="36">
        <v>13</v>
      </c>
      <c r="H20" s="38" t="str">
        <f t="shared" si="8"/>
        <v>SCOUTING</v>
      </c>
      <c r="I20" s="34">
        <v>71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120</v>
      </c>
      <c r="D21" s="32" t="s">
        <v>836</v>
      </c>
      <c r="E21" s="33">
        <v>1</v>
      </c>
      <c r="F21" s="36">
        <v>17</v>
      </c>
      <c r="G21" s="36">
        <v>13</v>
      </c>
      <c r="H21" s="38" t="str">
        <f t="shared" si="8"/>
        <v>SCOUTING</v>
      </c>
      <c r="I21" s="34">
        <v>81</v>
      </c>
      <c r="J21" s="13" t="s">
        <v>4</v>
      </c>
      <c r="K21" s="13" t="s">
        <v>63</v>
      </c>
      <c r="L21" s="13" t="s">
        <v>6</v>
      </c>
      <c r="M21" s="13" t="s">
        <v>22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1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120</v>
      </c>
      <c r="D22" s="32" t="s">
        <v>837</v>
      </c>
      <c r="E22" s="33">
        <v>1</v>
      </c>
      <c r="F22" s="36">
        <v>29</v>
      </c>
      <c r="G22" s="36">
        <v>23</v>
      </c>
      <c r="H22" s="38" t="str">
        <f t="shared" si="8"/>
        <v>SCOUTING</v>
      </c>
      <c r="I22" s="34">
        <v>149</v>
      </c>
      <c r="J22" s="13" t="s">
        <v>4</v>
      </c>
      <c r="K22" s="13" t="s">
        <v>62</v>
      </c>
      <c r="L22" s="13" t="s">
        <v>6</v>
      </c>
      <c r="M22" s="13" t="s">
        <v>9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120</v>
      </c>
      <c r="D23" s="32" t="s">
        <v>838</v>
      </c>
      <c r="E23" s="33">
        <v>2</v>
      </c>
      <c r="F23" s="36">
        <v>47</v>
      </c>
      <c r="G23" s="36">
        <v>36</v>
      </c>
      <c r="H23" s="38" t="str">
        <f t="shared" si="8"/>
        <v>SCOUTING</v>
      </c>
      <c r="I23" s="34">
        <v>244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120</v>
      </c>
      <c r="D24" s="32" t="s">
        <v>839</v>
      </c>
      <c r="E24" s="33">
        <v>2</v>
      </c>
      <c r="F24" s="36">
        <v>47</v>
      </c>
      <c r="G24" s="36">
        <v>39</v>
      </c>
      <c r="H24" s="38" t="str">
        <f t="shared" si="8"/>
        <v>SCOUTING</v>
      </c>
      <c r="I24" s="34">
        <v>263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120</v>
      </c>
      <c r="D25" s="32" t="s">
        <v>840</v>
      </c>
      <c r="E25" s="33">
        <v>3</v>
      </c>
      <c r="F25" s="36">
        <v>54</v>
      </c>
      <c r="G25" s="36">
        <v>48</v>
      </c>
      <c r="H25" s="38" t="str">
        <f t="shared" si="8"/>
        <v>SCOUTING</v>
      </c>
      <c r="I25" s="34">
        <v>360</v>
      </c>
      <c r="J25" s="13" t="s">
        <v>4</v>
      </c>
      <c r="K25" s="13" t="s">
        <v>63</v>
      </c>
      <c r="L25" s="13" t="s">
        <v>6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120</v>
      </c>
      <c r="D26" s="32" t="s">
        <v>840</v>
      </c>
      <c r="E26" s="33">
        <v>3</v>
      </c>
      <c r="F26" s="36">
        <v>54</v>
      </c>
      <c r="G26" s="36">
        <v>51</v>
      </c>
      <c r="H26" s="38" t="str">
        <f t="shared" si="8"/>
        <v>SCOUTING</v>
      </c>
      <c r="I26" s="34">
        <v>361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120</v>
      </c>
      <c r="D27" s="32" t="s">
        <v>841</v>
      </c>
      <c r="E27" s="33">
        <v>3</v>
      </c>
      <c r="F27" s="36">
        <v>92</v>
      </c>
      <c r="G27" s="36">
        <v>89</v>
      </c>
      <c r="H27" s="38" t="str">
        <f t="shared" si="8"/>
        <v>SCOUTING</v>
      </c>
      <c r="I27" s="34">
        <v>616</v>
      </c>
      <c r="J27" s="13" t="s">
        <v>4</v>
      </c>
      <c r="K27" s="13" t="s">
        <v>62</v>
      </c>
      <c r="L27" s="13" t="s">
        <v>48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1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"U2025120"</v>
      </c>
      <c r="F3" s="45" t="str">
        <f t="shared" ref="F3:F16" si="0">""""&amp;B3&amp;"""" &amp; " : " &amp;C3&amp;","</f>
        <v>"name" : "U2025120",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"U120"</v>
      </c>
      <c r="F4" s="45" t="str">
        <f t="shared" si="0"/>
        <v>"cod" : "U120",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120</v>
      </c>
      <c r="F6" s="45" t="str">
        <f t="shared" si="0"/>
        <v>"number" : 120,</v>
      </c>
    </row>
    <row r="7" spans="2:6" x14ac:dyDescent="0.25">
      <c r="B7" s="43" t="s">
        <v>116</v>
      </c>
      <c r="C7" s="43" t="str">
        <f ca="1">""""&amp;TEXT('SCOUT &amp; LOGISTICS'!B3,"dd/mm/aaaa")&amp;""""</f>
        <v>"02/01/2026"</v>
      </c>
      <c r="F7" s="45" t="str">
        <f t="shared" ca="1" si="0"/>
        <v>"date" : "02/01/2026",</v>
      </c>
    </row>
    <row r="8" spans="2:6" x14ac:dyDescent="0.25">
      <c r="B8" s="43" t="s">
        <v>125</v>
      </c>
      <c r="C8" s="43" t="str">
        <f>""""&amp;'SCOUT &amp; LOGISTICS'!D4 &amp;""""</f>
        <v>"NINERS Chemnitz"</v>
      </c>
      <c r="F8" s="45" t="str">
        <f t="shared" si="0"/>
        <v>"home_team" : "NINERS Chemnitz",</v>
      </c>
    </row>
    <row r="9" spans="2:6" x14ac:dyDescent="0.25">
      <c r="B9" s="43" t="s">
        <v>126</v>
      </c>
      <c r="C9" s="43" t="str">
        <f>""""&amp;'SCOUT &amp; LOGISTICS'!D5&amp;""""</f>
        <v>"Besiktas GAIN Istanbul"</v>
      </c>
      <c r="F9" s="45" t="str">
        <f t="shared" si="0"/>
        <v>"away_team" : "Besiktas GAIN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"MORITZ HEIM"</v>
      </c>
      <c r="F10" s="45" t="str">
        <f t="shared" si="0"/>
        <v>"Data_entry" : "MORITZ HEIM",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"MARC ROTHE"</v>
      </c>
      <c r="F11" s="45" t="str">
        <f t="shared" si="0"/>
        <v>"Caller_1" : "MARC ROTHE",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"ALEXANDER JAHN"</v>
      </c>
      <c r="F12" s="45" t="str">
        <f t="shared" si="0"/>
        <v>"Caller_2" : "ALEXANDER JAHN",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"SEBASTIAN LUCK"</v>
      </c>
      <c r="F13" s="45" t="str">
        <f t="shared" si="0"/>
        <v>"Timerkeeper" : "SEBASTIAN LUCK",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"CURT KINDLER"</v>
      </c>
      <c r="F14" s="45" t="str">
        <f t="shared" si="0"/>
        <v>"Shotclock" : "CURT KINDLER",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650</v>
      </c>
      <c r="F25" s="45" t="str">
        <f t="shared" ref="F25:F48" si="1">""""&amp;C25&amp;"""" &amp; " : " &amp;D25&amp;","</f>
        <v>"total_actions" : 650,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"1,7%"</v>
      </c>
      <c r="F27" s="45" t="str">
        <f t="shared" si="1"/>
        <v>"%_corrections" : "1,7%",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1</v>
      </c>
      <c r="F45" s="45" t="str">
        <f t="shared" si="1"/>
        <v>"missplaced" : 1,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"It was the last game of the year, you had some issues with the clock, but under these circumstances you need to be more focused, starting with recording the jump ball. I corrected some clear plays for you. Even so, you played a perfect last quarter, and this is the direction to follow next year. Happy holidays!"</v>
      </c>
      <c r="F51" s="45" t="str">
        <f>""""&amp;B51&amp;"""" &amp; " : " &amp;C51&amp;","</f>
        <v>"comments" : "It was the last game of the year, you had some issues with the clock, but under these circumstances you need to be more focused, starting with recording the jump ball. I corrected some clear plays for you. Even so, you played a perfect last quarter, and this is the direction to follow next year. Happy holidays!",</v>
      </c>
    </row>
    <row r="52" spans="2:6" x14ac:dyDescent="0.25">
      <c r="B52" s="43" t="s">
        <v>153</v>
      </c>
      <c r="C52" s="43" t="str">
        <f>TEXT('SCOUT &amp; LOGISTICS'!F1,"0,0")</f>
        <v>12_120_NIN_BES_U2025</v>
      </c>
      <c r="F52" s="45" t="str">
        <f>""""&amp;B52&amp;"""" &amp; " : " &amp;C52</f>
        <v>"result" : 12_120_NIN_BES_U2025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U120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Niners Chemnitz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Besiktas Gain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MORITZ HEIM</v>
      </c>
      <c r="C8" s="206"/>
      <c r="D8" s="206"/>
      <c r="E8" s="206"/>
      <c r="F8" s="206"/>
      <c r="G8" s="206" t="str">
        <f>IF('SCOUT &amp; LOGISTICS'!D7="","",'SCOUT &amp; LOGISTICS'!D7)</f>
        <v>MARC ROTHE</v>
      </c>
      <c r="H8" s="206"/>
      <c r="I8" s="206"/>
      <c r="J8" s="206"/>
      <c r="K8" s="206"/>
      <c r="L8" s="206" t="str">
        <f>IF('SCOUT &amp; LOGISTICS'!D8="","",'SCOUT &amp; LOGISTICS'!D8)</f>
        <v>ALEXANDER JAHN</v>
      </c>
      <c r="M8" s="206"/>
      <c r="N8" s="206"/>
      <c r="O8" s="206"/>
      <c r="P8" s="206"/>
      <c r="Q8" s="206" t="str">
        <f>IF('SCOUT &amp; LOGISTICS'!D9="","",'SCOUT &amp; LOGISTICS'!D9)</f>
        <v>SEBASTIAN LUCK</v>
      </c>
      <c r="R8" s="206"/>
      <c r="S8" s="206"/>
      <c r="T8" s="206"/>
      <c r="U8" s="206"/>
      <c r="V8" s="206" t="str">
        <f>IF('SCOUT &amp; LOGISTICS'!D10="","",'SCOUT &amp; LOGISTICS'!D10)</f>
        <v>CURT KINDLER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1.6923076923076923E-2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6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10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1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It was the last game of the year, you had some issues with the clock, but under these circumstances you need to be more focused, starting with recording the jump ball. I corrected some clear plays for you. Even so, you played a perfect last quarter, and this is the direction to follow next year. Happy holidays!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18.192307692307693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FB144CE-0077-4F3B-8B45-B323188C412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2025-12-23T21:30:14Z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