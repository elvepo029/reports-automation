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3" documentId="8_{A9930658-478F-4C56-986B-334C07EABE08}" xr6:coauthVersionLast="47" xr6:coauthVersionMax="47" xr10:uidLastSave="{801C5A06-E24E-447B-9FD6-775878089E51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<sst xmlns="http://schemas.openxmlformats.org/spreadsheetml/2006/main" count="3265" uniqueCount="762">
  <si>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</si>
  <si>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</si>
  <si>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</si>
  <si>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</si>
  <si>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</si>
  <si>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</si>
  <si>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</si>
  <si>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</si>
  <si>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</si>
  <si>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</si>
  <si>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</si>
  <si>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</si>
  <si>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</si>
  <si>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</si>
  <si>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</si>
  <si>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</si>
  <si>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</si>
  <si>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</si>
  <si>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</si>
  <si>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</si>
  <si>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</si>
  <si>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</si>
  <si>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</si>
  <si>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</si>
  <si>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</si>
  <si>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</si>
  <si>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</si>
  <si>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</si>
  <si>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</si>
  <si>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</si>
  <si>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</si>
  <si>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</si>
  <si>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</si>
  <si>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</si>
  <si>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</si>
  <si>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</si>
  <si>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</si>
  <si>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</si>
  <si>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</si>
  <si>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</si>
  <si>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</si>
  <si>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</si>
  <si>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</si>
  <si>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</si>
  <si>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</si>
  <si>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</si>
  <si>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</si>
  <si>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</si>
  <si>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</si>
  <si>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</si>
  <si>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</si>
  <si>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</si>
  <si>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</si>
  <si>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</si>
  <si>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</si>
  <si>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</si>
  <si>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</si>
  <si>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</si>
  <si>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</si>
  <si>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</si>
  <si>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</si>
  <si>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</si>
  <si>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</si>
  <si>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</si>
  <si>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</si>
  <si>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</si>
  <si>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</si>
  <si>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</si>
  <si>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</si>
  <si>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</si>
  <si>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</si>
  <si>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</si>
  <si>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</si>
  <si>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</si>
  <si>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</si>
  <si>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</si>
  <si>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</si>
  <si>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</si>
  <si>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</si>
  <si>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</si>
  <si>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</si>
  <si>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</si>
  <si>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</si>
  <si>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</si>
  <si>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</si>
  <si>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</si>
  <si>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</si>
  <si>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</si>
  <si>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</si>
  <si>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</si>
  <si>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</si>
  <si>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</si>
  <si>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</si>
  <si>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</si>
  <si>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</si>
  <si>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</si>
  <si>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</si>
  <si>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</si>
  <si>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</si>
  <si>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</si>
  <si>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</si>
  <si>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</si>
  <si>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</si>
  <si>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</si>
  <si>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</si>
  <si>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</si>
  <si>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</si>
  <si>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</si>
  <si>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</si>
  <si>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</si>
  <si>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</si>
  <si>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</si>
  <si>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</si>
  <si>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</si>
  <si>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</si>
  <si>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</si>
  <si>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</si>
  <si>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</si>
  <si>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</si>
  <si>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</si>
  <si>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</si>
  <si>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</si>
  <si>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</si>
  <si>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</si>
  <si>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</si>
  <si>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</si>
  <si>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</si>
  <si>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</si>
  <si>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</si>
  <si>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</si>
  <si>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</si>
  <si>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</si>
  <si>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</si>
  <si>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</si>
  <si>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</si>
  <si>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</si>
  <si>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</si>
  <si>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</si>
  <si>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</si>
  <si>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</si>
  <si>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</si>
  <si>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</si>
  <si>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</si>
  <si>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</si>
  <si>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</si>
  <si>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</si>
  <si>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</si>
  <si>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</si>
  <si>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</si>
  <si>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</si>
  <si>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</si>
  <si>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</si>
  <si>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</si>
  <si>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</si>
  <si>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</si>
  <si>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</si>
  <si>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</si>
  <si>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</si>
  <si>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</si>
  <si>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</si>
  <si>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</si>
  <si>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</si>
  <si>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</si>
  <si>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</si>
  <si>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</si>
  <si>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</si>
  <si>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</si>
  <si>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</si>
  <si>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</si>
  <si>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</si>
  <si>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</si>
  <si>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</si>
  <si>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</si>
  <si>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</si>
  <si>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</si>
  <si>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</si>
  <si>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</si>
  <si>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</si>
  <si>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</si>
  <si>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</si>
  <si>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</si>
  <si>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</si>
  <si>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</si>
  <si>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</si>
  <si>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</si>
  <si>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</si>
  <si>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</si>
  <si>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</si>
  <si>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</si>
  <si>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</si>
  <si>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</si>
  <si>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</si>
  <si>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</si>
  <si>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</si>
  <si>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</si>
  <si>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</si>
  <si>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</si>
  <si>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</si>
  <si>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</si>
  <si>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</si>
  <si>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</si>
  <si>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</si>
  <si>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</si>
  <si>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</si>
  <si>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</si>
  <si>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</si>
  <si>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</si>
  <si>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</si>
  <si>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</si>
  <si>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</si>
  <si>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</si>
  <si>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</si>
  <si>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</si>
  <si>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</si>
  <si>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</si>
  <si>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</si>
  <si>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</si>
  <si>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</si>
  <si>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</si>
  <si>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</si>
  <si>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</si>
  <si>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</si>
  <si>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</si>
  <si>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</si>
  <si>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</si>
  <si>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</si>
  <si>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</si>
  <si>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</si>
  <si>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</si>
  <si>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</si>
  <si>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</si>
  <si>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</si>
  <si>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</si>
  <si>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</si>
  <si>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</si>
  <si>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</si>
  <si>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</si>
  <si>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</si>
  <si>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</si>
  <si>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</si>
  <si>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</si>
  <si>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</si>
  <si>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</si>
  <si>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</si>
  <si>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</si>
  <si>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</si>
  <si>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</si>
  <si>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</si>
  <si>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</si>
  <si>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</si>
  <si>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</si>
  <si>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</si>
  <si>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</si>
  <si>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</si>
  <si>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</si>
  <si>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</si>
  <si>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</si>
  <si>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</si>
  <si>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</si>
  <si>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</si>
  <si>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</si>
  <si>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</si>
  <si>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</si>
  <si>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</si>
  <si>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</si>
  <si>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</si>
  <si>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</si>
  <si>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</si>
  <si>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</si>
  <si>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</si>
  <si>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</si>
  <si>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</si>
  <si>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</si>
  <si>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</si>
  <si>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</si>
  <si>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</si>
  <si>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</si>
  <si>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</si>
  <si>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</si>
  <si>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</si>
  <si>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</si>
  <si>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</si>
  <si>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</si>
  <si>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</si>
  <si>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</si>
  <si>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</si>
  <si>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</si>
  <si>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</si>
  <si>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</si>
  <si>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</si>
  <si>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</si>
  <si>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</si>
  <si>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</si>
  <si>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</si>
  <si>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</si>
  <si>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</si>
  <si>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</si>
  <si>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</si>
  <si>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</si>
  <si>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</si>
  <si>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</si>
  <si>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</si>
  <si>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</si>
  <si>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</si>
  <si>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</si>
  <si>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</si>
  <si>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</si>
  <si>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</si>
  <si>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</si>
  <si>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</si>
  <si>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</si>
  <si>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</si>
  <si>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</si>
  <si>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</si>
  <si>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</si>
  <si>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</si>
  <si>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</si>
  <si>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</si>
  <si>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</si>
  <si>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</si>
  <si>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</si>
  <si>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</si>
  <si>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</si>
  <si>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</si>
  <si>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</si>
  <si>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</si>
  <si>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</si>
  <si>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</si>
  <si>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</si>
  <si>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</si>
  <si>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</si>
  <si>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</si>
  <si>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</si>
  <si>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</si>
  <si>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</si>
  <si>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</si>
  <si>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</si>
  <si>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</si>
  <si>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</si>
  <si>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</si>
  <si>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</si>
  <si>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</si>
  <si>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</si>
  <si>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</si>
  <si>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</si>
  <si>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</si>
  <si>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</si>
  <si>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</si>
  <si>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</si>
  <si>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</si>
  <si>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</si>
  <si>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</si>
  <si>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</si>
  <si>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</si>
  <si>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</si>
  <si>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</si>
  <si>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</si>
  <si>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</si>
  <si>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</si>
  <si>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</si>
  <si>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</si>
  <si>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</si>
  <si>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</si>
  <si>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</si>
  <si>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</si>
  <si>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</si>
  <si>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</si>
  <si>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</si>
  <si>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</si>
  <si>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</si>
  <si>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</si>
  <si>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</si>
  <si>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</si>
  <si>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</si>
  <si>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</si>
  <si>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</si>
  <si>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</si>
  <si>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</si>
  <si>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</si>
  <si>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</si>
  <si>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</si>
  <si>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</si>
  <si>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</si>
  <si>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</si>
  <si>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</si>
  <si>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</si>
  <si>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</si>
  <si>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</si>
  <si>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</si>
  <si>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</si>
  <si>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</si>
  <si>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</si>
  <si>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</si>
  <si>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</si>
  <si>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</si>
  <si>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</si>
  <si>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</si>
  <si>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</si>
  <si>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</si>
  <si>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</si>
  <si>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</si>
  <si>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</si>
  <si>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</si>
  <si>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</si>
  <si>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</si>
  <si>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</si>
  <si>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</si>
  <si>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</si>
  <si>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</si>
  <si>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</si>
  <si>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</si>
  <si>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</si>
  <si>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</si>
  <si>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</si>
  <si>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</si>
  <si>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</si>
  <si>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</si>
  <si>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</si>
  <si>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</si>
  <si>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</si>
  <si>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</si>
  <si>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</si>
  <si>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</si>
  <si>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</si>
  <si>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</si>
  <si>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</si>
  <si>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</si>
  <si>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</si>
  <si>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</si>
  <si>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</si>
  <si>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</si>
  <si>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</si>
  <si>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</si>
  <si>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</si>
  <si>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</si>
  <si>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</si>
  <si>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</si>
  <si>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</si>
  <si>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</si>
  <si>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</si>
  <si>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</si>
  <si>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</si>
  <si>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</si>
  <si>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</si>
  <si>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</si>
  <si>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</si>
  <si>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</si>
  <si>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</si>
  <si>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</si>
  <si>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</si>
  <si>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</si>
  <si>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</si>
  <si>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</si>
  <si>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</si>
  <si>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</si>
  <si>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</si>
  <si>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</si>
  <si>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</si>
  <si>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</si>
  <si>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</si>
  <si>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</si>
  <si>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</si>
  <si>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</si>
  <si>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</si>
  <si>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</si>
  <si>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</si>
  <si>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</si>
  <si>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</si>
  <si>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</si>
  <si>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</si>
  <si>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</si>
  <si>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</si>
  <si>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</si>
  <si>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</si>
  <si>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</si>
  <si>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</si>
  <si>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</si>
  <si>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</si>
  <si>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</si>
  <si>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</si>
  <si>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</si>
  <si>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</si>
  <si>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</si>
  <si>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</si>
  <si>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</si>
  <si>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</si>
  <si>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</si>
  <si>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</si>
  <si>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</si>
  <si>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</si>
  <si>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</si>
  <si>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</si>
  <si>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</si>
  <si>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</si>
  <si>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</si>
  <si>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</si>
  <si>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</si>
  <si>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</si>
  <si>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</si>
  <si>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</si>
  <si>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</si>
  <si>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</si>
  <si>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</si>
  <si>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</si>
  <si>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</si>
  <si>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</si>
  <si>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</si>
  <si>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</si>
  <si>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</si>
  <si>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</si>
  <si>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</si>
  <si>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</si>
  <si>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</si>
  <si>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</si>
  <si>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</si>
  <si>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</si>
  <si>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</si>
  <si>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</si>
  <si>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</si>
  <si>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</si>
  <si>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</si>
  <si>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</si>
  <si>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</si>
  <si>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</si>
  <si>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</si>
  <si>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</si>
  <si>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</si>
  <si>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</si>
  <si>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</si>
  <si>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</si>
  <si>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</si>
  <si>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</si>
  <si>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</si>
  <si>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</si>
  <si>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</si>
  <si>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</si>
  <si>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</si>
  <si>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</si>
  <si>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</si>
  <si>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</si>
  <si>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</si>
  <si>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</si>
  <si>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</si>
  <si>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</si>
  <si>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</si>
  <si>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</si>
  <si>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</si>
  <si>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</si>
  <si>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</si>
  <si>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</si>
  <si>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</si>
  <si>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</si>
  <si>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</si>
  <si>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</si>
  <si>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</si>
  <si>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</si>
  <si>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</si>
  <si>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</si>
  <si>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</si>
  <si>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</si>
  <si>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</si>
  <si>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</si>
  <si>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</si>
  <si>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</si>
  <si>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</si>
  <si>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</si>
  <si>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</si>
  <si>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</si>
  <si>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</si>
  <si>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</si>
  <si>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</si>
  <si>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</si>
  <si>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</si>
  <si>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</si>
  <si>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</si>
  <si>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</si>
  <si>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</si>
  <si>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</si>
  <si>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</si>
  <si>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</si>
  <si>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</si>
  <si>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</si>
  <si>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</si>
  <si>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</si>
  <si>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</si>
  <si>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</si>
  <si>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</si>
  <si>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</si>
  <si>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</si>
  <si>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</si>
  <si>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</si>
  <si>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</si>
  <si>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</si>
  <si>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</si>
  <si>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</si>
  <si>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</si>
  <si>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</si>
  <si>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</si>
  <si>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</si>
  <si>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</si>
  <si>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</si>
  <si>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</si>
  <si>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</si>
  <si>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</si>
  <si>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</si>
  <si>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</si>
  <si>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</si>
  <si>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</si>
  <si>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</si>
  <si>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</si>
  <si>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</si>
  <si>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</si>
  <si>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</si>
  <si>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</si>
  <si>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</si>
  <si>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</si>
  <si>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</si>
  <si>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</si>
  <si>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</si>
  <si>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</si>
  <si>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</si>
  <si>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</si>
  <si>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</si>
  <si>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</si>
  <si>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</si>
  <si>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</si>
  <si>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</si>
  <si>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</si>
  <si>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</si>
  <si>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</si>
  <si>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</si>
  <si>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</si>
  <si>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</si>
  <si>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</si>
  <si>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</si>
  <si>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</si>
  <si>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</si>
  <si>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</si>
  <si>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</si>
  <si>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</si>
  <si>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</si>
  <si>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</si>
  <si>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</si>
  <si>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</si>
  <si>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</si>
  <si>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</si>
  <si>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</si>
  <si>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</si>
  <si>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</si>
  <si>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</si>
  <si>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</si>
  <si>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</si>
  <si>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</si>
  <si>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</si>
  <si>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</si>
  <si>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</si>
  <si>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</si>
  <si>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</si>
  <si>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</si>
  <si>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</si>
  <si>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</si>
  <si>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</si>
  <si>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</si>
  <si>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</si>
  <si>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</si>
  <si>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</si>
  <si>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</si>
  <si>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</si>
  <si>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</si>
  <si>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</si>
  <si>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</si>
  <si>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</si>
  <si>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</si>
  <si>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</si>
  <si>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</si>
  <si>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</si>
  <si>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</si>
  <si>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</si>
  <si>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</si>
  <si>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</si>
  <si>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</si>
  <si>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</si>
  <si>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</si>
  <si>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</si>
  <si>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</si>
  <si>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</si>
  <si>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</si>
  <si>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</si>
  <si>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</si>
  <si>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</si>
  <si>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</si>
  <si>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</si>
  <si>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</si>
  <si>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</si>
  <si>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</si>
  <si>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</si>
  <si>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</si>
  <si>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</si>
  <si>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</si>
  <si>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</si>
  <si>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</si>
  <si>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</si>
  <si>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</si>
  <si>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</si>
  <si>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</si>
  <si>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</si>
  <si>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</si>
  <si>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</si>
  <si>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</si>
  <si>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</si>
  <si>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</si>
  <si>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</si>
  <si>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</si>
  <si>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</si>
  <si>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</si>
  <si>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</si>
  <si>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</si>
  <si>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</si>
  <si>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</si>
  <si>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</si>
  <si>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</si>
  <si>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</si>
  <si>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</si>
  <si>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</si>
  <si>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</si>
  <si>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</si>
  <si>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</si>
  <si>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</si>
  <si>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</si>
  <si>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</si>
  <si>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</si>
  <si>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</si>
  <si>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</si>
  <si>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</si>
  <si>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</si>
  <si>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</si>
  <si>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</si>
  <si>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</si>
  <si>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</si>
  <si>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</si>
  <si>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</si>
  <si>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</si>
  <si>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</si>
  <si>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</si>
  <si>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</si>
  <si>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</si>
  <si>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</si>
  <si>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</si>
  <si>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</si>
  <si>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</si>
  <si>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MONIKA NEDYALKOVA</t>
  </si>
  <si>
    <t>ATHINA KAROUMPALOU</t>
  </si>
  <si>
    <t>SPYRIDOULA KOURTI</t>
  </si>
  <si>
    <t>VASILEIOS KARAGKIOULES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</si>
  <si>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</si>
  <si>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</si>
  <si>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</si>
  <si>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0:50</t>
  </si>
  <si>
    <t>0:40</t>
  </si>
  <si>
    <t>6:07</t>
  </si>
  <si>
    <t>5:41</t>
  </si>
  <si>
    <t>Despite the incorrect foul, it was a very good game on your side. You did a lot of work and very good. Keep working like that.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</si>
</sst>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13_122_HTA_MAD_E2025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122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45986.833333333336</v>
      </c>
      <c r="C3" s="178"/>
      <c r="D3" s="39">
        <v>513</v>
      </c>
      <c r="E3" s="29"/>
      <c r="F3" s="26">
        <f>SUBTOTAL(3,I17:I106)</f>
        <v>4</v>
      </c>
      <c r="G3" s="27">
        <f>IF(OR(D3="",D3=0),"",F3/D3)</f>
        <v>7.7972709551656916E-3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742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7.7972709551656916E-3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0.77972709551656916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19.77972709551657</v>
      </c>
      <c r="N7" s="58"/>
      <c r="O7" s="2"/>
      <c r="P7" s="2"/>
      <c r="Q7" s="86">
        <f>SUM(R5,S5,AC16)</f>
        <v>19.77972709551657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19.77972709551657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734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19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122</v>
      </c>
      <c r="D17" s="32" t="s">
        <v>757</v>
      </c>
      <c r="E17" s="33">
        <v>3</v>
      </c>
      <c r="F17" s="36">
        <v>58</v>
      </c>
      <c r="G17" s="36">
        <v>56</v>
      </c>
      <c r="H17" s="38" t="str">
        <f>IF(I17="","",$I$14)</f>
        <v>SCOUTING</v>
      </c>
      <c r="I17" s="34">
        <v>365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122</v>
      </c>
      <c r="D18" s="32" t="s">
        <v>758</v>
      </c>
      <c r="E18" s="33">
        <v>3</v>
      </c>
      <c r="F18" s="36">
        <v>58</v>
      </c>
      <c r="G18" s="36">
        <v>56</v>
      </c>
      <c r="H18" s="38" t="str">
        <f t="shared" ref="H18:H81" si="8">IF(I18="","",$I$14)</f>
        <v>SCOUTING</v>
      </c>
      <c r="I18" s="34">
        <v>370</v>
      </c>
      <c r="J18" s="13" t="s">
        <v>4</v>
      </c>
      <c r="K18" s="13" t="s">
        <v>62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122</v>
      </c>
      <c r="D19" s="32" t="s">
        <v>759</v>
      </c>
      <c r="E19" s="33">
        <v>4</v>
      </c>
      <c r="F19" s="36">
        <v>67</v>
      </c>
      <c r="G19" s="36">
        <v>67</v>
      </c>
      <c r="H19" s="38" t="str">
        <f t="shared" si="8"/>
        <v>SCOUTING</v>
      </c>
      <c r="I19" s="34">
        <v>428</v>
      </c>
      <c r="J19" s="13" t="s">
        <v>3</v>
      </c>
      <c r="K19" s="13" t="s">
        <v>62</v>
      </c>
      <c r="L19" s="13" t="s">
        <v>76</v>
      </c>
      <c r="M19" s="13" t="s">
        <v>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122</v>
      </c>
      <c r="D20" s="32" t="s">
        <v>760</v>
      </c>
      <c r="E20" s="33">
        <v>4</v>
      </c>
      <c r="F20" s="36">
        <v>67</v>
      </c>
      <c r="G20" s="36">
        <v>67</v>
      </c>
      <c r="H20" s="38" t="str">
        <f t="shared" si="8"/>
        <v>SCOUTING</v>
      </c>
      <c r="I20" s="34">
        <v>445</v>
      </c>
      <c r="J20" s="13" t="s">
        <v>4</v>
      </c>
      <c r="K20" s="13" t="s">
        <v>63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REPORT_E2025122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"E2025122"</v>
      </c>
      <c r="F3" s="45" t="str">
        <f t="shared" ref="F3:F16" si="0">""""&amp;B3&amp;"""" &amp; " : " &amp;C3&amp;","</f>
        <v>"name" : "E2025122",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"E122"</v>
      </c>
      <c r="F4" s="45" t="str">
        <f t="shared" si="0"/>
        <v>"cod" : "E122",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122</v>
      </c>
      <c r="F6" s="45" t="str">
        <f t="shared" si="0"/>
        <v>"number" : 122,</v>
      </c>
    </row>
    <row r="7" spans="2:6" x14ac:dyDescent="0.25">
      <c r="B7" s="43" t="s">
        <v>116</v>
      </c>
      <c r="C7" s="43" t="str">
        <f ca="1">""""&amp;TEXT('SCOUT &amp; LOGISTICS'!B3,"dd/mm/aaaa")&amp;""""</f>
        <v>"25/11/Tuesday"</v>
      </c>
      <c r="F7" s="45" t="str">
        <f t="shared" ca="1" si="0"/>
        <v>"date" : "25/11/Tuesday",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"MONIKA NEDYALKOVA"</v>
      </c>
      <c r="F11" s="45" t="str">
        <f t="shared" si="0"/>
        <v>"Caller_1" : "MONIKA NEDYALKOVA",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"SPYRIDOULA KOURTI"</v>
      </c>
      <c r="F13" s="45" t="str">
        <f t="shared" si="0"/>
        <v>"Timerkeeper" : "SPYRIDOULA KOURTI",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513</v>
      </c>
      <c r="F25" s="45" t="str">
        <f t="shared" ref="F25:F48" si="1">""""&amp;C25&amp;"""" &amp; " : " &amp;D25&amp;","</f>
        <v>"total_actions" : 513,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"Despite the incorrect foul, it was a very good game on your side. You did a lot of work and very good. Keep working like that."</v>
      </c>
      <c r="F51" s="45" t="str">
        <f>""""&amp;B51&amp;"""" &amp; " : " &amp;C51&amp;","</f>
        <v>"comments" : "Despite the incorrect foul, it was a very good game on your side. You did a lot of work and very good. Keep working like that.",</v>
      </c>
    </row>
    <row r="52" spans="2:6" x14ac:dyDescent="0.25">
      <c r="B52" s="43" t="s">
        <v>153</v>
      </c>
      <c r="C52" s="43" t="str">
        <f>TEXT('SCOUT &amp; LOGISTICS'!F1,"0,0")</f>
        <v>13_122_HTA_MAD_E2025</v>
      </c>
      <c r="F52" s="45" t="str">
        <f>""""&amp;B52&amp;"""" &amp; " : " &amp;C52</f>
        <v>"result" : 13_122_HTA_MAD_E2025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E122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25/11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KONSTANTINOS KRANIOTIS</v>
      </c>
      <c r="C8" s="201"/>
      <c r="D8" s="201"/>
      <c r="E8" s="201"/>
      <c r="F8" s="201"/>
      <c r="G8" s="201" t="str">
        <f>IF('SCOUT &amp; LOGISTICS'!D7="","",'SCOUT &amp; LOGISTICS'!D7)</f>
        <v>MONIKA NEDYALKOVA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SPYRIDOULA KOURTI</v>
      </c>
      <c r="R8" s="201"/>
      <c r="S8" s="201"/>
      <c r="T8" s="201"/>
      <c r="U8" s="201"/>
      <c r="V8" s="201" t="str">
        <f>IF('SCOUT &amp; LOGISTICS'!D10="","",'SCOUT &amp; LOGISTICS'!D10)</f>
        <v>VASILEIOS KARAGKIOULES</v>
      </c>
      <c r="W8" s="201"/>
      <c r="X8" s="201"/>
      <c r="Y8" s="201"/>
      <c r="Z8" s="201"/>
      <c r="AA8" s="201" t="str">
        <f>IF('SCOUT &amp; LOGISTICS'!D11="","",'SCOUT &amp; LOGISTICS'!D11)</f>
        <v>KONSTANTINOS TROUPIS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513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7.7972709551656916E-3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1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Despite the incorrect foul, it was a very good game on your side. You did a lot of work and very good. Keep working like that.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19.77972709551657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1659D4E-E36B-4CA0-8F34-0CB8A4838F4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2025-11-25T21:20:23Z</cp:lastPrinted>
  <dcterms:created xsi:type="dcterms:W3CDTF">2023-09-19T19:50:35Z</dcterms:created>
  <dcterms:modified xsi:type="dcterms:W3CDTF">2025-11-25T21:20:26Z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