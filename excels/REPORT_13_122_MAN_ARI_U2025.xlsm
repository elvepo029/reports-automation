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39" documentId="8_{73AF85C2-0CB8-479B-9E37-701F3BAD810A}" xr6:coauthVersionLast="47" xr6:coauthVersionMax="47" xr10:uidLastSave="{E5FB9526-DDE4-4D9F-A1F6-17F1B7071BFB}"/>
  <bookViews>
    <workbookView xWindow="75" yWindow="-16185" windowWidth="28770" windowHeight="1545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L9" i="1" l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<sst xmlns="http://schemas.openxmlformats.org/spreadsheetml/2006/main" count="3387" uniqueCount="844">
  <si>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</si>
  <si>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</si>
  <si>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</si>
  <si>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</si>
  <si>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</si>
  <si>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</si>
  <si>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</si>
  <si>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</si>
  <si>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</si>
  <si>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</si>
  <si>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</si>
  <si>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</si>
  <si>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</si>
  <si>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</si>
  <si>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</si>
  <si>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</si>
  <si>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</si>
  <si>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</si>
  <si>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</si>
  <si>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</si>
  <si>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</si>
  <si>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</si>
  <si>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</si>
  <si>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</si>
  <si>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</si>
  <si>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</si>
  <si>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</si>
  <si>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</si>
  <si>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</si>
  <si>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</si>
  <si>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</si>
  <si>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</si>
  <si>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</si>
  <si>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</si>
  <si>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</si>
  <si>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</si>
  <si>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</si>
  <si>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</si>
  <si>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</si>
  <si>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</si>
  <si>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</si>
  <si>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</si>
  <si>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</si>
  <si>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</si>
  <si>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</si>
  <si>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</si>
  <si>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</si>
  <si>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</si>
  <si>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</si>
  <si>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</si>
  <si>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</si>
  <si>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</si>
  <si>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</si>
  <si>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</si>
  <si>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</si>
  <si>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</si>
  <si>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</si>
  <si>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</si>
  <si>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</si>
  <si>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</si>
  <si>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</si>
  <si>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</si>
  <si>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</si>
  <si>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</si>
  <si>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</si>
  <si>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</si>
  <si>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</si>
  <si>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</si>
  <si>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</si>
  <si>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</si>
  <si>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</si>
  <si>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</si>
  <si>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</si>
  <si>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</si>
  <si>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</si>
  <si>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</si>
  <si>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</si>
  <si>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</si>
  <si>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</si>
  <si>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</si>
  <si>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</si>
  <si>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</si>
  <si>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</si>
  <si>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</si>
  <si>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</si>
  <si>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</si>
  <si>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</si>
  <si>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</si>
  <si>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</si>
  <si>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</si>
  <si>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</si>
  <si>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</si>
  <si>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</si>
  <si>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</si>
  <si>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</si>
  <si>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</si>
  <si>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</si>
  <si>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</si>
  <si>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</si>
  <si>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</si>
  <si>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</si>
  <si>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</si>
  <si>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</si>
  <si>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</si>
  <si>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</si>
  <si>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</si>
  <si>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</si>
  <si>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</si>
  <si>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</si>
  <si>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</si>
  <si>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</si>
  <si>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</si>
  <si>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</si>
  <si>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</si>
  <si>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</si>
  <si>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</si>
  <si>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</si>
  <si>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</si>
  <si>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</si>
  <si>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</si>
  <si>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</si>
  <si>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</si>
  <si>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</si>
  <si>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</si>
  <si>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</si>
  <si>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</si>
  <si>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</si>
  <si>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</si>
  <si>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</si>
  <si>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</si>
  <si>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</si>
  <si>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</si>
  <si>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</si>
  <si>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</si>
  <si>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</si>
  <si>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</si>
  <si>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</si>
  <si>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</si>
  <si>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</si>
  <si>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</si>
  <si>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</si>
  <si>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</si>
  <si>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</si>
  <si>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</si>
  <si>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</si>
  <si>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</si>
  <si>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</si>
  <si>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</si>
  <si>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</si>
  <si>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</si>
  <si>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</si>
  <si>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</si>
  <si>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</si>
  <si>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</si>
  <si>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</si>
  <si>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</si>
  <si>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</si>
  <si>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</si>
  <si>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</si>
  <si>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</si>
  <si>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</si>
  <si>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</si>
  <si>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</si>
  <si>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</si>
  <si>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</si>
  <si>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</si>
  <si>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</si>
  <si>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</si>
  <si>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</si>
  <si>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</si>
  <si>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</si>
  <si>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</si>
  <si>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</si>
  <si>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</si>
  <si>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</si>
  <si>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</si>
  <si>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</si>
  <si>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</si>
  <si>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</si>
  <si>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</si>
  <si>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</si>
  <si>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</si>
  <si>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</si>
  <si>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</si>
  <si>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</si>
  <si>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</si>
  <si>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</si>
  <si>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</si>
  <si>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</si>
  <si>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</si>
  <si>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</si>
  <si>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</si>
  <si>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</si>
  <si>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</si>
  <si>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</si>
  <si>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</si>
  <si>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</si>
  <si>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</si>
  <si>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</si>
  <si>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</si>
  <si>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</si>
  <si>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</si>
  <si>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</si>
  <si>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</si>
  <si>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</si>
  <si>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</si>
  <si>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</si>
  <si>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</si>
  <si>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</si>
  <si>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</si>
  <si>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</si>
  <si>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</si>
  <si>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</si>
  <si>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</si>
  <si>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</si>
  <si>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</si>
  <si>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</si>
  <si>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</si>
  <si>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</si>
  <si>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</si>
  <si>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</si>
  <si>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</si>
  <si>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</si>
  <si>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</si>
  <si>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</si>
  <si>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</si>
  <si>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</si>
  <si>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</si>
  <si>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</si>
  <si>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</si>
  <si>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</si>
  <si>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</si>
  <si>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</si>
  <si>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</si>
  <si>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</si>
  <si>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</si>
  <si>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</si>
  <si>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</si>
  <si>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</si>
  <si>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</si>
  <si>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</si>
  <si>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</si>
  <si>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</si>
  <si>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</si>
  <si>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</si>
  <si>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</si>
  <si>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</si>
  <si>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</si>
  <si>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</si>
  <si>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</si>
  <si>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</si>
  <si>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</si>
  <si>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</si>
  <si>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</si>
  <si>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</si>
  <si>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</si>
  <si>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</si>
  <si>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</si>
  <si>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</si>
  <si>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</si>
  <si>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</si>
  <si>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</si>
  <si>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</si>
  <si>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</si>
  <si>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</si>
  <si>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</si>
  <si>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</si>
  <si>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</si>
  <si>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</si>
  <si>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</si>
  <si>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</si>
  <si>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</si>
  <si>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</si>
  <si>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</si>
  <si>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</si>
  <si>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</si>
  <si>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</si>
  <si>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</si>
  <si>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</si>
  <si>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</si>
  <si>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</si>
  <si>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</si>
  <si>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</si>
  <si>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</si>
  <si>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</si>
  <si>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</si>
  <si>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</si>
  <si>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</si>
  <si>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</si>
  <si>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</si>
  <si>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</si>
  <si>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</si>
  <si>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</si>
  <si>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</si>
  <si>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</si>
  <si>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</si>
  <si>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</si>
  <si>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</si>
  <si>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</si>
  <si>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</si>
  <si>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</si>
  <si>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</si>
  <si>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</si>
  <si>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</si>
  <si>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</si>
  <si>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</si>
  <si>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</si>
  <si>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</si>
  <si>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</si>
  <si>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</si>
  <si>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</si>
  <si>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</si>
  <si>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</si>
  <si>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</si>
  <si>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</si>
  <si>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</si>
  <si>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</si>
  <si>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</si>
  <si>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</si>
  <si>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</si>
  <si>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</si>
  <si>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</si>
  <si>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</si>
  <si>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</si>
  <si>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</si>
  <si>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</si>
  <si>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</si>
  <si>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</si>
  <si>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</si>
  <si>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</si>
  <si>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</si>
  <si>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</si>
  <si>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</si>
  <si>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</si>
  <si>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</si>
  <si>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</si>
  <si>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</si>
  <si>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</si>
  <si>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</si>
  <si>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</si>
  <si>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</si>
  <si>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</si>
  <si>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</si>
  <si>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</si>
  <si>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</si>
  <si>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</si>
  <si>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</si>
  <si>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</si>
  <si>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</si>
  <si>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</si>
  <si>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</si>
  <si>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</si>
  <si>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</si>
  <si>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</si>
  <si>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</si>
  <si>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</si>
  <si>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</si>
  <si>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</si>
  <si>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</si>
  <si>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</si>
  <si>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</si>
  <si>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</si>
  <si>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</si>
  <si>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</si>
  <si>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</si>
  <si>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</si>
  <si>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</si>
  <si>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</si>
  <si>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</si>
  <si>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</si>
  <si>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</si>
  <si>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</si>
  <si>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</si>
  <si>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</si>
  <si>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</si>
  <si>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</si>
  <si>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</si>
  <si>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</si>
  <si>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</si>
  <si>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</si>
  <si>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</si>
  <si>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</si>
  <si>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</si>
  <si>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</si>
  <si>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</si>
  <si>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</si>
  <si>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</si>
  <si>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</si>
  <si>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</si>
  <si>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</si>
  <si>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</si>
  <si>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</si>
  <si>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</si>
  <si>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</si>
  <si>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</si>
  <si>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</si>
  <si>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</si>
  <si>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</si>
  <si>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</si>
  <si>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</si>
  <si>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</si>
  <si>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</si>
  <si>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</si>
  <si>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</si>
  <si>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</si>
  <si>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</si>
  <si>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</si>
  <si>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</si>
  <si>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</si>
  <si>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</si>
  <si>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</si>
  <si>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</si>
  <si>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</si>
  <si>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</si>
  <si>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</si>
  <si>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</si>
  <si>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</si>
  <si>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</si>
  <si>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</si>
  <si>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</si>
  <si>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</si>
  <si>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</si>
  <si>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</si>
  <si>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</si>
  <si>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</si>
  <si>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</si>
  <si>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</si>
  <si>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</si>
  <si>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</si>
  <si>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</si>
  <si>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</si>
  <si>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</si>
  <si>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</si>
  <si>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</si>
  <si>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</si>
  <si>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</si>
  <si>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</si>
  <si>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</si>
  <si>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</si>
  <si>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</si>
  <si>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</si>
  <si>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</si>
  <si>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</si>
  <si>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</si>
  <si>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</si>
  <si>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</si>
  <si>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</si>
  <si>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</si>
  <si>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</si>
  <si>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</si>
  <si>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</si>
  <si>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</si>
  <si>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</si>
  <si>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</si>
  <si>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</si>
  <si>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</si>
  <si>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</si>
  <si>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</si>
  <si>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</si>
  <si>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</si>
  <si>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</si>
  <si>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</si>
  <si>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</si>
  <si>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</si>
  <si>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</si>
  <si>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</si>
  <si>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</si>
  <si>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</si>
  <si>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</si>
  <si>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</si>
  <si>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</si>
  <si>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</si>
  <si>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</si>
  <si>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</si>
  <si>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</si>
  <si>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</si>
  <si>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</si>
  <si>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</si>
  <si>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</si>
  <si>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</si>
  <si>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</si>
  <si>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</si>
  <si>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</si>
  <si>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</si>
  <si>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</si>
  <si>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</si>
  <si>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</si>
  <si>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</si>
  <si>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</si>
  <si>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</si>
  <si>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</si>
  <si>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</si>
  <si>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</si>
  <si>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</si>
  <si>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</si>
  <si>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</si>
  <si>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</si>
  <si>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</si>
  <si>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</si>
  <si>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</si>
  <si>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</si>
  <si>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</si>
  <si>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</si>
  <si>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</si>
  <si>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</si>
  <si>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</si>
  <si>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</si>
  <si>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</si>
  <si>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</si>
  <si>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</si>
  <si>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</si>
  <si>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</si>
  <si>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</si>
  <si>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</si>
  <si>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</si>
  <si>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</si>
  <si>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</si>
  <si>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</si>
  <si>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</si>
  <si>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</si>
  <si>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</si>
  <si>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</si>
  <si>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</si>
  <si>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</si>
  <si>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</si>
  <si>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</si>
  <si>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</si>
  <si>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</si>
  <si>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</si>
  <si>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</si>
  <si>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</si>
  <si>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</si>
  <si>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</si>
  <si>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</si>
  <si>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</si>
  <si>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</si>
  <si>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</si>
  <si>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</si>
  <si>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</si>
  <si>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</si>
  <si>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</si>
  <si>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</si>
  <si>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</si>
  <si>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</si>
  <si>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</si>
  <si>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</si>
  <si>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</si>
  <si>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</si>
  <si>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</si>
  <si>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</si>
  <si>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</si>
  <si>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</si>
  <si>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</si>
  <si>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</si>
  <si>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</si>
  <si>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</si>
  <si>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</si>
  <si>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</si>
  <si>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</si>
  <si>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</si>
  <si>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</si>
  <si>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</si>
  <si>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</si>
  <si>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</si>
  <si>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</si>
  <si>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</si>
  <si>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</si>
  <si>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</si>
  <si>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</si>
  <si>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</si>
  <si>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</si>
  <si>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</si>
  <si>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</si>
  <si>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</si>
  <si>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</si>
  <si>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</si>
  <si>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</si>
  <si>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</si>
  <si>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</si>
  <si>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</si>
  <si>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</si>
  <si>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</si>
  <si>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</si>
  <si>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</si>
  <si>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</si>
  <si>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</si>
  <si>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</si>
  <si>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</si>
  <si>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</si>
  <si>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</si>
  <si>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</si>
  <si>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</si>
  <si>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</si>
  <si>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</si>
  <si>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</si>
  <si>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</si>
  <si>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</si>
  <si>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</si>
  <si>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</si>
  <si>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</si>
  <si>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</si>
  <si>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</si>
  <si>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</si>
  <si>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</si>
  <si>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</si>
  <si>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</si>
  <si>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</si>
  <si>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</si>
  <si>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</si>
  <si>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</si>
  <si>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</si>
  <si>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</si>
  <si>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</si>
  <si>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</si>
  <si>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</si>
  <si>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</si>
  <si>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</si>
  <si>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</si>
  <si>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</si>
  <si>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</si>
  <si>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</si>
  <si>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</si>
  <si>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</si>
  <si>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</si>
  <si>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</si>
  <si>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</si>
  <si>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</si>
  <si>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</si>
  <si>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</si>
  <si>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</si>
  <si>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</si>
  <si>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</si>
  <si>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</si>
  <si>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</si>
  <si>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</si>
  <si>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</si>
  <si>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</si>
  <si>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</si>
  <si>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</si>
  <si>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</si>
  <si>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</si>
  <si>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</si>
  <si>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</si>
  <si>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</si>
  <si>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</si>
  <si>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</si>
  <si>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</si>
  <si>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</si>
  <si>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</si>
  <si>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</si>
  <si>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</si>
  <si>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</si>
  <si>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</si>
  <si>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</si>
  <si>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</si>
  <si>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</si>
  <si>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</si>
  <si>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</si>
  <si>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</si>
  <si>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</si>
  <si>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</si>
  <si>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</si>
  <si>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</si>
  <si>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</si>
  <si>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</si>
  <si>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</si>
  <si>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</si>
  <si>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</si>
  <si>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</si>
  <si>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</si>
  <si>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</si>
  <si>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</si>
  <si>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</si>
  <si>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</si>
  <si>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</si>
  <si>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</si>
  <si>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</si>
  <si>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</si>
  <si>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</si>
  <si>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</si>
  <si>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</si>
  <si>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</si>
  <si>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</si>
  <si>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</si>
  <si>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</si>
  <si>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</si>
  <si>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</si>
  <si>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</si>
  <si>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</si>
  <si>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</si>
  <si>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</si>
  <si>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</si>
  <si>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</si>
  <si>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</si>
  <si>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</si>
  <si>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</si>
  <si>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</si>
  <si>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</si>
  <si>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</si>
  <si>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</si>
  <si>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</si>
  <si>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</si>
  <si>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</si>
  <si>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</si>
  <si>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</si>
  <si>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</si>
  <si>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</si>
  <si>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</si>
  <si>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</si>
  <si>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</si>
  <si>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</si>
  <si>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</si>
  <si>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</si>
  <si>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</si>
  <si>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</si>
  <si>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</si>
  <si>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</si>
  <si>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</si>
  <si>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</si>
  <si>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</si>
  <si>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</si>
  <si>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</si>
  <si>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</si>
  <si>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</si>
  <si>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</si>
  <si>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</si>
  <si>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</si>
  <si>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</si>
  <si>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</si>
  <si>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</si>
  <si>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</si>
  <si>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</si>
  <si>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</si>
  <si>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</si>
  <si>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</si>
  <si>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</si>
  <si>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</si>
  <si>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</si>
  <si>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</si>
  <si>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</si>
  <si>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</si>
  <si>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</si>
  <si>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</si>
  <si>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</si>
  <si>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</si>
  <si>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</si>
  <si>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</si>
  <si>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</si>
  <si>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</si>
  <si>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</si>
  <si>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</si>
  <si>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</si>
  <si>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</si>
  <si>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</si>
  <si>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</si>
  <si>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</si>
  <si>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</si>
  <si>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</si>
  <si>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</si>
  <si>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</si>
  <si>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</si>
  <si>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</si>
  <si>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</si>
  <si>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</si>
  <si>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</si>
  <si>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</si>
  <si>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</si>
  <si>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</si>
  <si>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</si>
  <si>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</si>
  <si>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</si>
  <si>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</si>
  <si>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</si>
  <si>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</si>
  <si>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</si>
  <si>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</si>
  <si>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</si>
  <si>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</si>
  <si>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</si>
  <si>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</si>
  <si>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</si>
  <si>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</si>
  <si>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</si>
  <si>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</si>
  <si>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</si>
  <si>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</si>
  <si>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</si>
  <si>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</si>
  <si>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</si>
  <si>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</si>
  <si>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</si>
  <si>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</si>
  <si>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</si>
  <si>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</si>
  <si>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</si>
  <si>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</si>
  <si>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</si>
  <si>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</si>
  <si>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</si>
  <si>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</si>
  <si>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</si>
  <si>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</si>
  <si>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</si>
  <si>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</si>
  <si>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</si>
  <si>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</si>
  <si>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</si>
  <si>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</si>
  <si>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</si>
  <si>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</si>
  <si>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</si>
  <si>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</si>
  <si>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</si>
  <si>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</si>
  <si>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</si>
  <si>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</si>
  <si>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</si>
  <si>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</si>
  <si>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</si>
  <si>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</si>
  <si>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</si>
  <si>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</si>
  <si>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</si>
  <si>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</si>
  <si>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</si>
  <si>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NEREA FRAILE</t>
  </si>
  <si>
    <t>07:35</t>
  </si>
  <si>
    <t>06:26</t>
  </si>
  <si>
    <t>07:36</t>
  </si>
  <si>
    <t>07:11</t>
  </si>
  <si>
    <t>07:09</t>
  </si>
  <si>
    <t>03:22</t>
  </si>
  <si>
    <t>09:29</t>
  </si>
  <si>
    <t>08:06</t>
  </si>
  <si>
    <t>07:48</t>
  </si>
  <si>
    <t>03:11</t>
  </si>
  <si>
    <t>C:\Users\nerea.fraile\EUROLEAGUE\EB STATS - Documents\General\SEASON 2025-26\Reports\Eurocup\PDF</t>
  </si>
  <si>
    <t>C:\Users\nerea.fraile\EUROLEAGUE\EB STATS - Documents\General\SEASON 2025-26\Reports\Eurocup</t>
  </si>
  <si>
    <t>A very good final quarter was a highlight.</t>
  </si>
  <si>
    <t>Some missidentity mistakes that shound be improved. During the data entered at halftime there was a time discrepancy and the third quarter began with 5 extra minutes added only in the "play by play" that carried over throughout the game and caused a discrepancy in the final statistics.Take care with this changes for the next time. To highlight you have done a perfect last quarter.</t>
  </si>
  <si>
    <t>VERONICA NAVARRO</t>
  </si>
  <si>
    <t>GERARD CAROD</t>
  </si>
  <si>
    <t>ALBERTO MORALES</t>
  </si>
  <si>
    <t>NARCIS JUBANY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</si>
</sst>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13_122_MAN_ARI_U2025</v>
      </c>
      <c r="G1" s="5"/>
      <c r="H1" s="5"/>
      <c r="I1" s="5"/>
      <c r="J1" s="8" t="s">
        <v>707</v>
      </c>
      <c r="K1" s="121" t="s">
        <v>837</v>
      </c>
      <c r="L1" s="121"/>
      <c r="M1" s="122" t="s">
        <v>239</v>
      </c>
      <c r="N1" s="121" t="s">
        <v>836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122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46028.864583333336</v>
      </c>
      <c r="C3" s="157"/>
      <c r="D3" s="39">
        <v>654</v>
      </c>
      <c r="E3" s="29"/>
      <c r="F3" s="26">
        <f>SUBTOTAL(3,I17:I106)</f>
        <v>11</v>
      </c>
      <c r="G3" s="27">
        <f>IF(OR(D3="",D3=0),"",F3/D3)</f>
        <v>1.6819571865443424E-2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BAXI Manresa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714</v>
      </c>
      <c r="K4" s="54" t="s">
        <v>742</v>
      </c>
      <c r="L4" s="5"/>
      <c r="M4" s="167" t="s">
        <v>839</v>
      </c>
      <c r="N4" s="168"/>
      <c r="O4" s="2"/>
      <c r="P4" s="2"/>
      <c r="Q4" s="84" t="s">
        <v>175</v>
      </c>
      <c r="R4" s="94">
        <f>(IF(G3="",0,G3))</f>
        <v>1.6819571865443424E-2</v>
      </c>
      <c r="S4" s="61">
        <f>SUM(I13:M13)</f>
        <v>0</v>
      </c>
      <c r="T4" s="78"/>
      <c r="U4" s="61">
        <f>AC18</f>
        <v>3</v>
      </c>
      <c r="V4" s="61">
        <f>+AC22</f>
        <v>6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Aris Thessaloniki Betsson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1.6819571865443423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6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766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840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12.681957186544341</v>
      </c>
      <c r="N7" s="58"/>
      <c r="O7" s="2"/>
      <c r="P7" s="2"/>
      <c r="Q7" s="86">
        <f>SUM(R5,S5,AC16)</f>
        <v>12.681957186544341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841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/>
      <c r="N8" s="2"/>
      <c r="O8" s="2"/>
      <c r="P8" s="2"/>
      <c r="Q8" s="85">
        <f>SUM(R5:BA5)</f>
        <v>12.681957186544341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842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 t="s">
        <v>838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843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>
        <f>M8</f>
        <v>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122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11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122</v>
      </c>
      <c r="D17" s="32" t="s">
        <v>826</v>
      </c>
      <c r="E17" s="33">
        <v>1</v>
      </c>
      <c r="F17" s="36">
        <v>5</v>
      </c>
      <c r="G17" s="36">
        <v>3</v>
      </c>
      <c r="H17" s="38" t="str">
        <f>IF(I17="","",$I$14)</f>
        <v>SCOUTING</v>
      </c>
      <c r="I17" s="34">
        <v>37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122</v>
      </c>
      <c r="D18" s="32" t="s">
        <v>827</v>
      </c>
      <c r="E18" s="33">
        <v>1</v>
      </c>
      <c r="F18" s="36">
        <v>7</v>
      </c>
      <c r="G18" s="36">
        <v>3</v>
      </c>
      <c r="H18" s="38" t="str">
        <f t="shared" ref="H18:H81" si="8">IF(I18="","",$I$14)</f>
        <v>SCOUTING</v>
      </c>
      <c r="I18" s="34">
        <v>56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122</v>
      </c>
      <c r="D19" s="32" t="s">
        <v>828</v>
      </c>
      <c r="E19" s="33">
        <v>2</v>
      </c>
      <c r="F19" s="36">
        <v>45</v>
      </c>
      <c r="G19" s="36">
        <v>24</v>
      </c>
      <c r="H19" s="38" t="str">
        <f t="shared" si="8"/>
        <v>SCOUTING</v>
      </c>
      <c r="I19" s="34">
        <v>204</v>
      </c>
      <c r="J19" s="13" t="s">
        <v>4</v>
      </c>
      <c r="K19" s="13" t="s">
        <v>62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122</v>
      </c>
      <c r="D20" s="32" t="s">
        <v>829</v>
      </c>
      <c r="E20" s="33">
        <v>2</v>
      </c>
      <c r="F20" s="36">
        <v>45</v>
      </c>
      <c r="G20" s="36">
        <v>24</v>
      </c>
      <c r="H20" s="38" t="str">
        <f t="shared" si="8"/>
        <v>SCOUTING</v>
      </c>
      <c r="I20" s="34">
        <v>210</v>
      </c>
      <c r="J20" s="13" t="s">
        <v>4</v>
      </c>
      <c r="K20" s="13" t="s">
        <v>63</v>
      </c>
      <c r="L20" s="13" t="s">
        <v>7</v>
      </c>
      <c r="M20" s="13" t="s">
        <v>12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122</v>
      </c>
      <c r="D21" s="32" t="s">
        <v>830</v>
      </c>
      <c r="E21" s="33">
        <v>2</v>
      </c>
      <c r="F21" s="36">
        <v>45</v>
      </c>
      <c r="G21" s="36">
        <v>24</v>
      </c>
      <c r="H21" s="38" t="str">
        <f t="shared" si="8"/>
        <v>SCOUTING</v>
      </c>
      <c r="I21" s="34">
        <v>211</v>
      </c>
      <c r="J21" s="13" t="s">
        <v>4</v>
      </c>
      <c r="K21" s="13" t="s">
        <v>63</v>
      </c>
      <c r="L21" s="13" t="s">
        <v>6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122</v>
      </c>
      <c r="D22" s="32" t="s">
        <v>831</v>
      </c>
      <c r="E22" s="33">
        <v>2</v>
      </c>
      <c r="F22" s="36">
        <v>56</v>
      </c>
      <c r="G22" s="36">
        <v>26</v>
      </c>
      <c r="H22" s="38" t="str">
        <f t="shared" si="8"/>
        <v>SCOUTING</v>
      </c>
      <c r="I22" s="34">
        <v>276</v>
      </c>
      <c r="J22" s="13" t="s">
        <v>4</v>
      </c>
      <c r="K22" s="13" t="s">
        <v>62</v>
      </c>
      <c r="L22" s="13" t="s">
        <v>6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6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122</v>
      </c>
      <c r="D23" s="32" t="s">
        <v>832</v>
      </c>
      <c r="E23" s="33">
        <v>3</v>
      </c>
      <c r="F23" s="36">
        <v>63</v>
      </c>
      <c r="G23" s="36">
        <v>40</v>
      </c>
      <c r="H23" s="38" t="str">
        <f t="shared" si="8"/>
        <v>SCOUTING</v>
      </c>
      <c r="I23" s="34">
        <v>368</v>
      </c>
      <c r="J23" s="13" t="s">
        <v>4</v>
      </c>
      <c r="K23" s="13" t="s">
        <v>63</v>
      </c>
      <c r="L23" s="13" t="s">
        <v>6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122</v>
      </c>
      <c r="D24" s="32" t="s">
        <v>833</v>
      </c>
      <c r="E24" s="33">
        <v>3</v>
      </c>
      <c r="F24" s="36">
        <v>65</v>
      </c>
      <c r="G24" s="36">
        <v>42</v>
      </c>
      <c r="H24" s="38" t="str">
        <f t="shared" si="8"/>
        <v>SCOUTING</v>
      </c>
      <c r="I24" s="34">
        <v>395</v>
      </c>
      <c r="J24" s="13" t="s">
        <v>4</v>
      </c>
      <c r="K24" s="13" t="s">
        <v>62</v>
      </c>
      <c r="L24" s="13" t="s">
        <v>6</v>
      </c>
      <c r="M24" s="13" t="s">
        <v>12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122</v>
      </c>
      <c r="D25" s="32" t="s">
        <v>834</v>
      </c>
      <c r="E25" s="33">
        <v>3</v>
      </c>
      <c r="F25" s="36">
        <v>67</v>
      </c>
      <c r="G25" s="36">
        <v>42</v>
      </c>
      <c r="H25" s="38" t="str">
        <f t="shared" si="8"/>
        <v>SCOUTING</v>
      </c>
      <c r="I25" s="34">
        <v>399</v>
      </c>
      <c r="J25" s="13" t="s">
        <v>4</v>
      </c>
      <c r="K25" s="13" t="s">
        <v>62</v>
      </c>
      <c r="L25" s="13" t="s">
        <v>6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122</v>
      </c>
      <c r="D26" s="32" t="s">
        <v>835</v>
      </c>
      <c r="E26" s="33">
        <v>3</v>
      </c>
      <c r="F26" s="36">
        <v>79</v>
      </c>
      <c r="G26" s="36">
        <v>56</v>
      </c>
      <c r="H26" s="38" t="str">
        <f t="shared" si="8"/>
        <v>SCOUTING</v>
      </c>
      <c r="I26" s="34">
        <v>470</v>
      </c>
      <c r="J26" s="13" t="s">
        <v>4</v>
      </c>
      <c r="K26" s="13" t="s">
        <v>62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122</v>
      </c>
      <c r="D27" s="32" t="s">
        <v>830</v>
      </c>
      <c r="E27" s="33">
        <v>2</v>
      </c>
      <c r="F27" s="36">
        <v>45</v>
      </c>
      <c r="G27" s="36">
        <v>24</v>
      </c>
      <c r="H27" s="38" t="str">
        <f t="shared" si="8"/>
        <v>SCOUTING</v>
      </c>
      <c r="I27" s="34">
        <v>211</v>
      </c>
      <c r="J27" s="13" t="s">
        <v>4</v>
      </c>
      <c r="K27" s="13" t="s">
        <v>61</v>
      </c>
      <c r="L27" s="13" t="s">
        <v>75</v>
      </c>
      <c r="M27" s="13" t="s">
        <v>164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1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REPORT_U2025122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"U2025122"</v>
      </c>
      <c r="F3" s="45" t="str">
        <f t="shared" ref="F3:F16" si="0">""""&amp;B3&amp;"""" &amp; " : " &amp;C3&amp;","</f>
        <v>"name" : "U2025122",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"U122"</v>
      </c>
      <c r="F4" s="45" t="str">
        <f t="shared" si="0"/>
        <v>"cod" : "U122",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122</v>
      </c>
      <c r="F6" s="45" t="str">
        <f t="shared" si="0"/>
        <v>"number" : 122,</v>
      </c>
    </row>
    <row r="7" spans="2:6" x14ac:dyDescent="0.25">
      <c r="B7" s="43" t="s">
        <v>116</v>
      </c>
      <c r="C7" s="43" t="str">
        <f ca="1">""""&amp;TEXT('SCOUT &amp; LOGISTICS'!B3,"dd/mm/aaaa")&amp;""""</f>
        <v>"06/01/Tuesday"</v>
      </c>
      <c r="F7" s="45" t="str">
        <f t="shared" ca="1" si="0"/>
        <v>"date" : "06/01/Tuesday",</v>
      </c>
    </row>
    <row r="8" spans="2:6" x14ac:dyDescent="0.25">
      <c r="B8" s="43" t="s">
        <v>125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 x14ac:dyDescent="0.25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"LAILA GONELL"</v>
      </c>
      <c r="F10" s="45" t="str">
        <f t="shared" si="0"/>
        <v>"Data_entry" : "LAILA GONELL",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"VERONICA NAVARRO"</v>
      </c>
      <c r="F11" s="45" t="str">
        <f t="shared" si="0"/>
        <v>"Caller_1" : "VERONICA NAVARRO",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"GERARD CAROD"</v>
      </c>
      <c r="F12" s="45" t="str">
        <f t="shared" si="0"/>
        <v>"Caller_2" : "GERARD CAROD",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"ALBERTO MORALES"</v>
      </c>
      <c r="F13" s="45" t="str">
        <f t="shared" si="0"/>
        <v>"Timerkeeper" : "ALBERTO MORALES",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"NARCIS JUBANY"</v>
      </c>
      <c r="F14" s="45" t="str">
        <f t="shared" si="0"/>
        <v>"Shotclock" : "NARCIS JUBANY",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"0"</v>
      </c>
      <c r="F15" s="45" t="str">
        <f t="shared" si="0"/>
        <v>"IRS" : "0",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654</v>
      </c>
      <c r="F25" s="45" t="str">
        <f t="shared" ref="F25:F48" si="1">""""&amp;C25&amp;"""" &amp; " : " &amp;D25&amp;","</f>
        <v>"total_actions" : 654,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"Some missidentity mistakes that shound be improved. During the data entered at halftime there was a time discrepancy and the third quarter began with 5 extra minutes added only in the "play by play" that carried over throughout the game and caused a discrepancy in the final statistics.Take care with this changes for the next time. To highlight you have done a perfect last quarter."</v>
      </c>
      <c r="F51" s="45" t="str">
        <f>""""&amp;B51&amp;"""" &amp; " : " &amp;C51&amp;","</f>
        <v>"comments" : "Some missidentity mistakes that shound be improved. During the data entered at halftime there was a time discrepancy and the third quarter began with 5 extra minutes added only in the "play by play" that carried over throughout the game and caused a discrepancy in the final statistics.Take care with this changes for the next time. To highlight you have done a perfect last quarter.",</v>
      </c>
    </row>
    <row r="52" spans="2:6" x14ac:dyDescent="0.25">
      <c r="B52" s="43" t="s">
        <v>153</v>
      </c>
      <c r="C52" s="43" t="str">
        <f>TEXT('SCOUT &amp; LOGISTICS'!F1,"0,0")</f>
        <v>13_122_MAN_ARI_U2025</v>
      </c>
      <c r="F52" s="45" t="str">
        <f>""""&amp;B52&amp;"""" &amp; " : " &amp;C52</f>
        <v>"result" : 13_122_MAN_ARI_U2025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U122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Baxi Manresa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Aris Thessaloniki Betsson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LAILA GONELL</v>
      </c>
      <c r="C8" s="206"/>
      <c r="D8" s="206"/>
      <c r="E8" s="206"/>
      <c r="F8" s="206"/>
      <c r="G8" s="206" t="str">
        <f>IF('SCOUT &amp; LOGISTICS'!D7="","",'SCOUT &amp; LOGISTICS'!D7)</f>
        <v>VERONICA NAVARRO</v>
      </c>
      <c r="H8" s="206"/>
      <c r="I8" s="206"/>
      <c r="J8" s="206"/>
      <c r="K8" s="206"/>
      <c r="L8" s="206" t="str">
        <f>IF('SCOUT &amp; LOGISTICS'!D8="","",'SCOUT &amp; LOGISTICS'!D8)</f>
        <v>GERARD CAROD</v>
      </c>
      <c r="M8" s="206"/>
      <c r="N8" s="206"/>
      <c r="O8" s="206"/>
      <c r="P8" s="206"/>
      <c r="Q8" s="206" t="str">
        <f>IF('SCOUT &amp; LOGISTICS'!D9="","",'SCOUT &amp; LOGISTICS'!D9)</f>
        <v>ALBERTO MORALES</v>
      </c>
      <c r="R8" s="206"/>
      <c r="S8" s="206"/>
      <c r="T8" s="206"/>
      <c r="U8" s="206"/>
      <c r="V8" s="206" t="str">
        <f>IF('SCOUT &amp; LOGISTICS'!D10="","",'SCOUT &amp; LOGISTICS'!D10)</f>
        <v>NARCIS JUBANY</v>
      </c>
      <c r="W8" s="206"/>
      <c r="X8" s="206"/>
      <c r="Y8" s="206"/>
      <c r="Z8" s="206"/>
      <c r="AA8" s="206">
        <f>IF('SCOUT &amp; LOGISTICS'!D11="","",'SCOUT &amp; LOGISTICS'!D11)</f>
        <v>0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654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1.6819571865443424E-2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5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6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Some missidentity mistakes that shound be improved. During the data entered at halftime there was a time discrepancy and the third quarter began with 5 extra minutes added only in the "play by play" that carried over throughout the game and caused a discrepancy in the final statistics.Take care with this changes for the next time. To highlight you have done a perfect last quarter.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12.681957186544341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3C9FBB-2A66-4B50-8913-6D6F2D654CF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2026-01-06T21:43:27Z</cp:lastPrinted>
  <dcterms:created xsi:type="dcterms:W3CDTF">2023-09-19T19:50:35Z</dcterms:created>
  <dcterms:modified xsi:type="dcterms:W3CDTF">2026-01-06T21:43:28Z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