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61" documentId="8_{0E5A9E29-C970-4053-95F5-0910935C85A6}" xr6:coauthVersionLast="47" xr6:coauthVersionMax="47" xr10:uidLastSave="{BE7A1889-71DD-4B50-A1EB-DB5075AC1A94}"/>
  <bookViews>
    <workbookView xWindow="-90" yWindow="-16320" windowWidth="29040" windowHeight="15720" xr2:uid="{00000000-000D-0000-FFFF-FFFF00000000}"/>
  </bookViews>
  <sheets>
    <sheet name="SCOUT &amp; LOGISTICS" sheetId="1" r:id="rId1"/>
    <sheet name="Teams" sheetId="5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W5" i="1" s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<sst xmlns="http://schemas.openxmlformats.org/spreadsheetml/2006/main" count="3352" uniqueCount="838">
  <si>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</si>
  <si>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</si>
  <si>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</si>
  <si>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</si>
  <si>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</si>
  <si>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</si>
  <si>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</si>
  <si>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</si>
  <si>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</si>
  <si>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</si>
  <si>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</si>
  <si>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</si>
  <si>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</si>
  <si>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</si>
  <si>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</si>
  <si>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</si>
  <si>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</si>
  <si>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</si>
  <si>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</si>
  <si>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</si>
  <si>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</si>
  <si>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</si>
  <si>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</si>
  <si>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</si>
  <si>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</si>
  <si>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</si>
  <si>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</si>
  <si>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</si>
  <si>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</si>
  <si>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</si>
  <si>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</si>
  <si>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</si>
  <si>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</si>
  <si>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</si>
  <si>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</si>
  <si>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</si>
  <si>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</si>
  <si>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</si>
  <si>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</si>
  <si>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</si>
  <si>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</si>
  <si>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</si>
  <si>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</si>
  <si>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</si>
  <si>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</si>
  <si>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</si>
  <si>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</si>
  <si>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</si>
  <si>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</si>
  <si>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</si>
  <si>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</si>
  <si>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</si>
  <si>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</si>
  <si>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</si>
  <si>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</si>
  <si>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</si>
  <si>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</si>
  <si>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</si>
  <si>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</si>
  <si>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</si>
  <si>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</si>
  <si>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</si>
  <si>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</si>
  <si>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</si>
  <si>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</si>
  <si>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</si>
  <si>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</si>
  <si>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</si>
  <si>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</si>
  <si>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</si>
  <si>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</si>
  <si>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</si>
  <si>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</si>
  <si>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</si>
  <si>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</si>
  <si>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</si>
  <si>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</si>
  <si>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</si>
  <si>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</si>
  <si>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</si>
  <si>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</si>
  <si>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</si>
  <si>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</si>
  <si>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</si>
  <si>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</si>
  <si>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</si>
  <si>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</si>
  <si>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</si>
  <si>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</si>
  <si>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</si>
  <si>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</si>
  <si>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</si>
  <si>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</si>
  <si>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</si>
  <si>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</si>
  <si>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</si>
  <si>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</si>
  <si>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</si>
  <si>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</si>
  <si>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</si>
  <si>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</si>
  <si>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</si>
  <si>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</si>
  <si>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</si>
  <si>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</si>
  <si>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</si>
  <si>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</si>
  <si>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</si>
  <si>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</si>
  <si>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</si>
  <si>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</si>
  <si>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</si>
  <si>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</si>
  <si>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</si>
  <si>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</si>
  <si>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</si>
  <si>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</si>
  <si>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</si>
  <si>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</si>
  <si>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</si>
  <si>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</si>
  <si>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</si>
  <si>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</si>
  <si>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</si>
  <si>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</si>
  <si>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</si>
  <si>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</si>
  <si>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</si>
  <si>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</si>
  <si>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</si>
  <si>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</si>
  <si>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</si>
  <si>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</si>
  <si>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</si>
  <si>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</si>
  <si>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</si>
  <si>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</si>
  <si>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</si>
  <si>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</si>
  <si>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</si>
  <si>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</si>
  <si>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</si>
  <si>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</si>
  <si>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</si>
  <si>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</si>
  <si>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</si>
  <si>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</si>
  <si>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</si>
  <si>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</si>
  <si>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</si>
  <si>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</si>
  <si>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</si>
  <si>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</si>
  <si>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</si>
  <si>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</si>
  <si>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</si>
  <si>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</si>
  <si>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</si>
  <si>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</si>
  <si>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</si>
  <si>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</si>
  <si>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</si>
  <si>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</si>
  <si>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</si>
  <si>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</si>
  <si>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</si>
  <si>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</si>
  <si>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</si>
  <si>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</si>
  <si>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</si>
  <si>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</si>
  <si>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</si>
  <si>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</si>
  <si>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</si>
  <si>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</si>
  <si>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</si>
  <si>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</si>
  <si>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</si>
  <si>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</si>
  <si>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</si>
  <si>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</si>
  <si>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</si>
  <si>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</si>
  <si>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</si>
  <si>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</si>
  <si>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</si>
  <si>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</si>
  <si>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</si>
  <si>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</si>
  <si>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</si>
  <si>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</si>
  <si>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</si>
  <si>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</si>
  <si>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</si>
  <si>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</si>
  <si>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</si>
  <si>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</si>
  <si>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</si>
  <si>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</si>
  <si>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</si>
  <si>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</si>
  <si>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</si>
  <si>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</si>
  <si>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</si>
  <si>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</si>
  <si>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</si>
  <si>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</si>
  <si>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</si>
  <si>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</si>
  <si>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</si>
  <si>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</si>
  <si>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</si>
  <si>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</si>
  <si>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</si>
  <si>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</si>
  <si>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</si>
  <si>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</si>
  <si>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</si>
  <si>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</si>
  <si>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</si>
  <si>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</si>
  <si>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</si>
  <si>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</si>
  <si>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</si>
  <si>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</si>
  <si>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</si>
  <si>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</si>
  <si>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</si>
  <si>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</si>
  <si>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</si>
  <si>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</si>
  <si>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</si>
  <si>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</si>
  <si>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</si>
  <si>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</si>
  <si>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</si>
  <si>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</si>
  <si>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</si>
  <si>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</si>
  <si>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</si>
  <si>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</si>
  <si>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</si>
  <si>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</si>
  <si>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</si>
  <si>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</si>
  <si>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</si>
  <si>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</si>
  <si>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</si>
  <si>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</si>
  <si>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</si>
  <si>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</si>
  <si>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</si>
  <si>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</si>
  <si>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</si>
  <si>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</si>
  <si>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</si>
  <si>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</si>
  <si>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</si>
  <si>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</si>
  <si>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</si>
  <si>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</si>
  <si>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</si>
  <si>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</si>
  <si>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</si>
  <si>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</si>
  <si>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</si>
  <si>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</si>
  <si>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</si>
  <si>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</si>
  <si>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</si>
  <si>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</si>
  <si>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</si>
  <si>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</si>
  <si>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</si>
  <si>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</si>
  <si>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</si>
  <si>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</si>
  <si>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</si>
  <si>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</si>
  <si>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</si>
  <si>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</si>
  <si>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</si>
  <si>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</si>
  <si>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</si>
  <si>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</si>
  <si>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</si>
  <si>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</si>
  <si>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</si>
  <si>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</si>
  <si>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</si>
  <si>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</si>
  <si>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</si>
  <si>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</si>
  <si>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</si>
  <si>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</si>
  <si>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</si>
  <si>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</si>
  <si>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</si>
  <si>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</si>
  <si>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</si>
  <si>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</si>
  <si>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</si>
  <si>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</si>
  <si>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</si>
  <si>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</si>
  <si>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</si>
  <si>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</si>
  <si>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</si>
  <si>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</si>
  <si>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</si>
  <si>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</si>
  <si>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</si>
  <si>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</si>
  <si>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</si>
  <si>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</si>
  <si>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</si>
  <si>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</si>
  <si>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</si>
  <si>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</si>
  <si>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</si>
  <si>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</si>
  <si>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</si>
  <si>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</si>
  <si>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</si>
  <si>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</si>
  <si>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</si>
  <si>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</si>
  <si>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</si>
  <si>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</si>
  <si>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</si>
  <si>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</si>
  <si>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</si>
  <si>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</si>
  <si>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</si>
  <si>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</si>
  <si>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</si>
  <si>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</si>
  <si>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</si>
  <si>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</si>
  <si>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</si>
  <si>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</si>
  <si>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</si>
  <si>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</si>
  <si>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</si>
  <si>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</si>
  <si>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</si>
  <si>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</si>
  <si>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</si>
  <si>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</si>
  <si>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</si>
  <si>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</si>
  <si>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</si>
  <si>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</si>
  <si>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</si>
  <si>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</si>
  <si>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</si>
  <si>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</si>
  <si>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</si>
  <si>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</si>
  <si>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</si>
  <si>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</si>
  <si>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</si>
  <si>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</si>
  <si>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</si>
  <si>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</si>
  <si>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</si>
  <si>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</si>
  <si>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</si>
  <si>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</si>
  <si>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</si>
  <si>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</si>
  <si>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</si>
  <si>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</si>
  <si>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</si>
  <si>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</si>
  <si>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</si>
  <si>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</si>
  <si>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</si>
  <si>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</si>
  <si>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</si>
  <si>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</si>
  <si>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</si>
  <si>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</si>
  <si>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</si>
  <si>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</si>
  <si>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</si>
  <si>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</si>
  <si>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</si>
  <si>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</si>
  <si>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</si>
  <si>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</si>
  <si>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</si>
  <si>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</si>
  <si>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</si>
  <si>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</si>
  <si>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</si>
  <si>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</si>
  <si>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</si>
  <si>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</si>
  <si>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</si>
  <si>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</si>
  <si>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</si>
  <si>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</si>
  <si>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</si>
  <si>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</si>
  <si>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</si>
  <si>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</si>
  <si>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</si>
  <si>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</si>
  <si>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</si>
  <si>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</si>
  <si>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</si>
  <si>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</si>
  <si>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</si>
  <si>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</si>
  <si>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</si>
  <si>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</si>
  <si>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</si>
  <si>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</si>
  <si>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</si>
  <si>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</si>
  <si>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</si>
  <si>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</si>
  <si>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</si>
  <si>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</si>
  <si>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</si>
  <si>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</si>
  <si>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</si>
  <si>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</si>
  <si>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</si>
  <si>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</si>
  <si>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</si>
  <si>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</si>
  <si>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</si>
  <si>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</si>
  <si>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</si>
  <si>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</si>
  <si>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</si>
  <si>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</si>
  <si>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</si>
  <si>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</si>
  <si>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</si>
  <si>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</si>
  <si>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</si>
  <si>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</si>
  <si>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</si>
  <si>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</si>
  <si>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</si>
  <si>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</si>
  <si>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</si>
  <si>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</si>
  <si>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</si>
  <si>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</si>
  <si>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</si>
  <si>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</si>
  <si>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</si>
  <si>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</si>
  <si>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</si>
  <si>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</si>
  <si>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</si>
  <si>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</si>
  <si>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</si>
  <si>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</si>
  <si>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</si>
  <si>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</si>
  <si>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</si>
  <si>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</si>
  <si>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</si>
  <si>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</si>
  <si>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</si>
  <si>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</si>
  <si>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</si>
  <si>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</si>
  <si>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</si>
  <si>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</si>
  <si>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</si>
  <si>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</si>
  <si>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</si>
  <si>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</si>
  <si>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</si>
  <si>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</si>
  <si>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</si>
  <si>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</si>
  <si>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</si>
  <si>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</si>
  <si>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</si>
  <si>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</si>
  <si>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</si>
  <si>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</si>
  <si>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</si>
  <si>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</si>
  <si>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</si>
  <si>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</si>
  <si>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</si>
  <si>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</si>
  <si>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</si>
  <si>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</si>
  <si>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</si>
  <si>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</si>
  <si>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</si>
  <si>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</si>
  <si>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</si>
  <si>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</si>
  <si>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</si>
  <si>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</si>
  <si>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</si>
  <si>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</si>
  <si>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</si>
  <si>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</si>
  <si>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</si>
  <si>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</si>
  <si>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</si>
  <si>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</si>
  <si>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</si>
  <si>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</si>
  <si>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</si>
  <si>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</si>
  <si>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</si>
  <si>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</si>
  <si>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</si>
  <si>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</si>
  <si>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</si>
  <si>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</si>
  <si>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</si>
  <si>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</si>
  <si>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</si>
  <si>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</si>
  <si>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</si>
  <si>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</si>
  <si>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</si>
  <si>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</si>
  <si>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</si>
  <si>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</si>
  <si>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</si>
  <si>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</si>
  <si>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</si>
  <si>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</si>
  <si>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</si>
  <si>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</si>
  <si>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</si>
  <si>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</si>
  <si>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</si>
  <si>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</si>
  <si>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</si>
  <si>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</si>
  <si>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</si>
  <si>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</si>
  <si>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</si>
  <si>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</si>
  <si>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</si>
  <si>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</si>
  <si>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</si>
  <si>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</si>
  <si>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</si>
  <si>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</si>
  <si>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</si>
  <si>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</si>
  <si>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</si>
  <si>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</si>
  <si>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</si>
  <si>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</si>
  <si>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</si>
  <si>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</si>
  <si>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</si>
  <si>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</si>
  <si>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</si>
  <si>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</si>
  <si>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</si>
  <si>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</si>
  <si>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</si>
  <si>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</si>
  <si>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</si>
  <si>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</si>
  <si>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</si>
  <si>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</si>
  <si>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</si>
  <si>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</si>
  <si>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</si>
  <si>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</si>
  <si>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</si>
  <si>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</si>
  <si>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</si>
  <si>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</si>
  <si>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</si>
  <si>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</si>
  <si>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</si>
  <si>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</si>
  <si>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</si>
  <si>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</si>
  <si>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</si>
  <si>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</si>
  <si>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</si>
  <si>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</si>
  <si>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</si>
  <si>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</si>
  <si>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</si>
  <si>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</si>
  <si>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</si>
  <si>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</si>
  <si>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</si>
  <si>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</si>
  <si>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</si>
  <si>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</si>
  <si>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</si>
  <si>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</si>
  <si>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</si>
  <si>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</si>
  <si>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</si>
  <si>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</si>
  <si>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</si>
  <si>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</si>
  <si>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</si>
  <si>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</si>
  <si>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</si>
  <si>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</si>
  <si>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</si>
  <si>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</si>
  <si>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</si>
  <si>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</si>
  <si>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</si>
  <si>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</si>
  <si>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</si>
  <si>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</si>
  <si>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</si>
  <si>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</si>
  <si>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</si>
  <si>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</si>
  <si>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</si>
  <si>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</si>
  <si>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</si>
  <si>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</si>
  <si>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</si>
  <si>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</si>
  <si>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</si>
  <si>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</si>
  <si>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</si>
  <si>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</si>
  <si>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</si>
  <si>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</si>
  <si>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</si>
  <si>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</si>
  <si>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</si>
  <si>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</si>
  <si>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</si>
  <si>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</si>
  <si>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</si>
  <si>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</si>
  <si>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</si>
  <si>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</si>
  <si>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</si>
  <si>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</si>
  <si>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</si>
  <si>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</si>
  <si>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</si>
  <si>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</si>
  <si>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</si>
  <si>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</si>
  <si>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</si>
  <si>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</si>
  <si>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</si>
  <si>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</si>
  <si>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</si>
  <si>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</si>
  <si>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</si>
  <si>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</si>
  <si>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</si>
  <si>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</si>
  <si>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</si>
  <si>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</si>
  <si>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</si>
  <si>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</si>
  <si>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</si>
  <si>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</si>
  <si>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</si>
  <si>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</si>
  <si>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</si>
  <si>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</si>
  <si>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</si>
  <si>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</si>
  <si>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</si>
  <si>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</si>
  <si>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</si>
  <si>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</si>
  <si>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</si>
  <si>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</si>
  <si>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</si>
  <si>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</si>
  <si>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</si>
  <si>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</si>
  <si>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</si>
  <si>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</si>
  <si>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</si>
  <si>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</si>
  <si>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</si>
  <si>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</si>
  <si>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</si>
  <si>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</si>
  <si>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</si>
  <si>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</si>
  <si>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</si>
  <si>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</si>
  <si>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</si>
  <si>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</si>
  <si>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</si>
  <si>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</si>
  <si>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</si>
  <si>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</si>
  <si>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</si>
  <si>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</si>
  <si>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</si>
  <si>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</si>
  <si>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</si>
  <si>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</si>
  <si>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</si>
  <si>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</si>
  <si>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</si>
  <si>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</si>
  <si>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</si>
  <si>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</si>
  <si>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</si>
  <si>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</si>
  <si>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</si>
  <si>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</si>
  <si>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</si>
  <si>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</si>
  <si>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</si>
  <si>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</si>
  <si>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</si>
  <si>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</si>
  <si>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</si>
  <si>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</si>
  <si>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</si>
  <si>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</si>
  <si>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</si>
  <si>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</si>
  <si>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</si>
  <si>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</si>
  <si>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</si>
  <si>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</si>
  <si>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</si>
  <si>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</si>
  <si>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</si>
  <si>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c:\temp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</si>
  <si>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</si>
  <si>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</si>
  <si>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</si>
  <si>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</si>
  <si>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</si>
  <si>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</si>
  <si>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</si>
  <si>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DJAMEL SOUDANI</t>
  </si>
  <si>
    <t>BASTIEN BONNETON</t>
  </si>
  <si>
    <t>CYRIL LONGELIN</t>
  </si>
  <si>
    <t>MAGALI CARTIER</t>
  </si>
  <si>
    <t>AXEL QUENEY</t>
  </si>
  <si>
    <t>MONIKA NEDYALKOVA</t>
  </si>
  <si>
    <t>ANASTASIOS KARIOFYLIS</t>
  </si>
  <si>
    <t>SOLON MINAS</t>
  </si>
  <si>
    <t>ANGELOS KALOGERAKOS</t>
  </si>
  <si>
    <t>KRANIOTIS, KONSTANTINOS</t>
  </si>
  <si>
    <t>CHRISTOLIAKOU, MARIA ALEXANDRA</t>
  </si>
  <si>
    <t>KAROUMPALOU, ATHINA</t>
  </si>
  <si>
    <t>KARAGIAKIOULES, VASILEOS</t>
  </si>
  <si>
    <t>KOURTI, SPYRIDOULA</t>
  </si>
  <si>
    <t>KALESIORIS, ANASTASIS</t>
  </si>
  <si>
    <t>FRANCIS RUIZ</t>
  </si>
  <si>
    <t>LLUIS ESPINOSA</t>
  </si>
  <si>
    <t>LAILA GONELL</t>
  </si>
  <si>
    <t>ROBERTO BAÑOS</t>
  </si>
  <si>
    <t>MARIA JOSE SERRANO</t>
  </si>
  <si>
    <t>JESUS LOPEZ</t>
  </si>
  <si>
    <t>ENDER OZBEK</t>
  </si>
  <si>
    <t>SERTAC DOSTEL</t>
  </si>
  <si>
    <t>AHMET YILDIZ</t>
  </si>
  <si>
    <t>MERVE SAGLAM</t>
  </si>
  <si>
    <t>VASILJEVIC, PETAR</t>
  </si>
  <si>
    <t>VASILJEVIC, IVANA</t>
  </si>
  <si>
    <t>VASILJEVIC, PREDRAG</t>
  </si>
  <si>
    <t>PRPA, IVANA</t>
  </si>
  <si>
    <t>KRSTIC, ANA</t>
  </si>
  <si>
    <t>SONJA STANKOVIC</t>
  </si>
  <si>
    <t>JOVANA KRIVOKUCA-MILOVANOVIC</t>
  </si>
  <si>
    <t>JACOBO LAPRESTA</t>
  </si>
  <si>
    <t>JOSE ANTONIO RODRIGUEZ</t>
  </si>
  <si>
    <t>JOSE VICENTE ARQUES</t>
  </si>
  <si>
    <t>YOLANDA BAILACH MADERA</t>
  </si>
  <si>
    <t>CRISTINA TORRES</t>
  </si>
  <si>
    <t>BORJA RODRIGUEZ</t>
  </si>
  <si>
    <t>DANILO VESOVIC</t>
  </si>
  <si>
    <t>LUKA ANDRIC</t>
  </si>
  <si>
    <t>MARKO LEPOVIC</t>
  </si>
  <si>
    <t>BILJANA KOSTRES</t>
  </si>
  <si>
    <t>MILOS MOSIC</t>
  </si>
  <si>
    <t>MIODRAG STOJANOVIC</t>
  </si>
  <si>
    <t>ANA ANDREJIC</t>
  </si>
  <si>
    <t>BOJANA KRALJEVIC</t>
  </si>
  <si>
    <t>LJUPKA VUKOJEVIC</t>
  </si>
  <si>
    <t>JOVANA DOJCINOVIC</t>
  </si>
  <si>
    <t>GIEDRE GARCINSKAITE</t>
  </si>
  <si>
    <t>RASA KIZIKAITE</t>
  </si>
  <si>
    <t>AUKSE ZAKRIENE</t>
  </si>
  <si>
    <t>GINTARE BUKARTAITE</t>
  </si>
  <si>
    <t>MINDAUGAS RUDZEVICIUS</t>
  </si>
  <si>
    <t>NERIJUS MAINONIS</t>
  </si>
  <si>
    <t>STEPHANE DURIEUX</t>
  </si>
  <si>
    <t>JEAN-MARC MORENTE</t>
  </si>
  <si>
    <t>STEPHANE FITOUSSI</t>
  </si>
  <si>
    <t>VIRGINIE USCLADE</t>
  </si>
  <si>
    <t>CEDRIC LAURANCY</t>
  </si>
  <si>
    <t>KADER SI-TAYEB</t>
  </si>
  <si>
    <t>CATHERINE RICARD</t>
  </si>
  <si>
    <t>VANESSA CAUCHIE</t>
  </si>
  <si>
    <t>CLAUDINE CARADONNA</t>
  </si>
  <si>
    <t>CAROLINE MEUNIER</t>
  </si>
  <si>
    <t>ISABELLE GUITTI</t>
  </si>
  <si>
    <t>DAVID MARTINOTTI</t>
  </si>
  <si>
    <t>IVAN MOSIC</t>
  </si>
  <si>
    <t>MARIJANA GOLUBOVIC</t>
  </si>
  <si>
    <t>IVANA KRSTIC</t>
  </si>
  <si>
    <t>LUIS CALLEJA</t>
  </si>
  <si>
    <t>JAIME LAQUIDAIN</t>
  </si>
  <si>
    <t>MIGUEL PENALBA</t>
  </si>
  <si>
    <t>DANIEL MARTIN</t>
  </si>
  <si>
    <t>INES RAQUEL PIATKOWSKA</t>
  </si>
  <si>
    <t>ALVARO PENALBA</t>
  </si>
  <si>
    <t>Konstantinos Kroupis</t>
  </si>
  <si>
    <t>XAVIER MATEU</t>
  </si>
  <si>
    <t>ZIGA BENKO</t>
  </si>
  <si>
    <t>MATIC MARKIC</t>
  </si>
  <si>
    <t>SILVO MARKIC</t>
  </si>
  <si>
    <t>GORAN HODZIC</t>
  </si>
  <si>
    <t>ANDREJ STRUKELJ</t>
  </si>
  <si>
    <t>07:01</t>
  </si>
  <si>
    <t>07:48</t>
  </si>
  <si>
    <t>05:23</t>
  </si>
  <si>
    <t>02:09</t>
  </si>
  <si>
    <t>An excellent work (criteria and communication). Nothing more to say. Keep it up!</t>
  </si>
  <si>
    <t>C:\Users\xavi.mateu\OneDrive - EUROLEAGUE\Desktop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</si>
</sst>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000"/>
    <numFmt numFmtId="165" formatCode="0.0%"/>
    <numFmt numFmtId="166" formatCode="dd/mm/yyyy;@"/>
    <numFmt numFmtId="167" formatCode="00"/>
    <numFmt numFmtId="168" formatCode="0.0"/>
    <numFmt numFmtId="169" formatCode="dd\-mmm\-yy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69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69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13</v>
      </c>
      <c r="D1" s="124" t="s">
        <v>749</v>
      </c>
      <c r="E1" s="125">
        <v>2025</v>
      </c>
      <c r="F1" s="120" t="str">
        <f>TEXT(C1,"00") &amp; "_" &amp; TEXT(C2,"000")&amp; "_" &amp; H4 &amp; "_" &amp; H5 &amp; "_" &amp; B2</f>
        <v>13_123_LJU_BAH_U2025</v>
      </c>
      <c r="G1" s="5"/>
      <c r="H1" s="5"/>
      <c r="I1" s="5"/>
      <c r="J1" s="8" t="s">
        <v>707</v>
      </c>
      <c r="K1" s="121" t="s">
        <v>742</v>
      </c>
      <c r="L1" s="121"/>
      <c r="M1" s="122" t="s">
        <v>239</v>
      </c>
      <c r="N1" s="121" t="s">
        <v>837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123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46028.770833333336</v>
      </c>
      <c r="C3" s="157"/>
      <c r="D3" s="39">
        <v>566</v>
      </c>
      <c r="E3" s="29"/>
      <c r="F3" s="26">
        <f>SUBTOTAL(3,I17:I106)</f>
        <v>4</v>
      </c>
      <c r="G3" s="27">
        <f>IF(OR(D3="",D3=0),"",F3/D3)</f>
        <v>7.0671378091872791E-3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Cedevita Olimpija Ljubljana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LJU</v>
      </c>
      <c r="I4" s="5"/>
      <c r="J4" s="119" t="s">
        <v>714</v>
      </c>
      <c r="K4" s="54" t="s">
        <v>743</v>
      </c>
      <c r="L4" s="5"/>
      <c r="M4" s="167" t="s">
        <v>836</v>
      </c>
      <c r="N4" s="168"/>
      <c r="O4" s="2"/>
      <c r="P4" s="2"/>
      <c r="Q4" s="84" t="s">
        <v>175</v>
      </c>
      <c r="R4" s="94">
        <f>(IF(G3="",0,G3))</f>
        <v>7.0671378091872791E-3</v>
      </c>
      <c r="S4" s="61">
        <f>SUM(I13:M13)</f>
        <v>0</v>
      </c>
      <c r="T4" s="78"/>
      <c r="U4" s="61">
        <f>AC18</f>
        <v>4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Bahcesehir College Istanbul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BAH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0.70671378091872794</v>
      </c>
      <c r="S5" s="70">
        <f t="shared" ref="S5" si="0">S4*S3</f>
        <v>0</v>
      </c>
      <c r="T5" s="92"/>
      <c r="U5" s="70">
        <f t="shared" ref="U5:AG5" si="1">U4*U3</f>
        <v>2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827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828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2.7067137809187281</v>
      </c>
      <c r="N7" s="58"/>
      <c r="O7" s="2"/>
      <c r="P7" s="2"/>
      <c r="Q7" s="86">
        <f>SUM(R5,S5,AC16)</f>
        <v>2.7067137809187281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829</v>
      </c>
      <c r="E8" s="182"/>
      <c r="F8" s="182"/>
      <c r="G8" s="183"/>
      <c r="H8" s="129" t="s">
        <v>747</v>
      </c>
      <c r="I8" s="129" t="s">
        <v>747</v>
      </c>
      <c r="J8" s="129" t="s">
        <v>748</v>
      </c>
      <c r="K8" s="129" t="s">
        <v>744</v>
      </c>
      <c r="L8" s="129" t="s">
        <v>745</v>
      </c>
      <c r="M8" s="129" t="s">
        <v>108</v>
      </c>
      <c r="N8" s="2"/>
      <c r="O8" s="2"/>
      <c r="P8" s="2"/>
      <c r="Q8" s="85">
        <f>SUM(R5:BA5)</f>
        <v>2.7067137809187281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830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831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/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123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826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4</v>
      </c>
      <c r="J15" s="24">
        <f>SUBTOTAL(3,J17:J106)</f>
        <v>4</v>
      </c>
      <c r="K15" s="24">
        <f>SUBTOTAL(3,K17:K106)</f>
        <v>4</v>
      </c>
      <c r="L15" s="24">
        <f>SUBTOTAL(3,L17:L106)</f>
        <v>4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4</v>
      </c>
      <c r="Z16" s="90" t="s">
        <v>110</v>
      </c>
      <c r="AA16" s="75">
        <f>SUM(AA17:AA24)</f>
        <v>4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2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4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123</v>
      </c>
      <c r="D17" s="32" t="s">
        <v>832</v>
      </c>
      <c r="E17" s="33">
        <v>1</v>
      </c>
      <c r="F17" s="36">
        <v>0</v>
      </c>
      <c r="G17" s="36">
        <v>2</v>
      </c>
      <c r="H17" s="38" t="str">
        <f>IF(I17="","",$I$14)</f>
        <v>SCOUTING</v>
      </c>
      <c r="I17" s="34">
        <v>34</v>
      </c>
      <c r="J17" s="13" t="s">
        <v>4</v>
      </c>
      <c r="K17" s="13" t="s">
        <v>62</v>
      </c>
      <c r="L17" s="13" t="s">
        <v>5</v>
      </c>
      <c r="M17" s="13" t="s">
        <v>9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4</v>
      </c>
      <c r="Z17" s="105" t="s">
        <v>63</v>
      </c>
      <c r="AA17" s="62">
        <f>COUNTIF($K$17:$K$106,Z17)</f>
        <v>2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1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123</v>
      </c>
      <c r="D18" s="32" t="s">
        <v>833</v>
      </c>
      <c r="E18" s="33">
        <v>3</v>
      </c>
      <c r="F18" s="36">
        <v>37</v>
      </c>
      <c r="G18" s="36">
        <v>27</v>
      </c>
      <c r="H18" s="38" t="str">
        <f t="shared" ref="H18:H81" si="8">IF(I18="","",$I$14)</f>
        <v>SCOUTING</v>
      </c>
      <c r="I18" s="34">
        <v>310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2</v>
      </c>
      <c r="AB18" s="66" t="s">
        <v>5</v>
      </c>
      <c r="AC18" s="61">
        <f t="shared" si="5"/>
        <v>4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123</v>
      </c>
      <c r="D19" s="32" t="s">
        <v>834</v>
      </c>
      <c r="E19" s="33">
        <v>4</v>
      </c>
      <c r="F19" s="36">
        <v>51</v>
      </c>
      <c r="G19" s="36">
        <v>57</v>
      </c>
      <c r="H19" s="38" t="str">
        <f t="shared" si="8"/>
        <v>SCOUTING</v>
      </c>
      <c r="I19" s="34">
        <v>494</v>
      </c>
      <c r="J19" s="13" t="s">
        <v>4</v>
      </c>
      <c r="K19" s="13" t="s">
        <v>63</v>
      </c>
      <c r="L19" s="13" t="s">
        <v>5</v>
      </c>
      <c r="M19" s="13" t="s">
        <v>10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1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123</v>
      </c>
      <c r="D20" s="32" t="s">
        <v>835</v>
      </c>
      <c r="E20" s="33">
        <v>4</v>
      </c>
      <c r="F20" s="36">
        <v>57</v>
      </c>
      <c r="G20" s="36">
        <v>63</v>
      </c>
      <c r="H20" s="38" t="str">
        <f t="shared" si="8"/>
        <v>SCOUTING</v>
      </c>
      <c r="I20" s="34">
        <v>538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J19" sqref="J19:N1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 t="s">
        <v>804</v>
      </c>
      <c r="E3" s="133" t="s">
        <v>805</v>
      </c>
      <c r="F3" s="133" t="s">
        <v>806</v>
      </c>
      <c r="G3" s="133" t="s">
        <v>807</v>
      </c>
      <c r="H3" s="133" t="s">
        <v>808</v>
      </c>
      <c r="I3" s="134" t="s">
        <v>809</v>
      </c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 t="s">
        <v>765</v>
      </c>
      <c r="E4" s="137" t="s">
        <v>766</v>
      </c>
      <c r="F4" s="137" t="s">
        <v>767</v>
      </c>
      <c r="G4" s="137" t="s">
        <v>768</v>
      </c>
      <c r="H4" s="137" t="s">
        <v>769</v>
      </c>
      <c r="I4" s="138" t="s">
        <v>770</v>
      </c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 t="s">
        <v>788</v>
      </c>
      <c r="E6" s="137" t="s">
        <v>789</v>
      </c>
      <c r="F6" s="137" t="s">
        <v>790</v>
      </c>
      <c r="G6" s="137" t="s">
        <v>781</v>
      </c>
      <c r="H6" s="137" t="s">
        <v>780</v>
      </c>
      <c r="I6" s="138" t="s">
        <v>791</v>
      </c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 t="s">
        <v>729</v>
      </c>
      <c r="E7" s="137" t="s">
        <v>755</v>
      </c>
      <c r="F7" s="137" t="s">
        <v>756</v>
      </c>
      <c r="G7" s="137" t="s">
        <v>757</v>
      </c>
      <c r="H7" s="137" t="s">
        <v>758</v>
      </c>
      <c r="I7" s="137" t="s">
        <v>825</v>
      </c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 t="s">
        <v>735</v>
      </c>
      <c r="E8" s="137" t="s">
        <v>771</v>
      </c>
      <c r="F8" s="137" t="s">
        <v>772</v>
      </c>
      <c r="G8" s="137" t="s">
        <v>773</v>
      </c>
      <c r="H8" s="137" t="s">
        <v>774</v>
      </c>
      <c r="I8" s="138" t="s">
        <v>740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 t="s">
        <v>819</v>
      </c>
      <c r="E9" s="137" t="s">
        <v>820</v>
      </c>
      <c r="F9" s="137" t="s">
        <v>821</v>
      </c>
      <c r="G9" s="137" t="s">
        <v>822</v>
      </c>
      <c r="H9" s="137" t="s">
        <v>823</v>
      </c>
      <c r="I9" s="138" t="s">
        <v>824</v>
      </c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 t="s">
        <v>810</v>
      </c>
      <c r="E10" s="137" t="s">
        <v>811</v>
      </c>
      <c r="F10" s="137" t="s">
        <v>812</v>
      </c>
      <c r="G10" s="137" t="s">
        <v>813</v>
      </c>
      <c r="H10" s="137" t="s">
        <v>814</v>
      </c>
      <c r="I10" s="138" t="s">
        <v>815</v>
      </c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 t="s">
        <v>759</v>
      </c>
      <c r="E13" s="137" t="s">
        <v>760</v>
      </c>
      <c r="F13" s="137" t="s">
        <v>761</v>
      </c>
      <c r="G13" s="137" t="s">
        <v>762</v>
      </c>
      <c r="H13" s="137" t="s">
        <v>763</v>
      </c>
      <c r="I13" s="138" t="s">
        <v>764</v>
      </c>
      <c r="J13" s="139"/>
      <c r="K13" s="137" t="s">
        <v>775</v>
      </c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 t="s">
        <v>782</v>
      </c>
      <c r="E14" s="137" t="s">
        <v>783</v>
      </c>
      <c r="F14" s="137" t="s">
        <v>784</v>
      </c>
      <c r="G14" s="137" t="s">
        <v>785</v>
      </c>
      <c r="H14" s="137" t="s">
        <v>786</v>
      </c>
      <c r="I14" s="138" t="s">
        <v>787</v>
      </c>
      <c r="J14" s="139"/>
      <c r="K14" s="137" t="s">
        <v>776</v>
      </c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 t="s">
        <v>777</v>
      </c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747</v>
      </c>
      <c r="E16" s="137" t="s">
        <v>746</v>
      </c>
      <c r="F16" s="137" t="s">
        <v>748</v>
      </c>
      <c r="G16" s="137" t="s">
        <v>744</v>
      </c>
      <c r="H16" s="137" t="s">
        <v>745</v>
      </c>
      <c r="I16" s="137" t="s">
        <v>781</v>
      </c>
      <c r="J16" s="139"/>
      <c r="K16" s="137" t="s">
        <v>778</v>
      </c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 t="s">
        <v>750</v>
      </c>
      <c r="E17" s="137" t="s">
        <v>751</v>
      </c>
      <c r="F17" s="137" t="s">
        <v>752</v>
      </c>
      <c r="G17" s="137" t="s">
        <v>753</v>
      </c>
      <c r="H17" s="137" t="s">
        <v>754</v>
      </c>
      <c r="I17" s="138"/>
      <c r="J17" s="139"/>
      <c r="K17" s="137" t="s">
        <v>779</v>
      </c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 t="s">
        <v>792</v>
      </c>
      <c r="E18" s="137" t="s">
        <v>793</v>
      </c>
      <c r="F18" s="137" t="s">
        <v>794</v>
      </c>
      <c r="G18" s="137" t="s">
        <v>795</v>
      </c>
      <c r="H18" s="137" t="s">
        <v>796</v>
      </c>
      <c r="I18" s="138" t="s">
        <v>797</v>
      </c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 t="s">
        <v>816</v>
      </c>
      <c r="E19" s="137" t="s">
        <v>793</v>
      </c>
      <c r="F19" s="137" t="s">
        <v>817</v>
      </c>
      <c r="G19" s="137" t="s">
        <v>818</v>
      </c>
      <c r="H19" s="137" t="s">
        <v>796</v>
      </c>
      <c r="I19" s="138" t="s">
        <v>797</v>
      </c>
      <c r="J19" s="139" t="s">
        <v>775</v>
      </c>
      <c r="K19" s="137" t="s">
        <v>776</v>
      </c>
      <c r="L19" s="137" t="s">
        <v>777</v>
      </c>
      <c r="M19" s="137" t="s">
        <v>778</v>
      </c>
      <c r="N19" s="140" t="s">
        <v>779</v>
      </c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 t="s">
        <v>798</v>
      </c>
      <c r="E22" s="142" t="s">
        <v>799</v>
      </c>
      <c r="F22" s="142" t="s">
        <v>800</v>
      </c>
      <c r="G22" s="142" t="s">
        <v>801</v>
      </c>
      <c r="H22" s="142" t="s">
        <v>802</v>
      </c>
      <c r="I22" s="143" t="s">
        <v>803</v>
      </c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747</v>
      </c>
      <c r="E30" s="137" t="s">
        <v>746</v>
      </c>
      <c r="F30" s="137" t="s">
        <v>748</v>
      </c>
      <c r="G30" s="137" t="s">
        <v>744</v>
      </c>
      <c r="H30" s="137" t="s">
        <v>745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0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REPORT_U2025123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"U2025123"</v>
      </c>
      <c r="F3" s="45" t="str">
        <f t="shared" ref="F3:F16" si="0">""""&amp;B3&amp;"""" &amp; " : " &amp;C3&amp;","</f>
        <v>"name" : "U2025123",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"U123"</v>
      </c>
      <c r="F4" s="45" t="str">
        <f t="shared" si="0"/>
        <v>"cod" : "U123",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123</v>
      </c>
      <c r="F6" s="45" t="str">
        <f t="shared" si="0"/>
        <v>"number" : 123,</v>
      </c>
    </row>
    <row r="7" spans="2:6" x14ac:dyDescent="0.25">
      <c r="B7" s="43" t="s">
        <v>116</v>
      </c>
      <c r="C7" s="43" t="str">
        <f ca="1">""""&amp;TEXT('SCOUT &amp; LOGISTICS'!B3,"dd/mm/aaaa")&amp;""""</f>
        <v>"06/01/Tuesday"</v>
      </c>
      <c r="F7" s="45" t="str">
        <f t="shared" ca="1" si="0"/>
        <v>"date" : "06/01/Tuesday",</v>
      </c>
    </row>
    <row r="8" spans="2:6" x14ac:dyDescent="0.25">
      <c r="B8" s="43" t="s">
        <v>125</v>
      </c>
      <c r="C8" s="43" t="str">
        <f>""""&amp;'SCOUT &amp; LOGISTICS'!D4 &amp;""""</f>
        <v>"Cedevita Olimpija Ljubljana"</v>
      </c>
      <c r="F8" s="45" t="str">
        <f t="shared" si="0"/>
        <v>"home_team" : "Cedevita Olimpija Ljubljana",</v>
      </c>
    </row>
    <row r="9" spans="2:6" x14ac:dyDescent="0.25">
      <c r="B9" s="43" t="s">
        <v>126</v>
      </c>
      <c r="C9" s="43" t="str">
        <f>""""&amp;'SCOUT &amp; LOGISTICS'!D5&amp;""""</f>
        <v>"Bahcesehir College Istanbul"</v>
      </c>
      <c r="F9" s="45" t="str">
        <f t="shared" si="0"/>
        <v>"away_team" : "Bahcesehir College Istanbul",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"ZIGA BENKO"</v>
      </c>
      <c r="F10" s="45" t="str">
        <f t="shared" si="0"/>
        <v>"Data_entry" : "ZIGA BENKO",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"MATIC MARKIC"</v>
      </c>
      <c r="F11" s="45" t="str">
        <f t="shared" si="0"/>
        <v>"Caller_1" : "MATIC MARKIC",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"SILVO MARKIC"</v>
      </c>
      <c r="F12" s="45" t="str">
        <f t="shared" si="0"/>
        <v>"Caller_2" : "SILVO MARKIC",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"GORAN HODZIC"</v>
      </c>
      <c r="F13" s="45" t="str">
        <f t="shared" si="0"/>
        <v>"Timerkeeper" : "GORAN HODZIC",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"ANDREJ STRUKELJ"</v>
      </c>
      <c r="F14" s="45" t="str">
        <f t="shared" si="0"/>
        <v>"Shotclock" : "ANDREJ STRUKELJ",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""</v>
      </c>
      <c r="F15" s="45" t="str">
        <f t="shared" si="0"/>
        <v>"IRS" : "",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"XAVIER MATEU"</v>
      </c>
      <c r="F16" s="45" t="str">
        <f t="shared" si="0"/>
        <v>"Live_Game_Manager" : "XAVIER MATEU",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566</v>
      </c>
      <c r="F25" s="45" t="str">
        <f t="shared" ref="F25:F48" si="1">""""&amp;C25&amp;"""" &amp; " : " &amp;D25&amp;","</f>
        <v>"total_actions" : 566,</v>
      </c>
    </row>
    <row r="26" spans="2:6" x14ac:dyDescent="0.25">
      <c r="C26" s="43" t="s">
        <v>132</v>
      </c>
      <c r="D26" s="43">
        <f>'SCOUT &amp; LOGISTICS'!F3</f>
        <v>4</v>
      </c>
      <c r="F26" s="45" t="str">
        <f t="shared" si="1"/>
        <v>"total_correcions" : 4,</v>
      </c>
    </row>
    <row r="27" spans="2:6" x14ac:dyDescent="0.25">
      <c r="C27" s="43" t="s">
        <v>133</v>
      </c>
      <c r="D27" s="43" t="str">
        <f>""""&amp;IF(OR(D25="",D25=0),"",TEXT(D26/D25,"0,0%"))&amp;""""</f>
        <v>"01%"</v>
      </c>
      <c r="F27" s="45" t="str">
        <f t="shared" si="1"/>
        <v>"%_corrections" : "01%",</v>
      </c>
    </row>
    <row r="28" spans="2:6" x14ac:dyDescent="0.25">
      <c r="C28" s="43" t="s">
        <v>125</v>
      </c>
      <c r="D28" s="43">
        <f>IF('SCOUT &amp; LOGISTICS'!AA17="","",'SCOUT &amp; LOGISTICS'!AA17)</f>
        <v>2</v>
      </c>
      <c r="F28" s="45" t="str">
        <f t="shared" si="1"/>
        <v>"home_team" : 2,</v>
      </c>
    </row>
    <row r="29" spans="2:6" x14ac:dyDescent="0.25">
      <c r="C29" s="43" t="s">
        <v>134</v>
      </c>
      <c r="D29" s="43">
        <f>IF('SCOUT &amp; LOGISTICS'!AA18="","",'SCOUT &amp; LOGISTICS'!AA18)</f>
        <v>2</v>
      </c>
      <c r="F29" s="45" t="str">
        <f t="shared" si="1"/>
        <v>"no_team" : 2,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1</v>
      </c>
      <c r="F31" s="45" t="str">
        <f t="shared" si="1"/>
        <v>"q1" : 1,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1</v>
      </c>
      <c r="F33" s="45" t="str">
        <f t="shared" si="1"/>
        <v>"q3" : 1,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4</v>
      </c>
      <c r="F37" s="45" t="str">
        <f t="shared" si="1"/>
        <v>"scoresheet_corrections" : 4,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4</v>
      </c>
      <c r="F39" s="45" t="str">
        <f t="shared" si="1"/>
        <v>"missidentity" : 4,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"An excellent work (criteria and communication). Nothing more to say. Keep it up!"</v>
      </c>
      <c r="F51" s="45" t="str">
        <f>""""&amp;B51&amp;"""" &amp; " : " &amp;C51&amp;","</f>
        <v>"comments" : "An excellent work (criteria and communication). Nothing more to say. Keep it up!",</v>
      </c>
    </row>
    <row r="52" spans="2:6" x14ac:dyDescent="0.25">
      <c r="B52" s="43" t="s">
        <v>153</v>
      </c>
      <c r="C52" s="43" t="str">
        <f>TEXT('SCOUT &amp; LOGISTICS'!F1,"0,0")</f>
        <v>13_123_LJU_BAH_U2025</v>
      </c>
      <c r="F52" s="45" t="str">
        <f>""""&amp;B52&amp;"""" &amp; " : " &amp;C52</f>
        <v>"result" : 13_123_LJU_BAH_U2025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2.5" zeroHeight="1" x14ac:dyDescent="0.2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25"/>
    <row r="2" spans="1:33" ht="42.65" customHeight="1" thickBot="1" x14ac:dyDescent="0.3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3">
      <c r="A3" s="48"/>
      <c r="B3" s="208" t="str">
        <f>"GAME: "&amp; LEFT('SCOUT &amp; LOGISTICS'!B2,1) &amp; TEXT('SCOUT &amp; LOGISTICS'!C2,"000") &amp; " " &amp; IF(LEFT('SCOUT &amp; LOGISTICS'!B2,1)="U","(EUROCUP)","(EUROLEAGUE)")</f>
        <v>GAME: U123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3">
      <c r="A4" s="48"/>
      <c r="B4" s="194" t="str">
        <f ca="1">"DATE: " &amp; TEXT('SCOUT &amp; LOGISTICS'!B3,"dd/mm")</f>
        <v>DATE: 06/01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3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3">
      <c r="A6" s="48"/>
      <c r="B6" s="212" t="str">
        <f>PROPER('SCOUT &amp; LOGISTICS'!D4)</f>
        <v>Cedevita Olimpija Ljubljana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Bahcesehir College Istanbul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3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3">
      <c r="A8" s="48"/>
      <c r="B8" s="206" t="str">
        <f>IF('SCOUT &amp; LOGISTICS'!D6="","",'SCOUT &amp; LOGISTICS'!D6)</f>
        <v>ZIGA BENKO</v>
      </c>
      <c r="C8" s="206"/>
      <c r="D8" s="206"/>
      <c r="E8" s="206"/>
      <c r="F8" s="206"/>
      <c r="G8" s="206" t="str">
        <f>IF('SCOUT &amp; LOGISTICS'!D7="","",'SCOUT &amp; LOGISTICS'!D7)</f>
        <v>MATIC MARKIC</v>
      </c>
      <c r="H8" s="206"/>
      <c r="I8" s="206"/>
      <c r="J8" s="206"/>
      <c r="K8" s="206"/>
      <c r="L8" s="206" t="str">
        <f>IF('SCOUT &amp; LOGISTICS'!D8="","",'SCOUT &amp; LOGISTICS'!D8)</f>
        <v>SILVO MARKIC</v>
      </c>
      <c r="M8" s="206"/>
      <c r="N8" s="206"/>
      <c r="O8" s="206"/>
      <c r="P8" s="206"/>
      <c r="Q8" s="206" t="str">
        <f>IF('SCOUT &amp; LOGISTICS'!D9="","",'SCOUT &amp; LOGISTICS'!D9)</f>
        <v>GORAN HODZIC</v>
      </c>
      <c r="R8" s="206"/>
      <c r="S8" s="206"/>
      <c r="T8" s="206"/>
      <c r="U8" s="206"/>
      <c r="V8" s="206" t="str">
        <f>IF('SCOUT &amp; LOGISTICS'!D10="","",'SCOUT &amp; LOGISTICS'!D10)</f>
        <v>ANDREJ STRUKELJ</v>
      </c>
      <c r="W8" s="206"/>
      <c r="X8" s="206"/>
      <c r="Y8" s="206"/>
      <c r="Z8" s="206"/>
      <c r="AA8" s="206" t="str">
        <f>IF('SCOUT &amp; LOGISTICS'!D11="","",'SCOUT &amp; LOGISTICS'!D11)</f>
        <v/>
      </c>
      <c r="AB8" s="206"/>
      <c r="AC8" s="206"/>
      <c r="AD8" s="206"/>
      <c r="AE8" s="206"/>
      <c r="AF8" s="48"/>
    </row>
    <row r="9" spans="1:33" ht="13" thickBot="1" x14ac:dyDescent="0.3">
      <c r="A9" s="48"/>
      <c r="B9" s="200" t="str">
        <f>IF(OR('SCOUT &amp; LOGISTICS'!D14="",'SCOUT &amp; LOGISTICS'!D14=0),"",'SCOUT &amp; LOGISTICS'!B14 &amp; ": " &amp; 'SCOUT &amp; LOGISTICS'!D14) &amp; "     "</f>
        <v xml:space="preserve">L G M: : XAVIER MATEU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3" thickBot="1" x14ac:dyDescent="0.3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3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3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3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3" thickBot="1" x14ac:dyDescent="0.3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3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3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3">
      <c r="A17" s="48"/>
      <c r="B17" s="204">
        <f>'SCOUT &amp; LOGISTICS'!D3</f>
        <v>566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4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7.0671378091872791E-3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3" thickBot="1" x14ac:dyDescent="0.3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3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3">
      <c r="A20" s="48"/>
      <c r="B20" s="197">
        <f>IF('SCOUT &amp; LOGISTICS'!AA17="","",'SCOUT &amp; LOGISTICS'!AA17)</f>
        <v>2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2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3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3">
      <c r="A22" s="48"/>
      <c r="B22" s="197">
        <f>'SCOUT &amp; LOGISTICS'!AG17</f>
        <v>1</v>
      </c>
      <c r="C22" s="197"/>
      <c r="D22" s="197"/>
      <c r="E22" s="197"/>
      <c r="F22" s="197"/>
      <c r="G22" s="197"/>
      <c r="H22" s="197">
        <f>'SCOUT &amp; LOGISTICS'!AG18</f>
        <v>0</v>
      </c>
      <c r="I22" s="197"/>
      <c r="J22" s="197"/>
      <c r="K22" s="197"/>
      <c r="L22" s="197"/>
      <c r="M22" s="197"/>
      <c r="N22" s="197">
        <f>'SCOUT &amp; LOGISTICS'!AG19</f>
        <v>1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3" thickBot="1" x14ac:dyDescent="0.3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3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3">
      <c r="A25" s="48"/>
      <c r="B25" s="197">
        <f>'SCOUT &amp; LOGISTICS'!Y17</f>
        <v>4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3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3">
      <c r="A27" s="48"/>
      <c r="B27" s="197">
        <f>'SCOUT &amp; LOGISTICS'!AC18</f>
        <v>4</v>
      </c>
      <c r="C27" s="197"/>
      <c r="D27" s="197"/>
      <c r="E27" s="197"/>
      <c r="F27" s="197"/>
      <c r="G27" s="197">
        <f>'SCOUT &amp; LOGISTICS'!AC22</f>
        <v>0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3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3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0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3" thickBot="1" x14ac:dyDescent="0.3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3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3">
      <c r="A32" s="48"/>
      <c r="B32" s="195" t="str">
        <f>IF('SCOUT &amp; LOGISTICS'!M4="","",'SCOUT &amp; LOGISTICS'!M4)</f>
        <v>An excellent work (criteria and communication). Nothing more to say.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3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3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3">
      <c r="A35" s="48"/>
      <c r="B35" s="196">
        <f>'SCOUT &amp; LOGISTICS'!M7</f>
        <v>2.7067137809187281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2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7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te a new document." ma:contentTypeScope="" ma:versionID="42bf520a6c79a132633bfe8aa6a60681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e9351a8714db6f5e1df78f011817a27e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Image Tags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2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4D495D17-6D26-48A4-B4E9-354C451FBE1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694b618-8e81-416b-aa01-0d9b54a17456"/>
    <ds:schemaRef ds:uri="54eaeb27-407e-4594-8513-05236ac1c66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Xavi Mateu</cp:lastModifiedBy>
  <cp:lastPrinted>2026-01-07T14:38:05Z</cp:lastPrinted>
  <dcterms:created xsi:type="dcterms:W3CDTF">2023-09-19T19:50:35Z</dcterms:created>
  <dcterms:modified xsi:type="dcterms:W3CDTF">2026-01-07T14:38:25Z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