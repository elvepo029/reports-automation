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647749B-46CF-4015-9ABC-8D74C4DC88E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<sst xmlns="http://schemas.openxmlformats.org/spreadsheetml/2006/main" count="3250" uniqueCount="763">
  <si>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</si>
  <si>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</si>
  <si>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</si>
  <si>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</si>
  <si>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</si>
  <si>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</si>
  <si>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</si>
  <si>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</si>
  <si>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</si>
  <si>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</si>
  <si>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</si>
  <si>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</si>
  <si>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</si>
  <si>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</si>
  <si>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</si>
  <si>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</si>
  <si>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</si>
  <si>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</si>
  <si>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</si>
  <si>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</si>
  <si>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</si>
  <si>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</si>
  <si>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</si>
  <si>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</si>
  <si>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</si>
  <si>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</si>
  <si>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</si>
  <si>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</si>
  <si>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</si>
  <si>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</si>
  <si>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</si>
  <si>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</si>
  <si>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</si>
  <si>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</si>
  <si>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</si>
  <si>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</si>
  <si>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</si>
  <si>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</si>
  <si>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</si>
  <si>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</si>
  <si>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</si>
  <si>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</si>
  <si>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</si>
  <si>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</si>
  <si>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</si>
  <si>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</si>
  <si>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</si>
  <si>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</si>
  <si>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</si>
  <si>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</si>
  <si>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</si>
  <si>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</si>
  <si>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</si>
  <si>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</si>
  <si>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</si>
  <si>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</si>
  <si>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</si>
  <si>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</si>
  <si>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</si>
  <si>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</si>
  <si>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</si>
  <si>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</si>
  <si>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</si>
  <si>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</si>
  <si>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</si>
  <si>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</si>
  <si>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</si>
  <si>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</si>
  <si>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</si>
  <si>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</si>
  <si>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</si>
  <si>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</si>
  <si>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</si>
  <si>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</si>
  <si>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</si>
  <si>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</si>
  <si>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</si>
  <si>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</si>
  <si>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</si>
  <si>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</si>
  <si>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</si>
  <si>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</si>
  <si>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</si>
  <si>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</si>
  <si>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</si>
  <si>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</si>
  <si>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</si>
  <si>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</si>
  <si>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</si>
  <si>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</si>
  <si>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</si>
  <si>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</si>
  <si>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</si>
  <si>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</si>
  <si>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</si>
  <si>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</si>
  <si>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</si>
  <si>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</si>
  <si>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</si>
  <si>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</si>
  <si>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</si>
  <si>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</si>
  <si>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</si>
  <si>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</si>
  <si>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</si>
  <si>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</si>
  <si>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</si>
  <si>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</si>
  <si>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</si>
  <si>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</si>
  <si>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</si>
  <si>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</si>
  <si>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</si>
  <si>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</si>
  <si>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</si>
  <si>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</si>
  <si>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</si>
  <si>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</si>
  <si>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</si>
  <si>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</si>
  <si>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</si>
  <si>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</si>
  <si>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</si>
  <si>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</si>
  <si>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</si>
  <si>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</si>
  <si>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</si>
  <si>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</si>
  <si>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</si>
  <si>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</si>
  <si>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</si>
  <si>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</si>
  <si>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</si>
  <si>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</si>
  <si>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</si>
  <si>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</si>
  <si>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</si>
  <si>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</si>
  <si>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</si>
  <si>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</si>
  <si>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</si>
  <si>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</si>
  <si>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</si>
  <si>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</si>
  <si>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</si>
  <si>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</si>
  <si>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</si>
  <si>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</si>
  <si>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</si>
  <si>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</si>
  <si>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</si>
  <si>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</si>
  <si>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</si>
  <si>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</si>
  <si>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</si>
  <si>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</si>
  <si>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</si>
  <si>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</si>
  <si>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</si>
  <si>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</si>
  <si>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</si>
  <si>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</si>
  <si>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</si>
  <si>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</si>
  <si>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</si>
  <si>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</si>
  <si>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</si>
  <si>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</si>
  <si>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</si>
  <si>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</si>
  <si>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</si>
  <si>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</si>
  <si>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</si>
  <si>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</si>
  <si>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</si>
  <si>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</si>
  <si>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</si>
  <si>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</si>
  <si>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</si>
  <si>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</si>
  <si>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</si>
  <si>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</si>
  <si>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</si>
  <si>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</si>
  <si>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</si>
  <si>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</si>
  <si>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</si>
  <si>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</si>
  <si>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</si>
  <si>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</si>
  <si>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</si>
  <si>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</si>
  <si>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</si>
  <si>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</si>
  <si>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</si>
  <si>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</si>
  <si>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</si>
  <si>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</si>
  <si>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</si>
  <si>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</si>
  <si>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</si>
  <si>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</si>
  <si>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</si>
  <si>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</si>
  <si>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</si>
  <si>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</si>
  <si>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</si>
  <si>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</si>
  <si>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</si>
  <si>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</si>
  <si>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</si>
  <si>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</si>
  <si>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</si>
  <si>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</si>
  <si>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</si>
  <si>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</si>
  <si>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</si>
  <si>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</si>
  <si>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</si>
  <si>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</si>
  <si>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</si>
  <si>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</si>
  <si>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</si>
  <si>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</si>
  <si>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</si>
  <si>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</si>
  <si>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</si>
  <si>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</si>
  <si>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</si>
  <si>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</si>
  <si>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</si>
  <si>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</si>
  <si>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</si>
  <si>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</si>
  <si>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</si>
  <si>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</si>
  <si>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</si>
  <si>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</si>
  <si>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</si>
  <si>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</si>
  <si>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</si>
  <si>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</si>
  <si>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</si>
  <si>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</si>
  <si>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</si>
  <si>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</si>
  <si>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</si>
  <si>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</si>
  <si>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</si>
  <si>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</si>
  <si>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</si>
  <si>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</si>
  <si>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</si>
  <si>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</si>
  <si>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</si>
  <si>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</si>
  <si>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</si>
  <si>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</si>
  <si>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</si>
  <si>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</si>
  <si>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</si>
  <si>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</si>
  <si>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</si>
  <si>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</si>
  <si>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</si>
  <si>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</si>
  <si>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</si>
  <si>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</si>
  <si>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</si>
  <si>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</si>
  <si>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</si>
  <si>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</si>
  <si>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</si>
  <si>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</si>
  <si>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</si>
  <si>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</si>
  <si>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</si>
  <si>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</si>
  <si>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</si>
  <si>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</si>
  <si>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</si>
  <si>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</si>
  <si>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</si>
  <si>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</si>
  <si>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</si>
  <si>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</si>
  <si>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</si>
  <si>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</si>
  <si>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</si>
  <si>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</si>
  <si>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</si>
  <si>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</si>
  <si>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</si>
  <si>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</si>
  <si>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</si>
  <si>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</si>
  <si>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</si>
  <si>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</si>
  <si>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</si>
  <si>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</si>
  <si>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</si>
  <si>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</si>
  <si>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</si>
  <si>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</si>
  <si>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</si>
  <si>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</si>
  <si>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</si>
  <si>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</si>
  <si>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</si>
  <si>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</si>
  <si>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</si>
  <si>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</si>
  <si>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</si>
  <si>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</si>
  <si>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</si>
  <si>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</si>
  <si>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</si>
  <si>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</si>
  <si>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</si>
  <si>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</si>
  <si>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</si>
  <si>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</si>
  <si>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</si>
  <si>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</si>
  <si>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</si>
  <si>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</si>
  <si>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</si>
  <si>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</si>
  <si>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</si>
  <si>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</si>
  <si>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</si>
  <si>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</si>
  <si>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</si>
  <si>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</si>
  <si>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</si>
  <si>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</si>
  <si>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</si>
  <si>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</si>
  <si>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</si>
  <si>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</si>
  <si>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</si>
  <si>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</si>
  <si>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</si>
  <si>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</si>
  <si>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</si>
  <si>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</si>
  <si>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</si>
  <si>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</si>
  <si>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</si>
  <si>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</si>
  <si>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</si>
  <si>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</si>
  <si>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</si>
  <si>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</si>
  <si>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</si>
  <si>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</si>
  <si>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</si>
  <si>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</si>
  <si>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</si>
  <si>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</si>
  <si>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</si>
  <si>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</si>
  <si>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</si>
  <si>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</si>
  <si>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</si>
  <si>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</si>
  <si>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</si>
  <si>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</si>
  <si>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</si>
  <si>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</si>
  <si>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</si>
  <si>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</si>
  <si>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</si>
  <si>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</si>
  <si>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</si>
  <si>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</si>
  <si>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</si>
  <si>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</si>
  <si>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</si>
  <si>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</si>
  <si>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</si>
  <si>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</si>
  <si>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</si>
  <si>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</si>
  <si>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</si>
  <si>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</si>
  <si>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</si>
  <si>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</si>
  <si>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</si>
  <si>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</si>
  <si>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</si>
  <si>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</si>
  <si>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</si>
  <si>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</si>
  <si>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</si>
  <si>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</si>
  <si>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</si>
  <si>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</si>
  <si>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</si>
  <si>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</si>
  <si>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</si>
  <si>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</si>
  <si>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</si>
  <si>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</si>
  <si>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</si>
  <si>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</si>
  <si>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</si>
  <si>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</si>
  <si>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</si>
  <si>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</si>
  <si>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</si>
  <si>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</si>
  <si>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</si>
  <si>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</si>
  <si>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</si>
  <si>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</si>
  <si>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</si>
  <si>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</si>
  <si>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</si>
  <si>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</si>
  <si>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</si>
  <si>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</si>
  <si>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</si>
  <si>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</si>
  <si>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</si>
  <si>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</si>
  <si>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</si>
  <si>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</si>
  <si>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</si>
  <si>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</si>
  <si>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</si>
  <si>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</si>
  <si>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</si>
  <si>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</si>
  <si>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</si>
  <si>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</si>
  <si>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</si>
  <si>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</si>
  <si>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</si>
  <si>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</si>
  <si>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</si>
  <si>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</si>
  <si>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</si>
  <si>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</si>
  <si>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</si>
  <si>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</si>
  <si>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</si>
  <si>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</si>
  <si>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</si>
  <si>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</si>
  <si>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</si>
  <si>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</si>
  <si>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</si>
  <si>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</si>
  <si>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</si>
  <si>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</si>
  <si>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</si>
  <si>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</si>
  <si>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</si>
  <si>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</si>
  <si>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</si>
  <si>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</si>
  <si>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</si>
  <si>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</si>
  <si>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</si>
  <si>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</si>
  <si>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</si>
  <si>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</si>
  <si>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</si>
  <si>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</si>
  <si>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</si>
  <si>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</si>
  <si>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</si>
  <si>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</si>
  <si>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</si>
  <si>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</si>
  <si>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</si>
  <si>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</si>
  <si>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</si>
  <si>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</si>
  <si>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</si>
  <si>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</si>
  <si>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</si>
  <si>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</si>
  <si>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</si>
  <si>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</si>
  <si>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</si>
  <si>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</si>
  <si>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</si>
  <si>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</si>
  <si>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</si>
  <si>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</si>
  <si>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</si>
  <si>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</si>
  <si>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</si>
  <si>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</si>
  <si>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</si>
  <si>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</si>
  <si>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</si>
  <si>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</si>
  <si>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</si>
  <si>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</si>
  <si>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</si>
  <si>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</si>
  <si>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</si>
  <si>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</si>
  <si>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</si>
  <si>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</si>
  <si>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</si>
  <si>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</si>
  <si>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</si>
  <si>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</si>
  <si>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</si>
  <si>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</si>
  <si>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</si>
  <si>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</si>
  <si>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</si>
  <si>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</si>
  <si>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</si>
  <si>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</si>
  <si>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</si>
  <si>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</si>
  <si>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</si>
  <si>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</si>
  <si>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</si>
  <si>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</si>
  <si>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</si>
  <si>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</si>
  <si>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</si>
  <si>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</si>
  <si>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</si>
  <si>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</si>
  <si>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</si>
  <si>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</si>
  <si>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</si>
  <si>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</si>
  <si>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</si>
  <si>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</si>
  <si>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</si>
  <si>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</si>
  <si>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</si>
  <si>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</si>
  <si>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</si>
  <si>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</si>
  <si>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</si>
  <si>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</si>
  <si>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</si>
  <si>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</si>
  <si>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</si>
  <si>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</si>
  <si>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</si>
  <si>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</si>
  <si>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</si>
  <si>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</si>
  <si>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</si>
  <si>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</si>
  <si>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</si>
  <si>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</si>
  <si>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</si>
  <si>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</si>
  <si>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</si>
  <si>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</si>
  <si>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</si>
  <si>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</si>
  <si>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</si>
  <si>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</si>
  <si>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</si>
  <si>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</si>
  <si>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</si>
  <si>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</si>
  <si>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</si>
  <si>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</si>
  <si>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</si>
  <si>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</si>
  <si>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</si>
  <si>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</si>
  <si>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</si>
  <si>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</si>
  <si>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</si>
  <si>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</si>
  <si>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</si>
  <si>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</si>
  <si>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</si>
  <si>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</si>
  <si>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</si>
  <si>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</si>
  <si>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</si>
  <si>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</si>
  <si>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</si>
  <si>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</si>
  <si>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</si>
  <si>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</si>
  <si>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</si>
  <si>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</si>
  <si>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</si>
  <si>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</si>
  <si>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</si>
  <si>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</si>
  <si>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</si>
  <si>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</si>
  <si>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</si>
  <si>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</si>
  <si>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</si>
  <si>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</si>
  <si>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</si>
  <si>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</si>
  <si>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</si>
  <si>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</si>
  <si>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</si>
  <si>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</si>
  <si>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</si>
  <si>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</si>
  <si>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</si>
  <si>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</si>
  <si>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</si>
  <si>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</si>
  <si>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</si>
  <si>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</si>
  <si>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</si>
  <si>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</si>
  <si>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</si>
  <si>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</si>
  <si>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</si>
  <si>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</si>
  <si>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</si>
  <si>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</si>
  <si>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</si>
  <si>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</si>
  <si>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</si>
  <si>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</si>
  <si>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</si>
  <si>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</si>
  <si>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</si>
  <si>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</si>
  <si>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</si>
  <si>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</si>
  <si>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</si>
  <si>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</si>
  <si>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</si>
  <si>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</si>
  <si>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</si>
  <si>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</si>
  <si>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</si>
  <si>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</si>
  <si>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</si>
  <si>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</si>
  <si>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</si>
  <si>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</si>
  <si>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</si>
  <si>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</si>
  <si>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</si>
  <si>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</si>
  <si>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</si>
  <si>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</si>
  <si>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</si>
  <si>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</si>
  <si>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</si>
  <si>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</si>
  <si>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</si>
  <si>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</si>
  <si>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</si>
  <si>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</si>
  <si>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</si>
  <si>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</si>
  <si>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</si>
  <si>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</si>
  <si>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</si>
  <si>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</si>
  <si>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</si>
  <si>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</si>
  <si>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</si>
  <si>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</si>
  <si>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</si>
  <si>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</si>
  <si>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</si>
  <si>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</si>
  <si>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</si>
  <si>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</si>
  <si>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</si>
  <si>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</si>
  <si>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</si>
  <si>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</si>
  <si>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</si>
  <si>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</si>
  <si>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</si>
  <si>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</si>
  <si>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</si>
  <si>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</si>
  <si>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</si>
  <si>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</si>
  <si>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</si>
  <si>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</si>
  <si>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</si>
  <si>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</si>
  <si>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</si>
  <si>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</si>
  <si>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</si>
  <si>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</si>
  <si>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</si>
  <si>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</si>
  <si>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</si>
  <si>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</si>
  <si>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</si>
  <si>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</si>
  <si>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</si>
  <si>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</si>
  <si>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</si>
  <si>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</si>
  <si>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</si>
  <si>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</si>
  <si>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</si>
  <si>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</si>
  <si>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</si>
  <si>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</si>
  <si>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</si>
  <si>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</si>
  <si>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</si>
  <si>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</si>
  <si>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</si>
  <si>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</si>
  <si>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</si>
  <si>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</si>
  <si>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</si>
  <si>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</si>
  <si>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</si>
  <si>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</si>
  <si>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</si>
  <si>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</si>
  <si>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</si>
  <si>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</si>
  <si>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</si>
  <si>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</si>
  <si>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</si>
  <si>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</si>
  <si>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</si>
  <si>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</si>
  <si>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</si>
  <si>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</si>
  <si>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</si>
  <si>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</si>
  <si>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</si>
  <si>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</si>
  <si>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</si>
  <si>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</si>
  <si>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</si>
  <si>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</si>
  <si>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</si>
  <si>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</si>
  <si>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</si>
  <si>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</si>
  <si>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</si>
  <si>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All perfect!</t>
  </si>
  <si>
    <t>SMPOKOS, EMMANOUIL</t>
  </si>
  <si>
    <t>TRIANTAFYLLOU, IOANNIS</t>
  </si>
  <si>
    <t>MORAITIS, PANAGIOTIS</t>
  </si>
  <si>
    <t>TRIANTAFYLLOU, MARIA</t>
  </si>
  <si>
    <t>STRAVOPOULOS, VASILEIOS</t>
  </si>
  <si>
    <t>KALESIORIS, ANASTASIOS</t>
  </si>
  <si>
    <t>did you mean the rebound by Bonga?</t>
  </si>
  <si>
    <t>17 B?</t>
  </si>
  <si>
    <t>we think he tips the ball to Milton</t>
  </si>
  <si>
    <t>before 315    326    24    06:04    54    50    Panathinaikos    10    SLOUKAS, K.    Steal    0    0    0</t>
  </si>
  <si>
    <t>turnover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</si>
</sst>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13_123_PAN_PAR_E2025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45986.885416666664</v>
      </c>
      <c r="C3" s="178"/>
      <c r="D3" s="39">
        <v>539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755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1ADBD-EFE6-4D57-AF96-8F33889A0FCE}">
  <dimension ref="B3:L4"/>
  <sheetViews>
    <sheetView workbookViewId="0">
      <selection activeCell="A3" sqref="A3:XFD4"/>
    </sheetView>
  </sheetViews>
  <sheetFormatPr defaultRowHeight="12.75" x14ac:dyDescent="0.2"/>
  <cols>
    <col min="2" max="2" width="86" bestFit="1" customWidth="1"/>
  </cols>
  <sheetData>
    <row r="3" spans="2:12" x14ac:dyDescent="0.2">
      <c r="B3" t="s">
        <v>758</v>
      </c>
      <c r="F3" t="s">
        <v>759</v>
      </c>
      <c r="G3" t="s">
        <v>760</v>
      </c>
    </row>
    <row r="4" spans="2:12" x14ac:dyDescent="0.2">
      <c r="B4" s="91" t="s">
        <v>761</v>
      </c>
      <c r="L4" s="91" t="s">
        <v>762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REPORT_E2025123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"E2025123"</v>
      </c>
      <c r="F3" s="45" t="str">
        <f t="shared" ref="F3:F16" si="0">""""&amp;B3&amp;"""" &amp; " : " &amp;C3&amp;","</f>
        <v>"name" : "E2025123",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"E123"</v>
      </c>
      <c r="F4" s="45" t="str">
        <f t="shared" si="0"/>
        <v>"cod" : "E123",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123</v>
      </c>
      <c r="F6" s="45" t="str">
        <f t="shared" si="0"/>
        <v>"number" : 123,</v>
      </c>
    </row>
    <row r="7" spans="2:6" x14ac:dyDescent="0.2">
      <c r="B7" s="43" t="s">
        <v>116</v>
      </c>
      <c r="C7" s="43" t="str">
        <f ca="1">""""&amp;TEXT('SCOUT &amp; LOGISTICS'!B3,"dd/mm/aaaa")&amp;""""</f>
        <v>"25/11/Tuesday"</v>
      </c>
      <c r="F7" s="45" t="str">
        <f t="shared" ca="1" si="0"/>
        <v>"date" : "25/11/Tuesday",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"SMPOKOS, EMMANOUIL"</v>
      </c>
      <c r="F10" s="45" t="str">
        <f t="shared" si="0"/>
        <v>"Data_entry" : "SMPOKOS, EMMANOUIL",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"TRIANTAFYLLOU, IOANNIS"</v>
      </c>
      <c r="F11" s="45" t="str">
        <f t="shared" si="0"/>
        <v>"Caller_1" : "TRIANTAFYLLOU, IOANNIS",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"MORAITIS, PANAGIOTIS"</v>
      </c>
      <c r="F12" s="45" t="str">
        <f t="shared" si="0"/>
        <v>"Caller_2" : "MORAITIS, PANAGIOTIS",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"TRIANTAFYLLOU, MARIA"</v>
      </c>
      <c r="F13" s="45" t="str">
        <f t="shared" si="0"/>
        <v>"Timerkeeper" : "TRIANTAFYLLOU, MARIA",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"STRAVOPOULOS, VASILEIOS"</v>
      </c>
      <c r="F14" s="45" t="str">
        <f t="shared" si="0"/>
        <v>"Shotclock" : "STRAVOPOULOS, VASILEIOS",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"KALESIORIS, ANASTASIOS"</v>
      </c>
      <c r="F15" s="45" t="str">
        <f t="shared" si="0"/>
        <v>"IRS" : "KALESIORIS, ANASTASIOS",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"All perfect!"</v>
      </c>
      <c r="F51" s="45" t="str">
        <f>""""&amp;B51&amp;"""" &amp; " : " &amp;C51&amp;","</f>
        <v>"comments" : "All perfect!",</v>
      </c>
    </row>
    <row r="52" spans="2:6" x14ac:dyDescent="0.2">
      <c r="B52" s="43" t="s">
        <v>153</v>
      </c>
      <c r="C52" s="43" t="str">
        <f>TEXT('SCOUT &amp; LOGISTICS'!F1,"0,0")</f>
        <v>13_123_PAN_PAR_E2025</v>
      </c>
      <c r="F52" s="45" t="str">
        <f>""""&amp;B52&amp;"""" &amp; " : " &amp;C52</f>
        <v>"result" : 13_123_PAN_PAR_E2025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E123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SMPOKOS, EMMANOUIL</v>
      </c>
      <c r="C8" s="201"/>
      <c r="D8" s="201"/>
      <c r="E8" s="201"/>
      <c r="F8" s="201"/>
      <c r="G8" s="201" t="str">
        <f>IF('SCOUT &amp; LOGISTICS'!D7="","",'SCOUT &amp; LOGISTICS'!D7)</f>
        <v>TRIANTAFYLLOU, IOANNIS</v>
      </c>
      <c r="H8" s="201"/>
      <c r="I8" s="201"/>
      <c r="J8" s="201"/>
      <c r="K8" s="201"/>
      <c r="L8" s="201" t="str">
        <f>IF('SCOUT &amp; LOGISTICS'!D8="","",'SCOUT &amp; LOGISTICS'!D8)</f>
        <v>MORAITIS, PANAGIOTIS</v>
      </c>
      <c r="M8" s="201"/>
      <c r="N8" s="201"/>
      <c r="O8" s="201"/>
      <c r="P8" s="201"/>
      <c r="Q8" s="201" t="str">
        <f>IF('SCOUT &amp; LOGISTICS'!D9="","",'SCOUT &amp; LOGISTICS'!D9)</f>
        <v>TRIANTAFYLLOU, MARIA</v>
      </c>
      <c r="R8" s="201"/>
      <c r="S8" s="201"/>
      <c r="T8" s="201"/>
      <c r="U8" s="201"/>
      <c r="V8" s="201" t="str">
        <f>IF('SCOUT &amp; LOGISTICS'!D10="","",'SCOUT &amp; LOGISTICS'!D10)</f>
        <v>STRAVOPOULOS, VASILEIOS</v>
      </c>
      <c r="W8" s="201"/>
      <c r="X8" s="201"/>
      <c r="Y8" s="201"/>
      <c r="Z8" s="201"/>
      <c r="AA8" s="201" t="str">
        <f>IF('SCOUT &amp; LOGISTICS'!D11="","",'SCOUT &amp; LOGISTICS'!D11)</f>
        <v>KALESIORIS, ANASTASIOS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All perfect!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D9FA746-BC15-4786-B622-5613968B6D2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2025-12-14T21:10:48Z</cp:lastPrinted>
  <dcterms:created xsi:type="dcterms:W3CDTF">2023-09-19T19:50:35Z</dcterms:created>
  <dcterms:modified xsi:type="dcterms:W3CDTF">2025-12-14T21:10:56Z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