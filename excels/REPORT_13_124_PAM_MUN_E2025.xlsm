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26" documentId="8_{DD4A453A-237A-4C2D-81FB-A55B9B79FC59}" xr6:coauthVersionLast="47" xr6:coauthVersionMax="47" xr10:uidLastSave="{AD4F0C6C-C985-4D20-9EB3-9D1B179A335A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<sst xmlns="http://schemas.openxmlformats.org/spreadsheetml/2006/main" count="3305" uniqueCount="770">
  <si>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</si>
  <si>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</si>
  <si>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</si>
  <si>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</si>
  <si>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</si>
  <si>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</si>
  <si>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</si>
  <si>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</si>
  <si>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</si>
  <si>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</si>
  <si>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</si>
  <si>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</si>
  <si>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</si>
  <si>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</si>
  <si>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</si>
  <si>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</si>
  <si>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</si>
  <si>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</si>
  <si>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</si>
  <si>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</si>
  <si>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</si>
  <si>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</si>
  <si>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</si>
  <si>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</si>
  <si>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</si>
  <si>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</si>
  <si>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</si>
  <si>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</si>
  <si>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</si>
  <si>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</si>
  <si>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</si>
  <si>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</si>
  <si>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</si>
  <si>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</si>
  <si>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</si>
  <si>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</si>
  <si>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</si>
  <si>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</si>
  <si>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</si>
  <si>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</si>
  <si>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</si>
  <si>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</si>
  <si>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</si>
  <si>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</si>
  <si>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</si>
  <si>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</si>
  <si>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</si>
  <si>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</si>
  <si>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</si>
  <si>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</si>
  <si>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</si>
  <si>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</si>
  <si>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</si>
  <si>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</si>
  <si>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</si>
  <si>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</si>
  <si>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</si>
  <si>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</si>
  <si>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</si>
  <si>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</si>
  <si>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</si>
  <si>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</si>
  <si>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</si>
  <si>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</si>
  <si>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</si>
  <si>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</si>
  <si>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</si>
  <si>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</si>
  <si>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</si>
  <si>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</si>
  <si>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</si>
  <si>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</si>
  <si>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</si>
  <si>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</si>
  <si>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</si>
  <si>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</si>
  <si>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</si>
  <si>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</si>
  <si>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</si>
  <si>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</si>
  <si>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</si>
  <si>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</si>
  <si>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</si>
  <si>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</si>
  <si>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</si>
  <si>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</si>
  <si>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</si>
  <si>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</si>
  <si>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</si>
  <si>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</si>
  <si>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</si>
  <si>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</si>
  <si>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</si>
  <si>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</si>
  <si>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</si>
  <si>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</si>
  <si>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</si>
  <si>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</si>
  <si>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</si>
  <si>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</si>
  <si>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</si>
  <si>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</si>
  <si>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</si>
  <si>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</si>
  <si>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</si>
  <si>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</si>
  <si>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</si>
  <si>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</si>
  <si>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</si>
  <si>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</si>
  <si>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</si>
  <si>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</si>
  <si>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</si>
  <si>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</si>
  <si>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</si>
  <si>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</si>
  <si>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</si>
  <si>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</si>
  <si>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</si>
  <si>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</si>
  <si>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</si>
  <si>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</si>
  <si>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</si>
  <si>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</si>
  <si>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</si>
  <si>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</si>
  <si>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</si>
  <si>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</si>
  <si>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</si>
  <si>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</si>
  <si>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</si>
  <si>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</si>
  <si>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</si>
  <si>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</si>
  <si>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</si>
  <si>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</si>
  <si>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</si>
  <si>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</si>
  <si>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</si>
  <si>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</si>
  <si>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</si>
  <si>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</si>
  <si>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</si>
  <si>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</si>
  <si>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</si>
  <si>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</si>
  <si>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</si>
  <si>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</si>
  <si>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</si>
  <si>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</si>
  <si>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</si>
  <si>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</si>
  <si>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</si>
  <si>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</si>
  <si>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</si>
  <si>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</si>
  <si>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</si>
  <si>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</si>
  <si>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</si>
  <si>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</si>
  <si>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</si>
  <si>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</si>
  <si>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</si>
  <si>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</si>
  <si>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</si>
  <si>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</si>
  <si>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</si>
  <si>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</si>
  <si>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</si>
  <si>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</si>
  <si>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</si>
  <si>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</si>
  <si>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</si>
  <si>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</si>
  <si>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</si>
  <si>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</si>
  <si>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</si>
  <si>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</si>
  <si>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</si>
  <si>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</si>
  <si>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</si>
  <si>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</si>
  <si>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</si>
  <si>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</si>
  <si>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</si>
  <si>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</si>
  <si>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</si>
  <si>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</si>
  <si>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</si>
  <si>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</si>
  <si>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</si>
  <si>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</si>
  <si>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</si>
  <si>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</si>
  <si>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</si>
  <si>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</si>
  <si>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</si>
  <si>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</si>
  <si>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</si>
  <si>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</si>
  <si>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</si>
  <si>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</si>
  <si>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</si>
  <si>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</si>
  <si>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</si>
  <si>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</si>
  <si>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</si>
  <si>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</si>
  <si>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</si>
  <si>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</si>
  <si>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</si>
  <si>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</si>
  <si>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</si>
  <si>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</si>
  <si>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</si>
  <si>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</si>
  <si>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</si>
  <si>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</si>
  <si>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</si>
  <si>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</si>
  <si>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</si>
  <si>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</si>
  <si>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</si>
  <si>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</si>
  <si>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</si>
  <si>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</si>
  <si>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</si>
  <si>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</si>
  <si>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</si>
  <si>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</si>
  <si>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</si>
  <si>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</si>
  <si>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</si>
  <si>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</si>
  <si>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</si>
  <si>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</si>
  <si>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</si>
  <si>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</si>
  <si>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</si>
  <si>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</si>
  <si>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</si>
  <si>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</si>
  <si>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</si>
  <si>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</si>
  <si>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</si>
  <si>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</si>
  <si>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</si>
  <si>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</si>
  <si>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</si>
  <si>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</si>
  <si>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</si>
  <si>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</si>
  <si>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</si>
  <si>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</si>
  <si>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</si>
  <si>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</si>
  <si>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</si>
  <si>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</si>
  <si>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</si>
  <si>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</si>
  <si>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</si>
  <si>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</si>
  <si>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</si>
  <si>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</si>
  <si>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</si>
  <si>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</si>
  <si>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</si>
  <si>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</si>
  <si>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</si>
  <si>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</si>
  <si>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</si>
  <si>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</si>
  <si>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</si>
  <si>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</si>
  <si>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</si>
  <si>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</si>
  <si>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</si>
  <si>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</si>
  <si>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</si>
  <si>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</si>
  <si>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</si>
  <si>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</si>
  <si>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</si>
  <si>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</si>
  <si>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</si>
  <si>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</si>
  <si>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</si>
  <si>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</si>
  <si>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</si>
  <si>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</si>
  <si>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</si>
  <si>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</si>
  <si>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</si>
  <si>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</si>
  <si>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</si>
  <si>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</si>
  <si>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</si>
  <si>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</si>
  <si>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</si>
  <si>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</si>
  <si>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</si>
  <si>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</si>
  <si>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</si>
  <si>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</si>
  <si>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</si>
  <si>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</si>
  <si>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</si>
  <si>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</si>
  <si>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</si>
  <si>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</si>
  <si>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</si>
  <si>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</si>
  <si>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</si>
  <si>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</si>
  <si>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</si>
  <si>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</si>
  <si>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</si>
  <si>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</si>
  <si>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</si>
  <si>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</si>
  <si>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</si>
  <si>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</si>
  <si>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</si>
  <si>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</si>
  <si>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</si>
  <si>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</si>
  <si>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</si>
  <si>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</si>
  <si>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</si>
  <si>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</si>
  <si>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</si>
  <si>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</si>
  <si>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</si>
  <si>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</si>
  <si>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</si>
  <si>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</si>
  <si>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</si>
  <si>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</si>
  <si>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</si>
  <si>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</si>
  <si>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</si>
  <si>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</si>
  <si>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</si>
  <si>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</si>
  <si>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</si>
  <si>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</si>
  <si>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</si>
  <si>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</si>
  <si>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</si>
  <si>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</si>
  <si>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</si>
  <si>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</si>
  <si>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</si>
  <si>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</si>
  <si>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</si>
  <si>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</si>
  <si>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</si>
  <si>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</si>
  <si>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</si>
  <si>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</si>
  <si>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</si>
  <si>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</si>
  <si>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</si>
  <si>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</si>
  <si>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</si>
  <si>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</si>
  <si>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</si>
  <si>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</si>
  <si>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</si>
  <si>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</si>
  <si>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</si>
  <si>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</si>
  <si>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</si>
  <si>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</si>
  <si>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</si>
  <si>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</si>
  <si>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</si>
  <si>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</si>
  <si>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</si>
  <si>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</si>
  <si>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</si>
  <si>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</si>
  <si>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</si>
  <si>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</si>
  <si>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</si>
  <si>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</si>
  <si>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</si>
  <si>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</si>
  <si>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</si>
  <si>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</si>
  <si>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</si>
  <si>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</si>
  <si>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</si>
  <si>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</si>
  <si>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</si>
  <si>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</si>
  <si>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</si>
  <si>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</si>
  <si>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</si>
  <si>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</si>
  <si>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</si>
  <si>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</si>
  <si>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</si>
  <si>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</si>
  <si>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</si>
  <si>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</si>
  <si>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</si>
  <si>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</si>
  <si>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</si>
  <si>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</si>
  <si>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</si>
  <si>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</si>
  <si>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</si>
  <si>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</si>
  <si>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</si>
  <si>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</si>
  <si>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</si>
  <si>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</si>
  <si>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</si>
  <si>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</si>
  <si>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</si>
  <si>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</si>
  <si>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</si>
  <si>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</si>
  <si>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</si>
  <si>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</si>
  <si>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</si>
  <si>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</si>
  <si>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</si>
  <si>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</si>
  <si>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</si>
  <si>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</si>
  <si>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</si>
  <si>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</si>
  <si>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</si>
  <si>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</si>
  <si>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</si>
  <si>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</si>
  <si>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</si>
  <si>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</si>
  <si>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</si>
  <si>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</si>
  <si>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</si>
  <si>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</si>
  <si>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</si>
  <si>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</si>
  <si>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</si>
  <si>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</si>
  <si>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</si>
  <si>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</si>
  <si>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</si>
  <si>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</si>
  <si>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</si>
  <si>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</si>
  <si>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</si>
  <si>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</si>
  <si>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</si>
  <si>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</si>
  <si>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</si>
  <si>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</si>
  <si>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</si>
  <si>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</si>
  <si>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</si>
  <si>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</si>
  <si>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</si>
  <si>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</si>
  <si>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</si>
  <si>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</si>
  <si>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</si>
  <si>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</si>
  <si>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</si>
  <si>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</si>
  <si>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</si>
  <si>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</si>
  <si>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</si>
  <si>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</si>
  <si>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</si>
  <si>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</si>
  <si>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</si>
  <si>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</si>
  <si>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</si>
  <si>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</si>
  <si>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</si>
  <si>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</si>
  <si>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</si>
  <si>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</si>
  <si>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</si>
  <si>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</si>
  <si>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</si>
  <si>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</si>
  <si>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</si>
  <si>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</si>
  <si>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</si>
  <si>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</si>
  <si>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</si>
  <si>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</si>
  <si>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</si>
  <si>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</si>
  <si>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</si>
  <si>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</si>
  <si>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</si>
  <si>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</si>
  <si>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</si>
  <si>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</si>
  <si>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</si>
  <si>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</si>
  <si>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</si>
  <si>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</si>
  <si>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</si>
  <si>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</si>
  <si>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</si>
  <si>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</si>
  <si>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</si>
  <si>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</si>
  <si>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</si>
  <si>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</si>
  <si>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</si>
  <si>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</si>
  <si>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</si>
  <si>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</si>
  <si>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</si>
  <si>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</si>
  <si>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</si>
  <si>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</si>
  <si>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</si>
  <si>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</si>
  <si>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</si>
  <si>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</si>
  <si>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</si>
  <si>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</si>
  <si>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</si>
  <si>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</si>
  <si>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</si>
  <si>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</si>
  <si>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</si>
  <si>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</si>
  <si>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</si>
  <si>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</si>
  <si>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</si>
  <si>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</si>
  <si>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</si>
  <si>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</si>
  <si>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</si>
  <si>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</si>
  <si>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</si>
  <si>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</si>
  <si>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</si>
  <si>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</si>
  <si>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</si>
  <si>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</si>
  <si>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</si>
  <si>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</si>
  <si>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</si>
  <si>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</si>
  <si>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</si>
  <si>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</si>
  <si>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</si>
  <si>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</si>
  <si>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</si>
  <si>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</si>
  <si>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</si>
  <si>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</si>
  <si>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</si>
  <si>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</si>
  <si>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</si>
  <si>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</si>
  <si>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</si>
  <si>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</si>
  <si>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</si>
  <si>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</si>
  <si>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</si>
  <si>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</si>
  <si>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</si>
  <si>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</si>
  <si>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</si>
  <si>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</si>
  <si>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</si>
  <si>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</si>
  <si>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</si>
  <si>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</si>
  <si>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</si>
  <si>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</si>
  <si>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</si>
  <si>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</si>
  <si>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</si>
  <si>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</si>
  <si>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</si>
  <si>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</si>
  <si>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</si>
  <si>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</si>
  <si>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</si>
  <si>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</si>
  <si>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</si>
  <si>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</si>
  <si>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</si>
  <si>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</si>
  <si>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</si>
  <si>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</si>
  <si>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</si>
  <si>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</si>
  <si>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</si>
  <si>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</si>
  <si>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</si>
  <si>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</si>
  <si>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</si>
  <si>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</si>
  <si>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</si>
  <si>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</si>
  <si>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</si>
  <si>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</si>
  <si>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</si>
  <si>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</si>
  <si>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</si>
  <si>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</si>
  <si>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</si>
  <si>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</si>
  <si>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</si>
  <si>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</si>
  <si>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</si>
  <si>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</si>
  <si>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</si>
  <si>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</si>
  <si>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</si>
  <si>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</si>
  <si>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</si>
  <si>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</si>
  <si>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</si>
  <si>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</si>
  <si>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</si>
  <si>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</si>
  <si>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</si>
  <si>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</si>
  <si>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</si>
  <si>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</si>
  <si>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</si>
  <si>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</si>
  <si>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</si>
  <si>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</si>
  <si>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</si>
  <si>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</si>
  <si>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</si>
  <si>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</si>
  <si>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</si>
  <si>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</si>
  <si>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</si>
  <si>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</si>
  <si>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</si>
  <si>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</si>
  <si>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</si>
  <si>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</si>
  <si>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</si>
  <si>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</si>
  <si>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</si>
  <si>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</si>
  <si>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</si>
  <si>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</si>
  <si>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</si>
  <si>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</si>
  <si>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</si>
  <si>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</si>
  <si>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</si>
  <si>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</si>
  <si>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</si>
  <si>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</si>
  <si>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</si>
  <si>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</si>
  <si>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</si>
  <si>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</si>
  <si>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</si>
  <si>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</si>
  <si>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</si>
  <si>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</si>
  <si>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</si>
  <si>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</si>
  <si>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</si>
  <si>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</si>
  <si>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</si>
  <si>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</si>
  <si>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</si>
  <si>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</si>
  <si>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</si>
  <si>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</si>
  <si>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</si>
  <si>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</si>
  <si>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</si>
  <si>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</si>
  <si>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</si>
  <si>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</si>
  <si>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</si>
  <si>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</si>
  <si>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</si>
  <si>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</si>
  <si>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</si>
  <si>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</si>
  <si>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</si>
  <si>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</si>
  <si>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</si>
  <si>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</si>
  <si>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</si>
  <si>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</si>
  <si>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</si>
  <si>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</si>
  <si>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</si>
  <si>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</si>
  <si>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</si>
  <si>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</si>
  <si>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</si>
  <si>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</si>
  <si>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</si>
  <si>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</si>
  <si>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</si>
  <si>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</si>
  <si>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</si>
  <si>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</si>
  <si>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</si>
  <si>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</si>
  <si>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</si>
  <si>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</si>
  <si>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</si>
  <si>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</si>
  <si>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</si>
  <si>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</si>
  <si>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</si>
  <si>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</si>
  <si>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</si>
  <si>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</si>
  <si>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</si>
  <si>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</si>
  <si>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</si>
  <si>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</si>
  <si>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</si>
  <si>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</si>
  <si>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</si>
  <si>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</si>
  <si>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</si>
  <si>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</si>
  <si>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</si>
  <si>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</si>
  <si>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</si>
  <si>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</si>
  <si>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</si>
  <si>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</si>
  <si>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</si>
  <si>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</si>
  <si>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</si>
  <si>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</si>
  <si>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</si>
  <si>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</si>
  <si>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</si>
  <si>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</si>
  <si>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JACOBO LAPRESTA</t>
  </si>
  <si>
    <t>LUIS CEBRIAN MICO</t>
  </si>
  <si>
    <t>JOSE VICENTE ARQUES</t>
  </si>
  <si>
    <t>CRISTINA TORRES</t>
  </si>
  <si>
    <t>DIEGO RUIZ</t>
  </si>
  <si>
    <t>BORJA RODRIGUEZ</t>
  </si>
  <si>
    <t>ELOI VERGÉ</t>
  </si>
  <si>
    <t>03:47</t>
  </si>
  <si>
    <t>02:30</t>
  </si>
  <si>
    <t>07:49</t>
  </si>
  <si>
    <t>07:32</t>
  </si>
  <si>
    <t>07:03</t>
  </si>
  <si>
    <t>05:43</t>
  </si>
  <si>
    <t>04:33</t>
  </si>
  <si>
    <t>02:48</t>
  </si>
  <si>
    <t>03:25</t>
  </si>
  <si>
    <t>01:08</t>
  </si>
  <si>
    <t>00:33</t>
  </si>
  <si>
    <t>00.00</t>
  </si>
  <si>
    <t>It's important to keep the focus during ALL game, because you can see very few corrections on quarters 1 and 3, however, many more in quarters 2 and 4. Specially watch out the points situations and you should find a way to double check if any points/fouls action is correctly scouted.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</si>
</sst>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7" sqref="L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13_124_PAM_MUN_E2025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45986.854166666664</v>
      </c>
      <c r="C3" s="157"/>
      <c r="D3" s="39">
        <v>632</v>
      </c>
      <c r="E3" s="29"/>
      <c r="F3" s="26">
        <f>SUBTOTAL(3,I17:I106)</f>
        <v>12</v>
      </c>
      <c r="G3" s="27">
        <f>IF(OR(D3="",D3=0),"",F3/D3)</f>
        <v>1.8987341772151899E-2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1.8987341772151899E-2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3</v>
      </c>
      <c r="Z4" s="84">
        <f>AC23</f>
        <v>4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1.89873417721519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6</v>
      </c>
      <c r="Z5" s="89">
        <f t="shared" si="1"/>
        <v>10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59.898734177215189</v>
      </c>
      <c r="N7" s="58"/>
      <c r="O7" s="2"/>
      <c r="P7" s="2"/>
      <c r="Q7" s="86">
        <f>SUM(R5,S5,AC16)</f>
        <v>59.898734177215189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19.898734177215189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12</v>
      </c>
      <c r="J15" s="24">
        <f>SUBTOTAL(3,J17:J106)</f>
        <v>12</v>
      </c>
      <c r="K15" s="24">
        <f>SUBTOTAL(3,K17:K106)</f>
        <v>12</v>
      </c>
      <c r="L15" s="24">
        <f>SUBTOTAL(3,L17:L106)</f>
        <v>12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12</v>
      </c>
      <c r="Z16" s="90" t="s">
        <v>110</v>
      </c>
      <c r="AA16" s="75">
        <f>SUM(AA17:AA24)</f>
        <v>12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58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124</v>
      </c>
      <c r="D17" s="32" t="s">
        <v>757</v>
      </c>
      <c r="E17" s="33">
        <v>1</v>
      </c>
      <c r="F17" s="36">
        <v>11</v>
      </c>
      <c r="G17" s="36">
        <v>12</v>
      </c>
      <c r="H17" s="38" t="str">
        <f>IF(I17="","",$I$14)</f>
        <v>SCOUTING</v>
      </c>
      <c r="I17" s="34">
        <v>85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124</v>
      </c>
      <c r="D18" s="32" t="s">
        <v>758</v>
      </c>
      <c r="E18" s="33">
        <v>1</v>
      </c>
      <c r="F18" s="36">
        <v>17</v>
      </c>
      <c r="G18" s="36">
        <v>13</v>
      </c>
      <c r="H18" s="38" t="str">
        <f t="shared" ref="H18:H81" si="8">IF(I18="","",$I$14)</f>
        <v>SCOUTING</v>
      </c>
      <c r="I18" s="34">
        <v>108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3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124</v>
      </c>
      <c r="D19" s="32" t="s">
        <v>759</v>
      </c>
      <c r="E19" s="33">
        <v>2</v>
      </c>
      <c r="F19" s="36">
        <v>21</v>
      </c>
      <c r="G19" s="36">
        <v>27</v>
      </c>
      <c r="H19" s="38" t="str">
        <f t="shared" si="8"/>
        <v>SCOUTING</v>
      </c>
      <c r="I19" s="34">
        <v>188</v>
      </c>
      <c r="J19" s="13" t="s">
        <v>4</v>
      </c>
      <c r="K19" s="13" t="s">
        <v>63</v>
      </c>
      <c r="L19" s="13" t="s">
        <v>7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124</v>
      </c>
      <c r="D20" s="32" t="s">
        <v>760</v>
      </c>
      <c r="E20" s="33">
        <v>2</v>
      </c>
      <c r="F20" s="36">
        <v>21</v>
      </c>
      <c r="G20" s="36">
        <v>27</v>
      </c>
      <c r="H20" s="38" t="str">
        <f t="shared" si="8"/>
        <v>SCOUTING</v>
      </c>
      <c r="I20" s="34">
        <v>193</v>
      </c>
      <c r="J20" s="13" t="s">
        <v>3</v>
      </c>
      <c r="K20" s="13" t="s">
        <v>63</v>
      </c>
      <c r="L20" s="13" t="s">
        <v>7</v>
      </c>
      <c r="M20" s="13" t="s">
        <v>167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4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124</v>
      </c>
      <c r="D21" s="32" t="s">
        <v>761</v>
      </c>
      <c r="E21" s="33">
        <v>2</v>
      </c>
      <c r="F21" s="36">
        <v>23</v>
      </c>
      <c r="G21" s="36">
        <v>30</v>
      </c>
      <c r="H21" s="38" t="str">
        <f t="shared" si="8"/>
        <v>SCOUTING</v>
      </c>
      <c r="I21" s="34">
        <v>206</v>
      </c>
      <c r="J21" s="13" t="s">
        <v>4</v>
      </c>
      <c r="K21" s="13" t="s">
        <v>62</v>
      </c>
      <c r="L21" s="13" t="s">
        <v>75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124</v>
      </c>
      <c r="D22" s="32" t="s">
        <v>762</v>
      </c>
      <c r="E22" s="33">
        <v>2</v>
      </c>
      <c r="F22" s="36">
        <v>29</v>
      </c>
      <c r="G22" s="36">
        <v>33</v>
      </c>
      <c r="H22" s="38" t="str">
        <f t="shared" si="8"/>
        <v>SCOUTING</v>
      </c>
      <c r="I22" s="34">
        <v>246</v>
      </c>
      <c r="J22" s="13" t="s">
        <v>3</v>
      </c>
      <c r="K22" s="13" t="s">
        <v>62</v>
      </c>
      <c r="L22" s="13" t="s">
        <v>77</v>
      </c>
      <c r="M22" s="13" t="s">
        <v>25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1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124</v>
      </c>
      <c r="D23" s="32" t="s">
        <v>763</v>
      </c>
      <c r="E23" s="33">
        <v>2</v>
      </c>
      <c r="F23" s="36">
        <v>29</v>
      </c>
      <c r="G23" s="36">
        <v>35</v>
      </c>
      <c r="H23" s="38" t="str">
        <f t="shared" si="8"/>
        <v>SCOUTING</v>
      </c>
      <c r="I23" s="34">
        <v>260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4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124</v>
      </c>
      <c r="D24" s="32" t="s">
        <v>764</v>
      </c>
      <c r="E24" s="33">
        <v>3</v>
      </c>
      <c r="F24" s="36">
        <v>63</v>
      </c>
      <c r="G24" s="36">
        <v>44</v>
      </c>
      <c r="H24" s="38" t="str">
        <f t="shared" si="8"/>
        <v>SCOUTING</v>
      </c>
      <c r="I24" s="34">
        <v>452</v>
      </c>
      <c r="J24" s="13" t="s">
        <v>4</v>
      </c>
      <c r="K24" s="13" t="s">
        <v>62</v>
      </c>
      <c r="L24" s="13" t="s">
        <v>48</v>
      </c>
      <c r="M24" s="13" t="s">
        <v>168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124</v>
      </c>
      <c r="D25" s="32" t="s">
        <v>765</v>
      </c>
      <c r="E25" s="33">
        <v>4</v>
      </c>
      <c r="F25" s="36">
        <v>80</v>
      </c>
      <c r="G25" s="36">
        <v>57</v>
      </c>
      <c r="H25" s="38" t="str">
        <f t="shared" si="8"/>
        <v>SCOUTING</v>
      </c>
      <c r="I25" s="34">
        <v>585</v>
      </c>
      <c r="J25" s="13" t="s">
        <v>4</v>
      </c>
      <c r="K25" s="13" t="s">
        <v>63</v>
      </c>
      <c r="L25" s="13" t="s">
        <v>48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3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124</v>
      </c>
      <c r="D26" s="32" t="s">
        <v>766</v>
      </c>
      <c r="E26" s="33">
        <v>4</v>
      </c>
      <c r="F26" s="36">
        <v>84</v>
      </c>
      <c r="G26" s="36">
        <v>64</v>
      </c>
      <c r="H26" s="38" t="str">
        <f t="shared" si="8"/>
        <v>SCOUTING</v>
      </c>
      <c r="I26" s="34">
        <v>615</v>
      </c>
      <c r="J26" s="13" t="s">
        <v>4</v>
      </c>
      <c r="K26" s="13" t="s">
        <v>63</v>
      </c>
      <c r="L26" s="13" t="s">
        <v>48</v>
      </c>
      <c r="M26" s="13" t="s">
        <v>27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2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124</v>
      </c>
      <c r="D27" s="32" t="s">
        <v>767</v>
      </c>
      <c r="E27" s="33">
        <v>4</v>
      </c>
      <c r="F27" s="36">
        <v>87</v>
      </c>
      <c r="G27" s="36">
        <v>64</v>
      </c>
      <c r="H27" s="38" t="str">
        <f t="shared" si="8"/>
        <v>SCOUTING</v>
      </c>
      <c r="I27" s="34">
        <v>628</v>
      </c>
      <c r="J27" s="13" t="s">
        <v>4</v>
      </c>
      <c r="K27" s="13" t="s">
        <v>63</v>
      </c>
      <c r="L27" s="13" t="s">
        <v>7</v>
      </c>
      <c r="M27" s="13" t="s">
        <v>168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124</v>
      </c>
      <c r="D28" s="32" t="s">
        <v>768</v>
      </c>
      <c r="E28" s="33">
        <v>4</v>
      </c>
      <c r="F28" s="36">
        <v>90</v>
      </c>
      <c r="G28" s="36">
        <v>67</v>
      </c>
      <c r="H28" s="38" t="str">
        <f t="shared" si="8"/>
        <v>SCOUTING</v>
      </c>
      <c r="I28" s="34">
        <v>634</v>
      </c>
      <c r="J28" s="13" t="s">
        <v>3</v>
      </c>
      <c r="K28" s="13" t="s">
        <v>63</v>
      </c>
      <c r="L28" s="13" t="s">
        <v>77</v>
      </c>
      <c r="M28" s="13" t="s">
        <v>26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REPORT_E2025124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"E2025124"</v>
      </c>
      <c r="F3" s="45" t="str">
        <f t="shared" ref="F3:F16" si="0">""""&amp;B3&amp;"""" &amp; " : " &amp;C3&amp;","</f>
        <v>"name" : "E2025124",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"E124"</v>
      </c>
      <c r="F4" s="45" t="str">
        <f t="shared" si="0"/>
        <v>"cod" : "E124",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124</v>
      </c>
      <c r="F6" s="45" t="str">
        <f t="shared" si="0"/>
        <v>"number" : 124,</v>
      </c>
    </row>
    <row r="7" spans="2:6" x14ac:dyDescent="0.25">
      <c r="B7" s="43" t="s">
        <v>116</v>
      </c>
      <c r="C7" s="43" t="str">
        <f ca="1">""""&amp;TEXT('SCOUT &amp; LOGISTICS'!B3,"dd/mm/aaaa")&amp;""""</f>
        <v>"25/11/2025"</v>
      </c>
      <c r="F7" s="45" t="str">
        <f t="shared" ca="1" si="0"/>
        <v>"date" : "25/11/2025",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"LUIS CEBRIAN MICO"</v>
      </c>
      <c r="F11" s="45" t="str">
        <f t="shared" si="0"/>
        <v>"Caller_1" : "LUIS CEBRIAN MICO",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VICENTE ARQUES"</v>
      </c>
      <c r="F12" s="45" t="str">
        <f t="shared" si="0"/>
        <v>"Caller_2" : "JOSE VICENTE ARQUES",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"CRISTINA TORRES"</v>
      </c>
      <c r="F13" s="45" t="str">
        <f t="shared" si="0"/>
        <v>"Timerkeeper" : "CRISTINA TORRES",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"DIEGO RUIZ"</v>
      </c>
      <c r="F14" s="45" t="str">
        <f t="shared" si="0"/>
        <v>"Shotclock" : "DIEGO RUIZ",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632</v>
      </c>
      <c r="F25" s="45" t="str">
        <f t="shared" ref="F25:F48" si="1">""""&amp;C25&amp;"""" &amp; " : " &amp;D25&amp;","</f>
        <v>"total_actions" : 632,</v>
      </c>
    </row>
    <row r="26" spans="2:6" x14ac:dyDescent="0.25">
      <c r="C26" s="43" t="s">
        <v>132</v>
      </c>
      <c r="D26" s="43">
        <f>'SCOUT &amp; LOGISTICS'!F3</f>
        <v>12</v>
      </c>
      <c r="F26" s="45" t="str">
        <f t="shared" si="1"/>
        <v>"total_correcions" : 12,</v>
      </c>
    </row>
    <row r="27" spans="2:6" x14ac:dyDescent="0.25">
      <c r="C27" s="43" t="s">
        <v>133</v>
      </c>
      <c r="D27" s="43" t="str">
        <f>""""&amp;IF(OR(D25="",D25=0),"",TEXT(D26/D25,"0,0%"))&amp;""""</f>
        <v>"1,9%"</v>
      </c>
      <c r="F27" s="45" t="str">
        <f t="shared" si="1"/>
        <v>"%_corrections" : "1,9%",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3</v>
      </c>
      <c r="F36" s="45" t="str">
        <f t="shared" si="1"/>
        <v>"boxscore_corrections" : 3,</v>
      </c>
    </row>
    <row r="37" spans="3:6" x14ac:dyDescent="0.25">
      <c r="C37" s="43" t="s">
        <v>140</v>
      </c>
      <c r="D37" s="43">
        <f>'SCOUT &amp; LOGISTICS'!Y16</f>
        <v>12</v>
      </c>
      <c r="F37" s="45" t="str">
        <f t="shared" si="1"/>
        <v>"scoresheet_corrections" : 12,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4</v>
      </c>
      <c r="F46" s="45" t="str">
        <f t="shared" si="1"/>
        <v>"part_of_a_sequence" : 4,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"It's important to keep the focus during ALL game, because you can see very few corrections on quarters 1 and 3, however, many more in quarters 2 and 4. Specially watch out the points situations and you should find a way to double check if any points/fouls action is correctly scouted."</v>
      </c>
      <c r="F51" s="45" t="str">
        <f>""""&amp;B51&amp;"""" &amp; " : " &amp;C51&amp;","</f>
        <v>"comments" : "It's important to keep the focus during ALL game, because you can see very few corrections on quarters 1 and 3, however, many more in quarters 2 and 4. Specially watch out the points situations and you should find a way to double check if any points/fouls action is correctly scouted.",</v>
      </c>
    </row>
    <row r="52" spans="2:6" x14ac:dyDescent="0.25">
      <c r="B52" s="43" t="s">
        <v>153</v>
      </c>
      <c r="C52" s="43" t="str">
        <f>TEXT('SCOUT &amp; LOGISTICS'!F1,"0,0")</f>
        <v>13_124_PAM_MUN_E2025</v>
      </c>
      <c r="F52" s="45" t="str">
        <f>""""&amp;B52&amp;"""" &amp; " : " &amp;C52</f>
        <v>"result" : 13_124_PAM_MUN_E2025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E124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25/11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LUIS CEBRIAN MICO</v>
      </c>
      <c r="H8" s="206"/>
      <c r="I8" s="206"/>
      <c r="J8" s="206"/>
      <c r="K8" s="206"/>
      <c r="L8" s="206" t="str">
        <f>IF('SCOUT &amp; LOGISTICS'!D8="","",'SCOUT &amp; LOGISTICS'!D8)</f>
        <v>JOSE VICENTE ARQUES</v>
      </c>
      <c r="M8" s="206"/>
      <c r="N8" s="206"/>
      <c r="O8" s="206"/>
      <c r="P8" s="206"/>
      <c r="Q8" s="206" t="str">
        <f>IF('SCOUT &amp; LOGISTICS'!D9="","",'SCOUT &amp; LOGISTICS'!D9)</f>
        <v>CRISTINA TORRES</v>
      </c>
      <c r="R8" s="206"/>
      <c r="S8" s="206"/>
      <c r="T8" s="206"/>
      <c r="U8" s="206"/>
      <c r="V8" s="206" t="str">
        <f>IF('SCOUT &amp; LOGISTICS'!D10="","",'SCOUT &amp; LOGISTICS'!D10)</f>
        <v>DIEGO RUIZ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632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1.8987341772151899E-2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3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4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3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2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It's important to keep the focus during ALL game, because you can see very few corrections on quarters 1 and 3, however, many more in quarters 2 and 4. Specially watch out the points situations and you should find a way to double check if any points/fouls action is correctly scouted.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59.898734177215189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491FEB-38EE-4C0D-9871-A62A216D7A3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2025-11-26T16:01:09Z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