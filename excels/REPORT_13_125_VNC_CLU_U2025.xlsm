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8" documentId="8_{7FC76BD3-9094-4C91-8FB3-E04ABFE09786}" xr6:coauthVersionLast="47" xr6:coauthVersionMax="47" xr10:uidLastSave="{A97B9EE7-9318-4C8C-BE4D-6DEB61988D8B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<sst xmlns="http://schemas.openxmlformats.org/spreadsheetml/2006/main" count="3449" uniqueCount="880">
  <si>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</si>
  <si>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</si>
  <si>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</si>
  <si>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</si>
  <si>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</si>
  <si>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</si>
  <si>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</si>
  <si>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</si>
  <si>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</si>
  <si>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</si>
  <si>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</si>
  <si>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</si>
  <si>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</si>
  <si>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</si>
  <si>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</si>
  <si>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</si>
  <si>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</si>
  <si>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</si>
  <si>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</si>
  <si>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</si>
  <si>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</si>
  <si>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</si>
  <si>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</si>
  <si>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</si>
  <si>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</si>
  <si>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</si>
  <si>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</si>
  <si>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</si>
  <si>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</si>
  <si>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</si>
  <si>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</si>
  <si>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</si>
  <si>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</si>
  <si>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</si>
  <si>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</si>
  <si>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</si>
  <si>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</si>
  <si>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</si>
  <si>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</si>
  <si>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</si>
  <si>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</si>
  <si>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</si>
  <si>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</si>
  <si>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</si>
  <si>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</si>
  <si>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</si>
  <si>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</si>
  <si>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</si>
  <si>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</si>
  <si>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</si>
  <si>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</si>
  <si>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</si>
  <si>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</si>
  <si>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</si>
  <si>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</si>
  <si>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</si>
  <si>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</si>
  <si>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</si>
  <si>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</si>
  <si>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</si>
  <si>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</si>
  <si>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</si>
  <si>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</si>
  <si>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</si>
  <si>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</si>
  <si>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</si>
  <si>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</si>
  <si>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</si>
  <si>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</si>
  <si>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</si>
  <si>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</si>
  <si>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</si>
  <si>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</si>
  <si>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</si>
  <si>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</si>
  <si>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</si>
  <si>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</si>
  <si>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</si>
  <si>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</si>
  <si>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</si>
  <si>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</si>
  <si>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</si>
  <si>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</si>
  <si>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</si>
  <si>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</si>
  <si>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</si>
  <si>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</si>
  <si>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</si>
  <si>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</si>
  <si>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</si>
  <si>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</si>
  <si>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</si>
  <si>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</si>
  <si>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</si>
  <si>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</si>
  <si>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</si>
  <si>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</si>
  <si>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</si>
  <si>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</si>
  <si>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</si>
  <si>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</si>
  <si>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</si>
  <si>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</si>
  <si>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</si>
  <si>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</si>
  <si>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</si>
  <si>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</si>
  <si>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</si>
  <si>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</si>
  <si>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</si>
  <si>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</si>
  <si>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</si>
  <si>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</si>
  <si>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</si>
  <si>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</si>
  <si>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</si>
  <si>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</si>
  <si>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</si>
  <si>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</si>
  <si>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</si>
  <si>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</si>
  <si>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</si>
  <si>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</si>
  <si>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</si>
  <si>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</si>
  <si>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</si>
  <si>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</si>
  <si>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</si>
  <si>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</si>
  <si>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</si>
  <si>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</si>
  <si>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</si>
  <si>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</si>
  <si>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</si>
  <si>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</si>
  <si>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</si>
  <si>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</si>
  <si>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</si>
  <si>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</si>
  <si>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</si>
  <si>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</si>
  <si>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</si>
  <si>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</si>
  <si>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</si>
  <si>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</si>
  <si>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</si>
  <si>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</si>
  <si>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</si>
  <si>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</si>
  <si>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</si>
  <si>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</si>
  <si>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</si>
  <si>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</si>
  <si>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</si>
  <si>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</si>
  <si>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</si>
  <si>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</si>
  <si>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</si>
  <si>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</si>
  <si>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</si>
  <si>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</si>
  <si>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</si>
  <si>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</si>
  <si>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</si>
  <si>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</si>
  <si>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</si>
  <si>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</si>
  <si>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</si>
  <si>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</si>
  <si>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</si>
  <si>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</si>
  <si>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</si>
  <si>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</si>
  <si>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</si>
  <si>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</si>
  <si>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</si>
  <si>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</si>
  <si>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</si>
  <si>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</si>
  <si>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</si>
  <si>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</si>
  <si>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</si>
  <si>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</si>
  <si>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</si>
  <si>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</si>
  <si>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</si>
  <si>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</si>
  <si>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</si>
  <si>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</si>
  <si>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</si>
  <si>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</si>
  <si>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</si>
  <si>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</si>
  <si>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</si>
  <si>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</si>
  <si>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</si>
  <si>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</si>
  <si>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</si>
  <si>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</si>
  <si>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</si>
  <si>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</si>
  <si>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</si>
  <si>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</si>
  <si>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</si>
  <si>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</si>
  <si>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</si>
  <si>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</si>
  <si>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</si>
  <si>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</si>
  <si>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</si>
  <si>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</si>
  <si>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</si>
  <si>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</si>
  <si>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</si>
  <si>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</si>
  <si>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</si>
  <si>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</si>
  <si>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</si>
  <si>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</si>
  <si>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</si>
  <si>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</si>
  <si>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</si>
  <si>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</si>
  <si>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</si>
  <si>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</si>
  <si>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</si>
  <si>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</si>
  <si>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</si>
  <si>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</si>
  <si>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</si>
  <si>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</si>
  <si>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</si>
  <si>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</si>
  <si>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</si>
  <si>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</si>
  <si>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</si>
  <si>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</si>
  <si>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</si>
  <si>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</si>
  <si>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</si>
  <si>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</si>
  <si>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</si>
  <si>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</si>
  <si>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</si>
  <si>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</si>
  <si>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</si>
  <si>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</si>
  <si>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</si>
  <si>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</si>
  <si>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</si>
  <si>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</si>
  <si>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</si>
  <si>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</si>
  <si>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</si>
  <si>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</si>
  <si>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</si>
  <si>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</si>
  <si>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</si>
  <si>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</si>
  <si>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</si>
  <si>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</si>
  <si>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</si>
  <si>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</si>
  <si>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</si>
  <si>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</si>
  <si>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</si>
  <si>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</si>
  <si>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</si>
  <si>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</si>
  <si>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</si>
  <si>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</si>
  <si>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</si>
  <si>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</si>
  <si>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</si>
  <si>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</si>
  <si>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</si>
  <si>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</si>
  <si>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</si>
  <si>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</si>
  <si>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</si>
  <si>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</si>
  <si>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</si>
  <si>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</si>
  <si>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</si>
  <si>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</si>
  <si>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</si>
  <si>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</si>
  <si>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</si>
  <si>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</si>
  <si>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</si>
  <si>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</si>
  <si>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</si>
  <si>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</si>
  <si>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</si>
  <si>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</si>
  <si>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</si>
  <si>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</si>
  <si>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</si>
  <si>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</si>
  <si>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</si>
  <si>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</si>
  <si>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</si>
  <si>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</si>
  <si>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</si>
  <si>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</si>
  <si>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</si>
  <si>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</si>
  <si>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</si>
  <si>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</si>
  <si>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</si>
  <si>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</si>
  <si>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</si>
  <si>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</si>
  <si>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</si>
  <si>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</si>
  <si>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</si>
  <si>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</si>
  <si>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</si>
  <si>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</si>
  <si>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</si>
  <si>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</si>
  <si>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</si>
  <si>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</si>
  <si>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</si>
  <si>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</si>
  <si>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</si>
  <si>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</si>
  <si>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</si>
  <si>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</si>
  <si>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</si>
  <si>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</si>
  <si>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</si>
  <si>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</si>
  <si>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</si>
  <si>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</si>
  <si>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</si>
  <si>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</si>
  <si>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</si>
  <si>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</si>
  <si>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</si>
  <si>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</si>
  <si>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</si>
  <si>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</si>
  <si>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</si>
  <si>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</si>
  <si>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</si>
  <si>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</si>
  <si>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</si>
  <si>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</si>
  <si>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</si>
  <si>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</si>
  <si>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</si>
  <si>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</si>
  <si>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</si>
  <si>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</si>
  <si>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</si>
  <si>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</si>
  <si>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</si>
  <si>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</si>
  <si>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</si>
  <si>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</si>
  <si>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</si>
  <si>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</si>
  <si>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</si>
  <si>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</si>
  <si>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</si>
  <si>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</si>
  <si>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</si>
  <si>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</si>
  <si>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</si>
  <si>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</si>
  <si>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</si>
  <si>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</si>
  <si>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</si>
  <si>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</si>
  <si>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</si>
  <si>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</si>
  <si>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</si>
  <si>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</si>
  <si>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</si>
  <si>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</si>
  <si>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</si>
  <si>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</si>
  <si>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</si>
  <si>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</si>
  <si>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</si>
  <si>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</si>
  <si>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</si>
  <si>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</si>
  <si>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</si>
  <si>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</si>
  <si>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</si>
  <si>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</si>
  <si>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</si>
  <si>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</si>
  <si>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</si>
  <si>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</si>
  <si>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</si>
  <si>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</si>
  <si>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</si>
  <si>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</si>
  <si>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</si>
  <si>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</si>
  <si>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</si>
  <si>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</si>
  <si>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</si>
  <si>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</si>
  <si>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</si>
  <si>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</si>
  <si>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</si>
  <si>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</si>
  <si>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</si>
  <si>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</si>
  <si>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</si>
  <si>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</si>
  <si>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</si>
  <si>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</si>
  <si>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</si>
  <si>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</si>
  <si>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</si>
  <si>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</si>
  <si>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</si>
  <si>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</si>
  <si>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</si>
  <si>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</si>
  <si>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</si>
  <si>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</si>
  <si>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</si>
  <si>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</si>
  <si>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</si>
  <si>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</si>
  <si>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</si>
  <si>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</si>
  <si>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</si>
  <si>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</si>
  <si>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</si>
  <si>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</si>
  <si>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</si>
  <si>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</si>
  <si>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</si>
  <si>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</si>
  <si>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</si>
  <si>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</si>
  <si>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</si>
  <si>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</si>
  <si>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</si>
  <si>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</si>
  <si>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</si>
  <si>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</si>
  <si>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</si>
  <si>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</si>
  <si>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</si>
  <si>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</si>
  <si>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</si>
  <si>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</si>
  <si>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</si>
  <si>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</si>
  <si>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</si>
  <si>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</si>
  <si>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</si>
  <si>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</si>
  <si>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</si>
  <si>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</si>
  <si>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</si>
  <si>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</si>
  <si>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</si>
  <si>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</si>
  <si>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</si>
  <si>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</si>
  <si>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</si>
  <si>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</si>
  <si>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</si>
  <si>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</si>
  <si>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</si>
  <si>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</si>
  <si>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</si>
  <si>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</si>
  <si>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</si>
  <si>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</si>
  <si>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</si>
  <si>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</si>
  <si>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</si>
  <si>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</si>
  <si>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</si>
  <si>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</si>
  <si>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</si>
  <si>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</si>
  <si>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</si>
  <si>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</si>
  <si>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</si>
  <si>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</si>
  <si>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</si>
  <si>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</si>
  <si>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</si>
  <si>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</si>
  <si>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</si>
  <si>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</si>
  <si>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</si>
  <si>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</si>
  <si>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</si>
  <si>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</si>
  <si>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</si>
  <si>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</si>
  <si>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</si>
  <si>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</si>
  <si>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</si>
  <si>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</si>
  <si>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</si>
  <si>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</si>
  <si>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</si>
  <si>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</si>
  <si>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</si>
  <si>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</si>
  <si>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</si>
  <si>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</si>
  <si>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</si>
  <si>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</si>
  <si>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</si>
  <si>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</si>
  <si>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</si>
  <si>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</si>
  <si>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</si>
  <si>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</si>
  <si>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</si>
  <si>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</si>
  <si>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</si>
  <si>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</si>
  <si>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</si>
  <si>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</si>
  <si>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</si>
  <si>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</si>
  <si>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</si>
  <si>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</si>
  <si>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</si>
  <si>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</si>
  <si>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</si>
  <si>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</si>
  <si>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</si>
  <si>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</si>
  <si>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</si>
  <si>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</si>
  <si>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</si>
  <si>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</si>
  <si>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</si>
  <si>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</si>
  <si>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</si>
  <si>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</si>
  <si>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</si>
  <si>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</si>
  <si>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</si>
  <si>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</si>
  <si>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</si>
  <si>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</si>
  <si>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</si>
  <si>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</si>
  <si>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</si>
  <si>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</si>
  <si>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</si>
  <si>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</si>
  <si>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</si>
  <si>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</si>
  <si>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</si>
  <si>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</si>
  <si>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</si>
  <si>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</si>
  <si>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</si>
  <si>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</si>
  <si>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</si>
  <si>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</si>
  <si>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</si>
  <si>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</si>
  <si>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</si>
  <si>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</si>
  <si>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</si>
  <si>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</si>
  <si>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</si>
  <si>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</si>
  <si>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</si>
  <si>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</si>
  <si>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</si>
  <si>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</si>
  <si>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</si>
  <si>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</si>
  <si>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</si>
  <si>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</si>
  <si>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</si>
  <si>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</si>
  <si>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</si>
  <si>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</si>
  <si>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</si>
  <si>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</si>
  <si>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</si>
  <si>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</si>
  <si>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</si>
  <si>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</si>
  <si>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</si>
  <si>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</si>
  <si>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</si>
  <si>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</si>
  <si>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</si>
  <si>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</si>
  <si>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</si>
  <si>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</si>
  <si>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</si>
  <si>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</si>
  <si>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</si>
  <si>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</si>
  <si>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</si>
  <si>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</si>
  <si>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</si>
  <si>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</si>
  <si>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</si>
  <si>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</si>
  <si>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</si>
  <si>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</si>
  <si>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</si>
  <si>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</si>
  <si>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</si>
  <si>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</si>
  <si>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</si>
  <si>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</si>
  <si>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</si>
  <si>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</si>
  <si>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</si>
  <si>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</si>
  <si>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</si>
  <si>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</si>
  <si>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</si>
  <si>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</si>
  <si>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</si>
  <si>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</si>
  <si>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</si>
  <si>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</si>
  <si>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</si>
  <si>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</si>
  <si>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</si>
  <si>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</si>
  <si>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</si>
  <si>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</si>
  <si>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</si>
  <si>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</si>
  <si>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</si>
  <si>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</si>
  <si>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</si>
  <si>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</si>
  <si>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</si>
  <si>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</si>
  <si>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</si>
  <si>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</si>
  <si>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</si>
  <si>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</si>
  <si>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</si>
  <si>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</si>
  <si>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</si>
  <si>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</si>
  <si>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</si>
  <si>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</si>
  <si>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</si>
  <si>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</si>
  <si>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</si>
  <si>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</si>
  <si>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</si>
  <si>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</si>
  <si>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</si>
  <si>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</si>
  <si>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</si>
  <si>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</si>
  <si>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</si>
  <si>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</si>
  <si>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</si>
  <si>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</si>
  <si>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</si>
  <si>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</si>
  <si>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</si>
  <si>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</si>
  <si>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</si>
  <si>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</si>
  <si>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</si>
  <si>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</si>
  <si>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</si>
  <si>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</si>
  <si>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</si>
  <si>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</si>
  <si>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</si>
  <si>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</si>
  <si>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</si>
  <si>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</si>
  <si>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</si>
  <si>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</si>
  <si>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</si>
  <si>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</si>
  <si>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</si>
  <si>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</si>
  <si>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</si>
  <si>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</si>
  <si>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</si>
  <si>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</si>
  <si>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</si>
  <si>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</si>
  <si>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</si>
  <si>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</si>
  <si>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</si>
  <si>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</si>
  <si>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</si>
  <si>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</si>
  <si>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</si>
  <si>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</si>
  <si>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</si>
  <si>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</si>
  <si>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</si>
  <si>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</si>
  <si>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</si>
  <si>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</si>
  <si>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</si>
  <si>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</si>
  <si>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</si>
  <si>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</si>
  <si>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</si>
  <si>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</si>
  <si>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</si>
  <si>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</si>
  <si>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</si>
  <si>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</si>
  <si>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</si>
  <si>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</si>
  <si>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</si>
  <si>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</si>
  <si>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</si>
  <si>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</si>
  <si>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</si>
  <si>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</si>
  <si>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</si>
  <si>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</si>
  <si>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</si>
  <si>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</si>
  <si>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</si>
  <si>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</si>
  <si>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</si>
  <si>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</si>
  <si>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</si>
  <si>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</si>
  <si>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</si>
  <si>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</si>
  <si>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</si>
  <si>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</si>
  <si>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</si>
  <si>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</si>
  <si>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</si>
  <si>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</si>
  <si>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</si>
  <si>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</si>
  <si>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</si>
  <si>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</si>
  <si>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</si>
  <si>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</si>
  <si>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</si>
  <si>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</si>
  <si>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</si>
  <si>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</si>
  <si>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</si>
  <si>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</si>
  <si>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</si>
  <si>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</si>
  <si>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</si>
  <si>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</si>
  <si>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</si>
  <si>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</si>
  <si>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</si>
  <si>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</si>
  <si>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</si>
  <si>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</si>
  <si>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</si>
  <si>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</si>
  <si>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</si>
  <si>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</si>
  <si>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</si>
  <si>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</si>
  <si>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</si>
  <si>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</si>
  <si>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</si>
  <si>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</si>
  <si>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</si>
  <si>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</si>
  <si>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</si>
  <si>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</si>
  <si>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</si>
  <si>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</si>
  <si>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</si>
  <si>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</si>
  <si>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</si>
  <si>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</si>
  <si>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</si>
  <si>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</si>
  <si>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</si>
  <si>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</si>
  <si>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</si>
  <si>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</si>
  <si>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</si>
  <si>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</si>
  <si>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</si>
  <si>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</si>
  <si>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</si>
  <si>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</si>
  <si>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</si>
  <si>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</si>
  <si>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</si>
  <si>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</si>
  <si>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</si>
  <si>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</si>
  <si>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</si>
  <si>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</si>
  <si>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</si>
  <si>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</si>
  <si>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</si>
  <si>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</si>
  <si>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</si>
  <si>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</si>
  <si>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</si>
  <si>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</si>
  <si>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</si>
  <si>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</si>
  <si>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</si>
  <si>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</si>
  <si>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</si>
  <si>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</si>
  <si>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C:\Users\eloi.verge\OneDrive - EUROLEAGUE\Desktop\GAME REPORTS\25-26</t>
  </si>
  <si>
    <t>03:58</t>
  </si>
  <si>
    <t>1</t>
  </si>
  <si>
    <t>10</t>
  </si>
  <si>
    <t>11</t>
  </si>
  <si>
    <t>03:31</t>
  </si>
  <si>
    <t>4</t>
  </si>
  <si>
    <t>80</t>
  </si>
  <si>
    <t>65</t>
  </si>
  <si>
    <t>07:48</t>
  </si>
  <si>
    <t>68</t>
  </si>
  <si>
    <t>56</t>
  </si>
  <si>
    <t>06:55</t>
  </si>
  <si>
    <t>3</t>
  </si>
  <si>
    <t>48</t>
  </si>
  <si>
    <t>40</t>
  </si>
  <si>
    <t>02:03</t>
  </si>
  <si>
    <t>2</t>
  </si>
  <si>
    <t>36</t>
  </si>
  <si>
    <t>28</t>
  </si>
  <si>
    <t>02:18</t>
  </si>
  <si>
    <t>05:48</t>
  </si>
  <si>
    <t>33</t>
  </si>
  <si>
    <t>26</t>
  </si>
  <si>
    <t>06:22</t>
  </si>
  <si>
    <t>31</t>
  </si>
  <si>
    <t>06:40</t>
  </si>
  <si>
    <t>24</t>
  </si>
  <si>
    <t>01:44</t>
  </si>
  <si>
    <t>14</t>
  </si>
  <si>
    <t>13</t>
  </si>
  <si>
    <t>05:24</t>
  </si>
  <si>
    <t>8</t>
  </si>
  <si>
    <t>9</t>
  </si>
  <si>
    <t>07:38</t>
  </si>
  <si>
    <t>7</t>
  </si>
  <si>
    <t>70</t>
  </si>
  <si>
    <t>511</t>
  </si>
  <si>
    <t>460</t>
  </si>
  <si>
    <t>319</t>
  </si>
  <si>
    <t>237</t>
  </si>
  <si>
    <t>236</t>
  </si>
  <si>
    <t>234</t>
  </si>
  <si>
    <t>189</t>
  </si>
  <si>
    <t>183</t>
  </si>
  <si>
    <t>179</t>
  </si>
  <si>
    <t>102</t>
  </si>
  <si>
    <t>45</t>
  </si>
  <si>
    <t>MARCO CONCINA</t>
  </si>
  <si>
    <t>MATTIA DECET</t>
  </si>
  <si>
    <t>RICCARDO PILUTTI</t>
  </si>
  <si>
    <t>DANIELE POSENATO</t>
  </si>
  <si>
    <t>ENRICO TRONCO</t>
  </si>
  <si>
    <t>ELOI VERGE</t>
  </si>
  <si>
    <t xml:space="preserve">Not a bad performance in general, but it was too much different between the 1st half (10 corrections) and the 2nd half (3 corrections). I'm a 100% sure that if you keep the same level of focus that you showed in the 2nd halfa during all the game, the overall performances will be really good.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</si>
</sst>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13_125_VNC_CLU_U2025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125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46029.833333333336</v>
      </c>
      <c r="C3" s="157"/>
      <c r="D3" s="39">
        <v>595</v>
      </c>
      <c r="E3" s="29"/>
      <c r="F3" s="26">
        <f>SUBTOTAL(3,I17:I106)</f>
        <v>13</v>
      </c>
      <c r="G3" s="27">
        <f>IF(OR(D3="",D3=0),"",F3/D3)</f>
        <v>2.1848739495798318E-2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Umana Reyer Venice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VNC</v>
      </c>
      <c r="I4" s="5"/>
      <c r="J4" s="119" t="s">
        <v>714</v>
      </c>
      <c r="K4" s="54" t="s">
        <v>742</v>
      </c>
      <c r="L4" s="5"/>
      <c r="M4" s="167" t="s">
        <v>879</v>
      </c>
      <c r="N4" s="168"/>
      <c r="O4" s="2"/>
      <c r="P4" s="2"/>
      <c r="Q4" s="84" t="s">
        <v>175</v>
      </c>
      <c r="R4" s="94">
        <f>(IF(G3="",0,G3))</f>
        <v>2.1848739495798318E-2</v>
      </c>
      <c r="S4" s="61">
        <f>SUM(I13:M13)</f>
        <v>0</v>
      </c>
      <c r="T4" s="78"/>
      <c r="U4" s="61">
        <f>AC18</f>
        <v>7</v>
      </c>
      <c r="V4" s="61">
        <f>+AC22</f>
        <v>2</v>
      </c>
      <c r="W4" s="61">
        <f>AC24</f>
        <v>1</v>
      </c>
      <c r="X4" s="61">
        <f>AC29</f>
        <v>0</v>
      </c>
      <c r="Y4" s="61">
        <f>AC25</f>
        <v>3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U-BT Cluj-Napoca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CLU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2.1848739495798317</v>
      </c>
      <c r="S5" s="70">
        <f t="shared" ref="S5" si="0">S4*S3</f>
        <v>0</v>
      </c>
      <c r="T5" s="92"/>
      <c r="U5" s="70">
        <f t="shared" ref="U5:AG5" si="1">U4*U3</f>
        <v>3.5</v>
      </c>
      <c r="V5" s="70">
        <f t="shared" si="1"/>
        <v>2</v>
      </c>
      <c r="W5" s="70">
        <f t="shared" si="1"/>
        <v>1</v>
      </c>
      <c r="X5" s="70">
        <f t="shared" si="1"/>
        <v>0</v>
      </c>
      <c r="Y5" s="70">
        <f t="shared" si="1"/>
        <v>6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873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874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14.684873949579831</v>
      </c>
      <c r="N7" s="58"/>
      <c r="O7" s="2"/>
      <c r="P7" s="2"/>
      <c r="Q7" s="86">
        <f>SUM(R5,S5,AC16)</f>
        <v>14.684873949579831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875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14.684873949579831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876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877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125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878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13</v>
      </c>
      <c r="J15" s="24">
        <f>SUBTOTAL(3,J17:J106)</f>
        <v>13</v>
      </c>
      <c r="K15" s="24">
        <f>SUBTOTAL(3,K17:K106)</f>
        <v>13</v>
      </c>
      <c r="L15" s="24">
        <f>SUBTOTAL(3,L17:L106)</f>
        <v>13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13</v>
      </c>
      <c r="Z16" s="90" t="s">
        <v>110</v>
      </c>
      <c r="AA16" s="75">
        <f>SUM(AA17:AA24)</f>
        <v>13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12.5</v>
      </c>
      <c r="AD16" s="75">
        <f>SUM(AD17:AD24)</f>
        <v>45</v>
      </c>
      <c r="AE16" s="76" t="s">
        <v>42</v>
      </c>
      <c r="AF16" s="75">
        <f>SUM(AF17:AF24)</f>
        <v>9</v>
      </c>
      <c r="AG16" s="75">
        <f>SUM(AG17:AG21)</f>
        <v>13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125</v>
      </c>
      <c r="D17" s="32" t="s">
        <v>826</v>
      </c>
      <c r="E17" s="33" t="s">
        <v>827</v>
      </c>
      <c r="F17" s="36" t="s">
        <v>828</v>
      </c>
      <c r="G17" s="36" t="s">
        <v>829</v>
      </c>
      <c r="H17" s="38" t="str">
        <f>IF(I17="","",$I$14)</f>
        <v>SCOUTING</v>
      </c>
      <c r="I17" s="34" t="s">
        <v>861</v>
      </c>
      <c r="J17" s="13" t="s">
        <v>4</v>
      </c>
      <c r="K17" s="13" t="s">
        <v>62</v>
      </c>
      <c r="L17" s="13" t="s">
        <v>47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13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125</v>
      </c>
      <c r="D18" s="32" t="s">
        <v>830</v>
      </c>
      <c r="E18" s="33" t="s">
        <v>831</v>
      </c>
      <c r="F18" s="36" t="s">
        <v>832</v>
      </c>
      <c r="G18" s="36" t="s">
        <v>833</v>
      </c>
      <c r="H18" s="38" t="str">
        <f t="shared" ref="H18:H81" si="8">IF(I18="","",$I$14)</f>
        <v>SCOUTING</v>
      </c>
      <c r="I18" s="34" t="s">
        <v>862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10</v>
      </c>
      <c r="AB18" s="66" t="s">
        <v>5</v>
      </c>
      <c r="AC18" s="61">
        <f t="shared" si="5"/>
        <v>7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6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125</v>
      </c>
      <c r="D19" s="32" t="s">
        <v>834</v>
      </c>
      <c r="E19" s="33" t="s">
        <v>831</v>
      </c>
      <c r="F19" s="36" t="s">
        <v>835</v>
      </c>
      <c r="G19" s="36" t="s">
        <v>836</v>
      </c>
      <c r="H19" s="38" t="str">
        <f t="shared" si="8"/>
        <v>SCOUTING</v>
      </c>
      <c r="I19" s="34" t="s">
        <v>863</v>
      </c>
      <c r="J19" s="13" t="s">
        <v>4</v>
      </c>
      <c r="K19" s="13" t="s">
        <v>62</v>
      </c>
      <c r="L19" s="13" t="s">
        <v>6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125</v>
      </c>
      <c r="D20" s="32" t="s">
        <v>837</v>
      </c>
      <c r="E20" s="33" t="s">
        <v>838</v>
      </c>
      <c r="F20" s="36" t="s">
        <v>839</v>
      </c>
      <c r="G20" s="36" t="s">
        <v>840</v>
      </c>
      <c r="H20" s="38" t="str">
        <f t="shared" si="8"/>
        <v>SCOUTING</v>
      </c>
      <c r="I20" s="34" t="s">
        <v>864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5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125</v>
      </c>
      <c r="D21" s="32" t="s">
        <v>841</v>
      </c>
      <c r="E21" s="33" t="s">
        <v>842</v>
      </c>
      <c r="F21" s="36" t="s">
        <v>843</v>
      </c>
      <c r="G21" s="36" t="s">
        <v>844</v>
      </c>
      <c r="H21" s="38" t="str">
        <f t="shared" si="8"/>
        <v>SCOUTING</v>
      </c>
      <c r="I21" s="34" t="s">
        <v>865</v>
      </c>
      <c r="J21" s="13" t="s">
        <v>4</v>
      </c>
      <c r="K21" s="13" t="s">
        <v>62</v>
      </c>
      <c r="L21" s="13" t="s">
        <v>6</v>
      </c>
      <c r="M21" s="13" t="s">
        <v>22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125</v>
      </c>
      <c r="D22" s="32" t="s">
        <v>841</v>
      </c>
      <c r="E22" s="33" t="s">
        <v>842</v>
      </c>
      <c r="F22" s="36" t="s">
        <v>843</v>
      </c>
      <c r="G22" s="36" t="s">
        <v>844</v>
      </c>
      <c r="H22" s="38" t="str">
        <f t="shared" si="8"/>
        <v>SCOUTING</v>
      </c>
      <c r="I22" s="34" t="s">
        <v>866</v>
      </c>
      <c r="J22" s="13" t="s">
        <v>4</v>
      </c>
      <c r="K22" s="13" t="s">
        <v>63</v>
      </c>
      <c r="L22" s="13" t="s">
        <v>48</v>
      </c>
      <c r="M22" s="13" t="s">
        <v>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125</v>
      </c>
      <c r="D23" s="32" t="s">
        <v>845</v>
      </c>
      <c r="E23" s="33" t="s">
        <v>842</v>
      </c>
      <c r="F23" s="36" t="s">
        <v>843</v>
      </c>
      <c r="G23" s="36" t="s">
        <v>844</v>
      </c>
      <c r="H23" s="38" t="str">
        <f t="shared" si="8"/>
        <v>SCOUTING</v>
      </c>
      <c r="I23" s="34" t="s">
        <v>867</v>
      </c>
      <c r="J23" s="13" t="s">
        <v>4</v>
      </c>
      <c r="K23" s="13" t="s">
        <v>62</v>
      </c>
      <c r="L23" s="13" t="s">
        <v>5</v>
      </c>
      <c r="M23" s="13" t="s">
        <v>168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125</v>
      </c>
      <c r="D24" s="32" t="s">
        <v>846</v>
      </c>
      <c r="E24" s="33" t="s">
        <v>842</v>
      </c>
      <c r="F24" s="36" t="s">
        <v>847</v>
      </c>
      <c r="G24" s="36" t="s">
        <v>848</v>
      </c>
      <c r="H24" s="38" t="str">
        <f t="shared" si="8"/>
        <v>SCOUTING</v>
      </c>
      <c r="I24" s="34" t="s">
        <v>868</v>
      </c>
      <c r="J24" s="13" t="s">
        <v>4</v>
      </c>
      <c r="K24" s="13" t="s">
        <v>62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125</v>
      </c>
      <c r="D25" s="32" t="s">
        <v>849</v>
      </c>
      <c r="E25" s="33" t="s">
        <v>842</v>
      </c>
      <c r="F25" s="36" t="s">
        <v>850</v>
      </c>
      <c r="G25" s="36" t="s">
        <v>848</v>
      </c>
      <c r="H25" s="38" t="str">
        <f t="shared" si="8"/>
        <v>SCOUTING</v>
      </c>
      <c r="I25" s="34" t="s">
        <v>869</v>
      </c>
      <c r="J25" s="13" t="s">
        <v>4</v>
      </c>
      <c r="K25" s="13" t="s">
        <v>62</v>
      </c>
      <c r="L25" s="13" t="s">
        <v>5</v>
      </c>
      <c r="M25" s="13" t="s">
        <v>9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3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125</v>
      </c>
      <c r="D26" s="32" t="s">
        <v>851</v>
      </c>
      <c r="E26" s="33" t="s">
        <v>842</v>
      </c>
      <c r="F26" s="36" t="s">
        <v>850</v>
      </c>
      <c r="G26" s="36" t="s">
        <v>852</v>
      </c>
      <c r="H26" s="38" t="str">
        <f t="shared" si="8"/>
        <v>SCOUTING</v>
      </c>
      <c r="I26" s="34" t="s">
        <v>870</v>
      </c>
      <c r="J26" s="13" t="s">
        <v>4</v>
      </c>
      <c r="K26" s="13" t="s">
        <v>63</v>
      </c>
      <c r="L26" s="13" t="s">
        <v>48</v>
      </c>
      <c r="M26" s="13" t="s">
        <v>28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125</v>
      </c>
      <c r="D27" s="32" t="s">
        <v>853</v>
      </c>
      <c r="E27" s="33" t="s">
        <v>827</v>
      </c>
      <c r="F27" s="36" t="s">
        <v>854</v>
      </c>
      <c r="G27" s="36" t="s">
        <v>855</v>
      </c>
      <c r="H27" s="38" t="str">
        <f t="shared" si="8"/>
        <v>SCOUTING</v>
      </c>
      <c r="I27" s="34" t="s">
        <v>871</v>
      </c>
      <c r="J27" s="13" t="s">
        <v>4</v>
      </c>
      <c r="K27" s="13" t="s">
        <v>62</v>
      </c>
      <c r="L27" s="13" t="s">
        <v>48</v>
      </c>
      <c r="M27" s="13" t="s">
        <v>168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U2025</v>
      </c>
      <c r="C28" s="31">
        <f t="shared" si="3"/>
        <v>125</v>
      </c>
      <c r="D28" s="32" t="s">
        <v>856</v>
      </c>
      <c r="E28" s="33" t="s">
        <v>827</v>
      </c>
      <c r="F28" s="36" t="s">
        <v>857</v>
      </c>
      <c r="G28" s="36" t="s">
        <v>858</v>
      </c>
      <c r="H28" s="38" t="str">
        <f t="shared" si="8"/>
        <v>SCOUTING</v>
      </c>
      <c r="I28" s="34" t="s">
        <v>872</v>
      </c>
      <c r="J28" s="13" t="s">
        <v>4</v>
      </c>
      <c r="K28" s="13" t="s">
        <v>62</v>
      </c>
      <c r="L28" s="13" t="s">
        <v>5</v>
      </c>
      <c r="M28" s="13" t="s">
        <v>168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U2025</v>
      </c>
      <c r="C29" s="31">
        <f t="shared" si="3"/>
        <v>125</v>
      </c>
      <c r="D29" s="32" t="s">
        <v>859</v>
      </c>
      <c r="E29" s="33" t="s">
        <v>827</v>
      </c>
      <c r="F29" s="36" t="s">
        <v>831</v>
      </c>
      <c r="G29" s="36" t="s">
        <v>860</v>
      </c>
      <c r="H29" s="38" t="str">
        <f t="shared" si="8"/>
        <v>SCOUTING</v>
      </c>
      <c r="I29" s="34" t="s">
        <v>852</v>
      </c>
      <c r="J29" s="13" t="s">
        <v>4</v>
      </c>
      <c r="K29" s="13" t="s">
        <v>63</v>
      </c>
      <c r="L29" s="13" t="s">
        <v>5</v>
      </c>
      <c r="M29" s="13" t="s">
        <v>168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REPORT_U2025125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"U2025125"</v>
      </c>
      <c r="F3" s="45" t="str">
        <f t="shared" ref="F3:F16" si="0">""""&amp;B3&amp;"""" &amp; " : " &amp;C3&amp;","</f>
        <v>"name" : "U2025125",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"U125"</v>
      </c>
      <c r="F4" s="45" t="str">
        <f t="shared" si="0"/>
        <v>"cod" : "U125",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125</v>
      </c>
      <c r="F6" s="45" t="str">
        <f t="shared" si="0"/>
        <v>"number" : 125,</v>
      </c>
    </row>
    <row r="7" spans="2:6" x14ac:dyDescent="0.25">
      <c r="B7" s="43" t="s">
        <v>116</v>
      </c>
      <c r="C7" s="43" t="str">
        <f ca="1">""""&amp;TEXT('SCOUT &amp; LOGISTICS'!B3,"dd/mm/aaaa")&amp;""""</f>
        <v>"07/01/2026"</v>
      </c>
      <c r="F7" s="45" t="str">
        <f t="shared" ca="1" si="0"/>
        <v>"date" : "07/01/2026",</v>
      </c>
    </row>
    <row r="8" spans="2:6" x14ac:dyDescent="0.25">
      <c r="B8" s="43" t="s">
        <v>125</v>
      </c>
      <c r="C8" s="43" t="str">
        <f>""""&amp;'SCOUT &amp; LOGISTICS'!D4 &amp;""""</f>
        <v>"Umana Reyer Venice"</v>
      </c>
      <c r="F8" s="45" t="str">
        <f t="shared" si="0"/>
        <v>"home_team" : "Umana Reyer Venice",</v>
      </c>
    </row>
    <row r="9" spans="2:6" x14ac:dyDescent="0.25">
      <c r="B9" s="43" t="s">
        <v>126</v>
      </c>
      <c r="C9" s="43" t="str">
        <f>""""&amp;'SCOUT &amp; LOGISTICS'!D5&amp;""""</f>
        <v>"U-BT Cluj-Napoca"</v>
      </c>
      <c r="F9" s="45" t="str">
        <f t="shared" si="0"/>
        <v>"away_team" : "U-BT Cluj-Napoca",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"MARCO CONCINA"</v>
      </c>
      <c r="F10" s="45" t="str">
        <f t="shared" si="0"/>
        <v>"Data_entry" : "MARCO CONCINA",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"MATTIA DECET"</v>
      </c>
      <c r="F11" s="45" t="str">
        <f t="shared" si="0"/>
        <v>"Caller_1" : "MATTIA DECET",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"RICCARDO PILUTTI"</v>
      </c>
      <c r="F12" s="45" t="str">
        <f t="shared" si="0"/>
        <v>"Caller_2" : "RICCARDO PILUTTI",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"DANIELE POSENATO"</v>
      </c>
      <c r="F13" s="45" t="str">
        <f t="shared" si="0"/>
        <v>"Timerkeeper" : "DANIELE POSENATO",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"ENRICO TRONCO"</v>
      </c>
      <c r="F14" s="45" t="str">
        <f t="shared" si="0"/>
        <v>"Shotclock" : "ENRICO TRONCO",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595</v>
      </c>
      <c r="F25" s="45" t="str">
        <f t="shared" ref="F25:F48" si="1">""""&amp;C25&amp;"""" &amp; " : " &amp;D25&amp;","</f>
        <v>"total_actions" : 595,</v>
      </c>
    </row>
    <row r="26" spans="2:6" x14ac:dyDescent="0.25">
      <c r="C26" s="43" t="s">
        <v>132</v>
      </c>
      <c r="D26" s="43">
        <f>'SCOUT &amp; LOGISTICS'!F3</f>
        <v>13</v>
      </c>
      <c r="F26" s="45" t="str">
        <f t="shared" si="1"/>
        <v>"total_correcions" : 13,</v>
      </c>
    </row>
    <row r="27" spans="2:6" x14ac:dyDescent="0.25">
      <c r="C27" s="43" t="s">
        <v>133</v>
      </c>
      <c r="D27" s="43" t="str">
        <f>""""&amp;IF(OR(D25="",D25=0),"",TEXT(D26/D25,"0,0%"))&amp;""""</f>
        <v>"2,2%"</v>
      </c>
      <c r="F27" s="45" t="str">
        <f t="shared" si="1"/>
        <v>"%_corrections" : "2,2%",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10</v>
      </c>
      <c r="F29" s="45" t="str">
        <f t="shared" si="1"/>
        <v>"no_team" : 10,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6</v>
      </c>
      <c r="F32" s="45" t="str">
        <f t="shared" si="1"/>
        <v>"q2" : 6,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13</v>
      </c>
      <c r="F37" s="45" t="str">
        <f t="shared" si="1"/>
        <v>"scoresheet_corrections" : 13,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7</v>
      </c>
      <c r="F39" s="45" t="str">
        <f t="shared" si="1"/>
        <v>"missidentity" : 7,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"Not a bad performance in general, but it was too much different between the 1st half (10 corrections) and the 2nd half (3 corrections). I'm a 100% sure that if you keep the same level of focus that you showed in the 2nd halfa during all the game, the overall performances will be really good. "</v>
      </c>
      <c r="F51" s="45" t="str">
        <f>""""&amp;B51&amp;"""" &amp; " : " &amp;C51&amp;","</f>
        <v>"comments" : "Not a bad performance in general, but it was too much different between the 1st half (10 corrections) and the 2nd half (3 corrections). I'm a 100% sure that if you keep the same level of focus that you showed in the 2nd halfa during all the game, the overall performances will be really good. ",</v>
      </c>
    </row>
    <row r="52" spans="2:6" x14ac:dyDescent="0.25">
      <c r="B52" s="43" t="s">
        <v>153</v>
      </c>
      <c r="C52" s="43" t="str">
        <f>TEXT('SCOUT &amp; LOGISTICS'!F1,"0,0")</f>
        <v>13_125_VNC_CLU_U2025</v>
      </c>
      <c r="F52" s="45" t="str">
        <f>""""&amp;B52&amp;"""" &amp; " : " &amp;C52</f>
        <v>"result" : 13_125_VNC_CLU_U2025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U125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07/01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Umana Reyer Venice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U-Bt Cluj-Napoca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MARCO CONCINA</v>
      </c>
      <c r="C8" s="206"/>
      <c r="D8" s="206"/>
      <c r="E8" s="206"/>
      <c r="F8" s="206"/>
      <c r="G8" s="206" t="str">
        <f>IF('SCOUT &amp; LOGISTICS'!D7="","",'SCOUT &amp; LOGISTICS'!D7)</f>
        <v>MATTIA DECET</v>
      </c>
      <c r="H8" s="206"/>
      <c r="I8" s="206"/>
      <c r="J8" s="206"/>
      <c r="K8" s="206"/>
      <c r="L8" s="206" t="str">
        <f>IF('SCOUT &amp; LOGISTICS'!D8="","",'SCOUT &amp; LOGISTICS'!D8)</f>
        <v>RICCARDO PILUTTI</v>
      </c>
      <c r="M8" s="206"/>
      <c r="N8" s="206"/>
      <c r="O8" s="206"/>
      <c r="P8" s="206"/>
      <c r="Q8" s="206" t="str">
        <f>IF('SCOUT &amp; LOGISTICS'!D9="","",'SCOUT &amp; LOGISTICS'!D9)</f>
        <v>DANIELE POSENATO</v>
      </c>
      <c r="R8" s="206"/>
      <c r="S8" s="206"/>
      <c r="T8" s="206"/>
      <c r="U8" s="206"/>
      <c r="V8" s="206" t="str">
        <f>IF('SCOUT &amp; LOGISTICS'!D10="","",'SCOUT &amp; LOGISTICS'!D10)</f>
        <v>ENRICO TRONCO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595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2.1848739495798318E-2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6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13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7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3</v>
      </c>
      <c r="C29" s="197"/>
      <c r="D29" s="197"/>
      <c r="E29" s="197"/>
      <c r="F29" s="197"/>
      <c r="G29" s="197">
        <f>'SCOUT &amp; LOGISTICS'!AC24</f>
        <v>1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 xml:space="preserve">Not a bad performance in general, but it was too much different between the 1st half (10 corrections) and the 2nd half (3 corrections). I'm a 100% sure that if you keep the same level of focus that you showed in the 2nd halfa during all the game, the overall performances will be really good.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14.684873949579831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F8A49CB-BC6F-448A-AE43-2CF4C211CDB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2026-01-06T20:35:47Z</cp:lastPrinted>
  <dcterms:created xsi:type="dcterms:W3CDTF">2023-09-19T19:50:35Z</dcterms:created>
  <dcterms:modified xsi:type="dcterms:W3CDTF">2026-01-08T21:23:00Z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