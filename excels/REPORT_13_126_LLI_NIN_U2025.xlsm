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21" documentId="8_{F6C532D9-7173-481E-97EB-A073FE598CC1}" xr6:coauthVersionLast="47" xr6:coauthVersionMax="47" xr10:uidLastSave="{01B332A8-DACA-4756-8B2C-92C441B08825}"/>
  <bookViews>
    <workbookView xWindow="-30" yWindow="-16200" windowWidth="28875" windowHeight="15585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<sst xmlns="http://schemas.openxmlformats.org/spreadsheetml/2006/main" count="3332" uniqueCount="834">
  <si>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</si>
  <si>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</si>
  <si>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</si>
  <si>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</si>
  <si>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</si>
  <si>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</si>
  <si>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</si>
  <si>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</si>
  <si>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</si>
  <si>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</si>
  <si>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</si>
  <si>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</si>
  <si>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</si>
  <si>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</si>
  <si>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</si>
  <si>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</si>
  <si>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</si>
  <si>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</si>
  <si>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</si>
  <si>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</si>
  <si>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</si>
  <si>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</si>
  <si>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</si>
  <si>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</si>
  <si>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</si>
  <si>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</si>
  <si>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</si>
  <si>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</si>
  <si>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</si>
  <si>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</si>
  <si>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</si>
  <si>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</si>
  <si>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</si>
  <si>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</si>
  <si>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</si>
  <si>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</si>
  <si>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</si>
  <si>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</si>
  <si>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</si>
  <si>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</si>
  <si>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</si>
  <si>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</si>
  <si>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</si>
  <si>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</si>
  <si>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</si>
  <si>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</si>
  <si>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</si>
  <si>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</si>
  <si>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</si>
  <si>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</si>
  <si>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</si>
  <si>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</si>
  <si>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</si>
  <si>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</si>
  <si>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</si>
  <si>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</si>
  <si>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</si>
  <si>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</si>
  <si>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</si>
  <si>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</si>
  <si>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</si>
  <si>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</si>
  <si>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</si>
  <si>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</si>
  <si>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</si>
  <si>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</si>
  <si>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</si>
  <si>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</si>
  <si>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</si>
  <si>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</si>
  <si>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</si>
  <si>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</si>
  <si>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</si>
  <si>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</si>
  <si>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</si>
  <si>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</si>
  <si>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</si>
  <si>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</si>
  <si>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</si>
  <si>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</si>
  <si>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</si>
  <si>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</si>
  <si>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</si>
  <si>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</si>
  <si>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</si>
  <si>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</si>
  <si>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</si>
  <si>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</si>
  <si>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</si>
  <si>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</si>
  <si>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</si>
  <si>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</si>
  <si>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</si>
  <si>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</si>
  <si>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</si>
  <si>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</si>
  <si>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</si>
  <si>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</si>
  <si>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</si>
  <si>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</si>
  <si>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</si>
  <si>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</si>
  <si>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</si>
  <si>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</si>
  <si>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</si>
  <si>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</si>
  <si>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</si>
  <si>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</si>
  <si>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</si>
  <si>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</si>
  <si>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</si>
  <si>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</si>
  <si>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</si>
  <si>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</si>
  <si>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</si>
  <si>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</si>
  <si>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</si>
  <si>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</si>
  <si>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</si>
  <si>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</si>
  <si>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</si>
  <si>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</si>
  <si>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</si>
  <si>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</si>
  <si>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</si>
  <si>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</si>
  <si>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</si>
  <si>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</si>
  <si>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</si>
  <si>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</si>
  <si>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</si>
  <si>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</si>
  <si>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</si>
  <si>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</si>
  <si>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</si>
  <si>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</si>
  <si>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</si>
  <si>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</si>
  <si>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</si>
  <si>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</si>
  <si>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</si>
  <si>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</si>
  <si>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</si>
  <si>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</si>
  <si>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</si>
  <si>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</si>
  <si>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</si>
  <si>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</si>
  <si>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</si>
  <si>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</si>
  <si>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</si>
  <si>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</si>
  <si>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</si>
  <si>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</si>
  <si>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</si>
  <si>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</si>
  <si>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</si>
  <si>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</si>
  <si>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</si>
  <si>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</si>
  <si>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</si>
  <si>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</si>
  <si>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</si>
  <si>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</si>
  <si>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</si>
  <si>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</si>
  <si>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</si>
  <si>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</si>
  <si>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</si>
  <si>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</si>
  <si>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</si>
  <si>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</si>
  <si>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</si>
  <si>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</si>
  <si>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</si>
  <si>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</si>
  <si>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</si>
  <si>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</si>
  <si>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</si>
  <si>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</si>
  <si>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</si>
  <si>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</si>
  <si>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</si>
  <si>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</si>
  <si>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</si>
  <si>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</si>
  <si>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</si>
  <si>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</si>
  <si>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</si>
  <si>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</si>
  <si>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</si>
  <si>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</si>
  <si>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</si>
  <si>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</si>
  <si>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</si>
  <si>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</si>
  <si>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</si>
  <si>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</si>
  <si>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</si>
  <si>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</si>
  <si>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</si>
  <si>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</si>
  <si>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</si>
  <si>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</si>
  <si>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</si>
  <si>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</si>
  <si>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</si>
  <si>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</si>
  <si>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</si>
  <si>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</si>
  <si>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</si>
  <si>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</si>
  <si>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</si>
  <si>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</si>
  <si>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</si>
  <si>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</si>
  <si>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</si>
  <si>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</si>
  <si>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</si>
  <si>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</si>
  <si>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</si>
  <si>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</si>
  <si>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</si>
  <si>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</si>
  <si>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</si>
  <si>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</si>
  <si>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</si>
  <si>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</si>
  <si>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</si>
  <si>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</si>
  <si>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</si>
  <si>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</si>
  <si>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</si>
  <si>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</si>
  <si>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</si>
  <si>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</si>
  <si>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</si>
  <si>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</si>
  <si>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</si>
  <si>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</si>
  <si>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</si>
  <si>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</si>
  <si>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</si>
  <si>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</si>
  <si>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</si>
  <si>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</si>
  <si>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</si>
  <si>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</si>
  <si>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</si>
  <si>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</si>
  <si>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</si>
  <si>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</si>
  <si>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</si>
  <si>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</si>
  <si>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</si>
  <si>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</si>
  <si>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</si>
  <si>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</si>
  <si>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</si>
  <si>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</si>
  <si>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</si>
  <si>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</si>
  <si>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</si>
  <si>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</si>
  <si>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</si>
  <si>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</si>
  <si>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</si>
  <si>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</si>
  <si>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</si>
  <si>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</si>
  <si>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</si>
  <si>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</si>
  <si>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</si>
  <si>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</si>
  <si>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</si>
  <si>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</si>
  <si>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</si>
  <si>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</si>
  <si>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</si>
  <si>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</si>
  <si>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</si>
  <si>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</si>
  <si>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</si>
  <si>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</si>
  <si>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</si>
  <si>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</si>
  <si>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</si>
  <si>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</si>
  <si>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</si>
  <si>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</si>
  <si>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</si>
  <si>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</si>
  <si>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</si>
  <si>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</si>
  <si>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</si>
  <si>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</si>
  <si>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</si>
  <si>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</si>
  <si>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</si>
  <si>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</si>
  <si>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</si>
  <si>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</si>
  <si>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</si>
  <si>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</si>
  <si>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</si>
  <si>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</si>
  <si>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</si>
  <si>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</si>
  <si>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</si>
  <si>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</si>
  <si>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</si>
  <si>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</si>
  <si>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</si>
  <si>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</si>
  <si>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</si>
  <si>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</si>
  <si>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</si>
  <si>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</si>
  <si>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</si>
  <si>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</si>
  <si>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</si>
  <si>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</si>
  <si>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</si>
  <si>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</si>
  <si>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</si>
  <si>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</si>
  <si>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</si>
  <si>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</si>
  <si>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</si>
  <si>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</si>
  <si>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</si>
  <si>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</si>
  <si>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</si>
  <si>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</si>
  <si>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</si>
  <si>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</si>
  <si>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</si>
  <si>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</si>
  <si>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</si>
  <si>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</si>
  <si>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</si>
  <si>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</si>
  <si>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</si>
  <si>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</si>
  <si>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</si>
  <si>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</si>
  <si>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</si>
  <si>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</si>
  <si>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</si>
  <si>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</si>
  <si>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</si>
  <si>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</si>
  <si>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</si>
  <si>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</si>
  <si>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</si>
  <si>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</si>
  <si>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</si>
  <si>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</si>
  <si>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</si>
  <si>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</si>
  <si>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</si>
  <si>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</si>
  <si>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</si>
  <si>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</si>
  <si>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</si>
  <si>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</si>
  <si>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</si>
  <si>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</si>
  <si>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</si>
  <si>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</si>
  <si>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</si>
  <si>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</si>
  <si>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</si>
  <si>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</si>
  <si>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</si>
  <si>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</si>
  <si>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</si>
  <si>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</si>
  <si>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</si>
  <si>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</si>
  <si>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</si>
  <si>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</si>
  <si>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</si>
  <si>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</si>
  <si>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</si>
  <si>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</si>
  <si>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</si>
  <si>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</si>
  <si>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</si>
  <si>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</si>
  <si>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</si>
  <si>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</si>
  <si>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</si>
  <si>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</si>
  <si>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</si>
  <si>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</si>
  <si>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</si>
  <si>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</si>
  <si>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</si>
  <si>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</si>
  <si>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</si>
  <si>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</si>
  <si>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</si>
  <si>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</si>
  <si>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</si>
  <si>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</si>
  <si>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</si>
  <si>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</si>
  <si>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</si>
  <si>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</si>
  <si>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</si>
  <si>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</si>
  <si>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</si>
  <si>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</si>
  <si>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</si>
  <si>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</si>
  <si>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</si>
  <si>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</si>
  <si>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</si>
  <si>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</si>
  <si>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</si>
  <si>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</si>
  <si>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</si>
  <si>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</si>
  <si>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</si>
  <si>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</si>
  <si>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</si>
  <si>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</si>
  <si>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</si>
  <si>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</si>
  <si>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</si>
  <si>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</si>
  <si>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</si>
  <si>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</si>
  <si>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</si>
  <si>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</si>
  <si>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</si>
  <si>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</si>
  <si>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</si>
  <si>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</si>
  <si>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</si>
  <si>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</si>
  <si>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</si>
  <si>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</si>
  <si>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</si>
  <si>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</si>
  <si>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</si>
  <si>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</si>
  <si>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</si>
  <si>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</si>
  <si>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</si>
  <si>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</si>
  <si>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</si>
  <si>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</si>
  <si>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</si>
  <si>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</si>
  <si>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</si>
  <si>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</si>
  <si>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</si>
  <si>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</si>
  <si>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</si>
  <si>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</si>
  <si>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</si>
  <si>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</si>
  <si>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</si>
  <si>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</si>
  <si>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</si>
  <si>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</si>
  <si>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</si>
  <si>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</si>
  <si>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</si>
  <si>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</si>
  <si>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</si>
  <si>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</si>
  <si>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</si>
  <si>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</si>
  <si>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</si>
  <si>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</si>
  <si>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</si>
  <si>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</si>
  <si>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</si>
  <si>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</si>
  <si>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</si>
  <si>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</si>
  <si>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</si>
  <si>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</si>
  <si>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</si>
  <si>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</si>
  <si>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</si>
  <si>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</si>
  <si>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</si>
  <si>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</si>
  <si>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</si>
  <si>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</si>
  <si>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</si>
  <si>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</si>
  <si>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</si>
  <si>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</si>
  <si>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</si>
  <si>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</si>
  <si>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</si>
  <si>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</si>
  <si>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</si>
  <si>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</si>
  <si>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</si>
  <si>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</si>
  <si>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</si>
  <si>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</si>
  <si>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</si>
  <si>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</si>
  <si>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</si>
  <si>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</si>
  <si>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</si>
  <si>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</si>
  <si>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</si>
  <si>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</si>
  <si>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</si>
  <si>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</si>
  <si>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</si>
  <si>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</si>
  <si>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</si>
  <si>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</si>
  <si>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</si>
  <si>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</si>
  <si>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</si>
  <si>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</si>
  <si>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</si>
  <si>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</si>
  <si>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</si>
  <si>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</si>
  <si>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</si>
  <si>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</si>
  <si>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</si>
  <si>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</si>
  <si>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</si>
  <si>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</si>
  <si>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</si>
  <si>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</si>
  <si>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</si>
  <si>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</si>
  <si>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</si>
  <si>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</si>
  <si>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</si>
  <si>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</si>
  <si>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</si>
  <si>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</si>
  <si>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</si>
  <si>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</si>
  <si>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</si>
  <si>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</si>
  <si>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</si>
  <si>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</si>
  <si>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</si>
  <si>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</si>
  <si>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</si>
  <si>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</si>
  <si>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</si>
  <si>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</si>
  <si>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</si>
  <si>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</si>
  <si>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</si>
  <si>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</si>
  <si>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</si>
  <si>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</si>
  <si>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</si>
  <si>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</si>
  <si>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</si>
  <si>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</si>
  <si>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</si>
  <si>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</si>
  <si>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</si>
  <si>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</si>
  <si>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</si>
  <si>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</si>
  <si>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</si>
  <si>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</si>
  <si>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</si>
  <si>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</si>
  <si>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</si>
  <si>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</si>
  <si>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</si>
  <si>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</si>
  <si>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</si>
  <si>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</si>
  <si>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</si>
  <si>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</si>
  <si>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</si>
  <si>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</si>
  <si>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</si>
  <si>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</si>
  <si>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</si>
  <si>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</si>
  <si>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</si>
  <si>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</si>
  <si>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</si>
  <si>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</si>
  <si>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</si>
  <si>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</si>
  <si>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</si>
  <si>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</si>
  <si>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</si>
  <si>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</si>
  <si>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</si>
  <si>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</si>
  <si>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</si>
  <si>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</si>
  <si>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</si>
  <si>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</si>
  <si>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</si>
  <si>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</si>
  <si>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</si>
  <si>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</si>
  <si>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</si>
  <si>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</si>
  <si>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</si>
  <si>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</si>
  <si>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</si>
  <si>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</si>
  <si>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</si>
  <si>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</si>
  <si>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</si>
  <si>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</si>
  <si>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</si>
  <si>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</si>
  <si>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</si>
  <si>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</si>
  <si>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</si>
  <si>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</si>
  <si>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</si>
  <si>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</si>
  <si>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</si>
  <si>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</si>
  <si>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</si>
  <si>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</si>
  <si>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</si>
  <si>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</si>
  <si>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</si>
  <si>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</si>
  <si>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</si>
  <si>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</si>
  <si>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</si>
  <si>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</si>
  <si>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</si>
  <si>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</si>
  <si>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</si>
  <si>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</si>
  <si>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</si>
  <si>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</si>
  <si>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</si>
  <si>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</si>
  <si>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</si>
  <si>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</si>
  <si>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</si>
  <si>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</si>
  <si>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</si>
  <si>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</si>
  <si>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</si>
  <si>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</si>
  <si>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</si>
  <si>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</si>
  <si>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</si>
  <si>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</si>
  <si>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</si>
  <si>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</si>
  <si>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</si>
  <si>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</si>
  <si>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</si>
  <si>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</si>
  <si>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</si>
  <si>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</si>
  <si>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</si>
  <si>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</si>
  <si>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</si>
  <si>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</si>
  <si>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</si>
  <si>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</si>
  <si>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</si>
  <si>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</si>
  <si>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</si>
  <si>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</si>
  <si>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</si>
  <si>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</si>
  <si>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</si>
  <si>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</si>
  <si>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</si>
  <si>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</si>
  <si>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</si>
  <si>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</si>
  <si>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</si>
  <si>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</si>
  <si>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</si>
  <si>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</si>
  <si>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</si>
  <si>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</si>
  <si>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</si>
  <si>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</si>
  <si>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</si>
  <si>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</si>
  <si>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</si>
  <si>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</si>
  <si>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</si>
  <si>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</si>
  <si>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</si>
  <si>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</si>
  <si>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</si>
  <si>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</si>
  <si>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</si>
  <si>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</si>
  <si>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</si>
  <si>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</si>
  <si>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</si>
  <si>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</si>
  <si>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</si>
  <si>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</si>
  <si>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</si>
  <si>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</si>
  <si>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</si>
  <si>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</si>
  <si>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</si>
  <si>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</si>
  <si>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</si>
  <si>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</si>
  <si>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</si>
  <si>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</si>
  <si>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</si>
  <si>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</si>
  <si>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</si>
  <si>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</si>
  <si>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</si>
  <si>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</si>
  <si>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</si>
  <si>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</si>
  <si>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</si>
  <si>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</si>
  <si>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</si>
  <si>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</si>
  <si>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</si>
  <si>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</si>
  <si>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</si>
  <si>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</si>
  <si>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</si>
  <si>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</si>
  <si>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</si>
  <si>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</si>
  <si>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</si>
  <si>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</si>
  <si>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</si>
  <si>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</si>
  <si>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</si>
  <si>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</si>
  <si>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</si>
  <si>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</si>
  <si>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</si>
  <si>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</si>
  <si>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</si>
  <si>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</si>
  <si>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</si>
  <si>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</si>
  <si>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</si>
  <si>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</si>
  <si>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</si>
  <si>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</si>
  <si>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</si>
  <si>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</si>
  <si>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</si>
  <si>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</si>
  <si>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</si>
  <si>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</si>
  <si>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</si>
  <si>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</si>
  <si>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</si>
  <si>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</si>
  <si>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</si>
  <si>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</si>
  <si>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</si>
  <si>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</si>
  <si>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</si>
  <si>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</si>
  <si>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</si>
  <si>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</si>
  <si>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</si>
  <si>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</si>
  <si>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</si>
  <si>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</si>
  <si>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</si>
  <si>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</si>
  <si>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</si>
  <si>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</si>
  <si>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</si>
  <si>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</si>
  <si>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</si>
  <si>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</si>
  <si>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</si>
  <si>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</si>
  <si>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</si>
  <si>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</si>
  <si>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</si>
  <si>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</si>
  <si>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</si>
  <si>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</si>
  <si>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</si>
  <si>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</si>
  <si>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</si>
  <si>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</si>
  <si>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</si>
  <si>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</si>
  <si>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</si>
  <si>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</si>
  <si>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</si>
  <si>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</si>
  <si>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</si>
  <si>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</si>
  <si>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</si>
  <si>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</si>
  <si>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</si>
  <si>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</si>
  <si>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</si>
  <si>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</si>
  <si>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</si>
  <si>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</si>
  <si>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</si>
  <si>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</si>
  <si>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</si>
  <si>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</si>
  <si>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</si>
  <si>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C:\Users\nerea.fraile\EUROLEAGUE\EB STATS - Documents\General\SEASON 2025-26\Reports\Eurocup\PDF</t>
  </si>
  <si>
    <t>C:\Users\nerea.fraile\EUROLEAGUE\EB STATS - Documents\General\SEASON 2025-26\Reports\Eurocup</t>
  </si>
  <si>
    <t>SHAUN WILLIAMS</t>
  </si>
  <si>
    <t>TONY SHOREY</t>
  </si>
  <si>
    <t>MICHAEL HANSON-MORRIS</t>
  </si>
  <si>
    <t>MATT WALTON</t>
  </si>
  <si>
    <t>STEVE CUTTS</t>
  </si>
  <si>
    <t>NEREA FRAILE</t>
  </si>
  <si>
    <t>Execellent job! You have demonstrated total control over what was happening in the game, reiviewing some doubtouous situations with the IRS. Congratulations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</si>
</sst>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13_126_LLI_NIN_U2025</v>
      </c>
      <c r="G1" s="5"/>
      <c r="H1" s="5"/>
      <c r="I1" s="5"/>
      <c r="J1" s="8" t="s">
        <v>707</v>
      </c>
      <c r="K1" s="121" t="s">
        <v>826</v>
      </c>
      <c r="L1" s="121"/>
      <c r="M1" s="122" t="s">
        <v>239</v>
      </c>
      <c r="N1" s="121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126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46029.8125</v>
      </c>
      <c r="C3" s="178"/>
      <c r="D3" s="39">
        <v>572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London Lions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LLI</v>
      </c>
      <c r="I4" s="5"/>
      <c r="J4" s="119" t="s">
        <v>714</v>
      </c>
      <c r="K4" s="54" t="s">
        <v>742</v>
      </c>
      <c r="L4" s="5"/>
      <c r="M4" s="185" t="s">
        <v>833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NINERS Chemnitz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NIN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827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828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829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830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831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126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832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REPORT_U2025126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"U2025126"</v>
      </c>
      <c r="F3" s="45" t="str">
        <f t="shared" ref="F3:F16" si="0">""""&amp;B3&amp;"""" &amp; " : " &amp;C3&amp;","</f>
        <v>"name" : "U2025126",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"U126"</v>
      </c>
      <c r="F4" s="45" t="str">
        <f t="shared" si="0"/>
        <v>"cod" : "U126",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126</v>
      </c>
      <c r="F6" s="45" t="str">
        <f t="shared" si="0"/>
        <v>"number" : 126,</v>
      </c>
    </row>
    <row r="7" spans="2:6" x14ac:dyDescent="0.25">
      <c r="B7" s="43" t="s">
        <v>116</v>
      </c>
      <c r="C7" s="43" t="str">
        <f ca="1">""""&amp;TEXT('SCOUT &amp; LOGISTICS'!B3,"dd/mm/aaaa")&amp;""""</f>
        <v>"07/01/Wednesday"</v>
      </c>
      <c r="F7" s="45" t="str">
        <f t="shared" ca="1" si="0"/>
        <v>"date" : "07/01/Wednesday",</v>
      </c>
    </row>
    <row r="8" spans="2:6" x14ac:dyDescent="0.25">
      <c r="B8" s="43" t="s">
        <v>125</v>
      </c>
      <c r="C8" s="43" t="str">
        <f>""""&amp;'SCOUT &amp; LOGISTICS'!D4 &amp;""""</f>
        <v>"London Lions"</v>
      </c>
      <c r="F8" s="45" t="str">
        <f t="shared" si="0"/>
        <v>"home_team" : "London Lions",</v>
      </c>
    </row>
    <row r="9" spans="2:6" x14ac:dyDescent="0.25">
      <c r="B9" s="43" t="s">
        <v>126</v>
      </c>
      <c r="C9" s="43" t="str">
        <f>""""&amp;'SCOUT &amp; LOGISTICS'!D5&amp;""""</f>
        <v>"NINERS Chemnitz"</v>
      </c>
      <c r="F9" s="45" t="str">
        <f t="shared" si="0"/>
        <v>"away_team" : "NINERS Chemnitz",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"SHAUN WILLIAMS"</v>
      </c>
      <c r="F10" s="45" t="str">
        <f t="shared" si="0"/>
        <v>"Data_entry" : "SHAUN WILLIAMS",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"TONY SHOREY"</v>
      </c>
      <c r="F11" s="45" t="str">
        <f t="shared" si="0"/>
        <v>"Caller_1" : "TONY SHOREY",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"MICHAEL HANSON-MORRIS"</v>
      </c>
      <c r="F12" s="45" t="str">
        <f t="shared" si="0"/>
        <v>"Caller_2" : "MICHAEL HANSON-MORRIS",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"MATT WALTON"</v>
      </c>
      <c r="F13" s="45" t="str">
        <f t="shared" si="0"/>
        <v>"Timerkeeper" : "MATT WALTON",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"STEVE CUTTS"</v>
      </c>
      <c r="F14" s="45" t="str">
        <f t="shared" si="0"/>
        <v>"Shotclock" : "STEVE CUTTS",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572</v>
      </c>
      <c r="F25" s="45" t="str">
        <f t="shared" ref="F25:F48" si="1">""""&amp;C25&amp;"""" &amp; " : " &amp;D25&amp;","</f>
        <v>"total_actions" : 572,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"Execellent job! You have demonstrated total control over what was happening in the game, reiviewing some doubtouous situations with the IRS. Congratulations"</v>
      </c>
      <c r="F51" s="45" t="str">
        <f>""""&amp;B51&amp;"""" &amp; " : " &amp;C51&amp;","</f>
        <v>"comments" : "Execellent job! You have demonstrated total control over what was happening in the game, reiviewing some doubtouous situations with the IRS. Congratulations",</v>
      </c>
    </row>
    <row r="52" spans="2:6" x14ac:dyDescent="0.25">
      <c r="B52" s="43" t="s">
        <v>153</v>
      </c>
      <c r="C52" s="43" t="str">
        <f>TEXT('SCOUT &amp; LOGISTICS'!F1,"0,0")</f>
        <v>13_126_LLI_NIN_U2025</v>
      </c>
      <c r="F52" s="45" t="str">
        <f>""""&amp;B52&amp;"""" &amp; " : " &amp;C52</f>
        <v>"result" : 13_126_LLI_NIN_U2025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U126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07/01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London Lions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Niners Chemnitz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SHAUN WILLIAMS</v>
      </c>
      <c r="C8" s="201"/>
      <c r="D8" s="201"/>
      <c r="E8" s="201"/>
      <c r="F8" s="201"/>
      <c r="G8" s="201" t="str">
        <f>IF('SCOUT &amp; LOGISTICS'!D7="","",'SCOUT &amp; LOGISTICS'!D7)</f>
        <v>TONY SHOREY</v>
      </c>
      <c r="H8" s="201"/>
      <c r="I8" s="201"/>
      <c r="J8" s="201"/>
      <c r="K8" s="201"/>
      <c r="L8" s="201" t="str">
        <f>IF('SCOUT &amp; LOGISTICS'!D8="","",'SCOUT &amp; LOGISTICS'!D8)</f>
        <v>MICHAEL HANSON-MORRIS</v>
      </c>
      <c r="M8" s="201"/>
      <c r="N8" s="201"/>
      <c r="O8" s="201"/>
      <c r="P8" s="201"/>
      <c r="Q8" s="201" t="str">
        <f>IF('SCOUT &amp; LOGISTICS'!D9="","",'SCOUT &amp; LOGISTICS'!D9)</f>
        <v>MATT WALTON</v>
      </c>
      <c r="R8" s="201"/>
      <c r="S8" s="201"/>
      <c r="T8" s="201"/>
      <c r="U8" s="201"/>
      <c r="V8" s="201" t="str">
        <f>IF('SCOUT &amp; LOGISTICS'!D10="","",'SCOUT &amp; LOGISTICS'!D10)</f>
        <v>STEVE CUTTS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572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Execellent job! You have demonstrated total control over what was happening in the game, reiviewing some doubtouous situations with the IRS. Congratulations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4922C444-13DA-4C7C-AF3E-256D7000BF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2026-01-07T21:34:09Z</cp:lastPrinted>
  <dcterms:created xsi:type="dcterms:W3CDTF">2023-09-19T19:50:35Z</dcterms:created>
  <dcterms:modified xsi:type="dcterms:W3CDTF">2026-01-07T21:34:13Z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