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58" documentId="8_{B607E546-8096-40F0-BBFB-8A9092F80C21}" xr6:coauthVersionLast="47" xr6:coauthVersionMax="47" xr10:uidLastSave="{2AD9EDC2-82CA-4353-A55A-215634A4FA9B}"/>
  <bookViews>
    <workbookView xWindow="-110" yWindow="-110" windowWidth="19420" windowHeight="1030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<sst xmlns="http://schemas.openxmlformats.org/spreadsheetml/2006/main" count="3260" uniqueCount="759">
  <si>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</si>
  <si>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</si>
  <si>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</si>
  <si>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</si>
  <si>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</si>
  <si>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</si>
  <si>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</si>
  <si>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</si>
  <si>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</si>
  <si>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</si>
  <si>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</si>
  <si>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</si>
  <si>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</si>
  <si>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</si>
  <si>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</si>
  <si>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</si>
  <si>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</si>
  <si>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</si>
  <si>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</si>
  <si>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</si>
  <si>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</si>
  <si>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</si>
  <si>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</si>
  <si>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</si>
  <si>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</si>
  <si>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</si>
  <si>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</si>
  <si>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</si>
  <si>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</si>
  <si>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</si>
  <si>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</si>
  <si>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</si>
  <si>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</si>
  <si>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</si>
  <si>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</si>
  <si>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</si>
  <si>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</si>
  <si>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</si>
  <si>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</si>
  <si>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</si>
  <si>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</si>
  <si>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</si>
  <si>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</si>
  <si>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</si>
  <si>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</si>
  <si>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</si>
  <si>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</si>
  <si>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</si>
  <si>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</si>
  <si>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</si>
  <si>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</si>
  <si>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</si>
  <si>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</si>
  <si>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</si>
  <si>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</si>
  <si>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</si>
  <si>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</si>
  <si>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</si>
  <si>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</si>
  <si>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</si>
  <si>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</si>
  <si>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</si>
  <si>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</si>
  <si>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</si>
  <si>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</si>
  <si>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</si>
  <si>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</si>
  <si>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</si>
  <si>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</si>
  <si>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</si>
  <si>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</si>
  <si>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</si>
  <si>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</si>
  <si>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</si>
  <si>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</si>
  <si>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</si>
  <si>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</si>
  <si>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</si>
  <si>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</si>
  <si>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</si>
  <si>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</si>
  <si>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</si>
  <si>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</si>
  <si>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</si>
  <si>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</si>
  <si>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</si>
  <si>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</si>
  <si>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</si>
  <si>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</si>
  <si>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</si>
  <si>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</si>
  <si>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</si>
  <si>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</si>
  <si>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</si>
  <si>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</si>
  <si>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</si>
  <si>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</si>
  <si>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</si>
  <si>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</si>
  <si>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</si>
  <si>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</si>
  <si>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</si>
  <si>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</si>
  <si>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</si>
  <si>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</si>
  <si>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</si>
  <si>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</si>
  <si>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</si>
  <si>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</si>
  <si>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</si>
  <si>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</si>
  <si>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</si>
  <si>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</si>
  <si>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</si>
  <si>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</si>
  <si>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</si>
  <si>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</si>
  <si>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</si>
  <si>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</si>
  <si>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</si>
  <si>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</si>
  <si>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</si>
  <si>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</si>
  <si>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</si>
  <si>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</si>
  <si>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</si>
  <si>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</si>
  <si>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</si>
  <si>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</si>
  <si>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</si>
  <si>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</si>
  <si>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</si>
  <si>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</si>
  <si>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</si>
  <si>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</si>
  <si>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</si>
  <si>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</si>
  <si>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</si>
  <si>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</si>
  <si>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</si>
  <si>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</si>
  <si>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</si>
  <si>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</si>
  <si>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</si>
  <si>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</si>
  <si>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</si>
  <si>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</si>
  <si>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</si>
  <si>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</si>
  <si>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</si>
  <si>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</si>
  <si>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</si>
  <si>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</si>
  <si>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</si>
  <si>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</si>
  <si>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</si>
  <si>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</si>
  <si>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</si>
  <si>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</si>
  <si>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</si>
  <si>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</si>
  <si>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</si>
  <si>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</si>
  <si>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</si>
  <si>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</si>
  <si>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</si>
  <si>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</si>
  <si>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</si>
  <si>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</si>
  <si>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</si>
  <si>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</si>
  <si>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</si>
  <si>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</si>
  <si>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</si>
  <si>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</si>
  <si>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</si>
  <si>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</si>
  <si>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</si>
  <si>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</si>
  <si>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</si>
  <si>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</si>
  <si>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</si>
  <si>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</si>
  <si>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</si>
  <si>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</si>
  <si>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</si>
  <si>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</si>
  <si>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</si>
  <si>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</si>
  <si>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</si>
  <si>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</si>
  <si>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</si>
  <si>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</si>
  <si>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</si>
  <si>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</si>
  <si>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</si>
  <si>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</si>
  <si>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</si>
  <si>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</si>
  <si>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</si>
  <si>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</si>
  <si>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</si>
  <si>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</si>
  <si>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</si>
  <si>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</si>
  <si>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</si>
  <si>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</si>
  <si>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</si>
  <si>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</si>
  <si>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</si>
  <si>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</si>
  <si>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</si>
  <si>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</si>
  <si>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</si>
  <si>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</si>
  <si>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</si>
  <si>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</si>
  <si>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</si>
  <si>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</si>
  <si>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</si>
  <si>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</si>
  <si>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</si>
  <si>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</si>
  <si>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</si>
  <si>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</si>
  <si>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</si>
  <si>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</si>
  <si>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</si>
  <si>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</si>
  <si>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</si>
  <si>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</si>
  <si>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</si>
  <si>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</si>
  <si>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</si>
  <si>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</si>
  <si>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</si>
  <si>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</si>
  <si>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</si>
  <si>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</si>
  <si>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</si>
  <si>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</si>
  <si>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</si>
  <si>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</si>
  <si>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</si>
  <si>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</si>
  <si>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</si>
  <si>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</si>
  <si>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</si>
  <si>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</si>
  <si>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</si>
  <si>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</si>
  <si>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</si>
  <si>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</si>
  <si>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</si>
  <si>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</si>
  <si>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</si>
  <si>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</si>
  <si>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</si>
  <si>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</si>
  <si>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</si>
  <si>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</si>
  <si>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</si>
  <si>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</si>
  <si>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</si>
  <si>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</si>
  <si>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</si>
  <si>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</si>
  <si>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</si>
  <si>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</si>
  <si>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</si>
  <si>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</si>
  <si>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</si>
  <si>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</si>
  <si>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</si>
  <si>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</si>
  <si>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</si>
  <si>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</si>
  <si>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</si>
  <si>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</si>
  <si>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</si>
  <si>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</si>
  <si>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</si>
  <si>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</si>
  <si>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</si>
  <si>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</si>
  <si>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</si>
  <si>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</si>
  <si>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</si>
  <si>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</si>
  <si>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</si>
  <si>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</si>
  <si>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</si>
  <si>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</si>
  <si>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</si>
  <si>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</si>
  <si>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</si>
  <si>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</si>
  <si>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</si>
  <si>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</si>
  <si>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</si>
  <si>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</si>
  <si>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</si>
  <si>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</si>
  <si>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</si>
  <si>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</si>
  <si>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</si>
  <si>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</si>
  <si>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</si>
  <si>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</si>
  <si>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</si>
  <si>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</si>
  <si>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</si>
  <si>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</si>
  <si>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</si>
  <si>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</si>
  <si>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</si>
  <si>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</si>
  <si>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</si>
  <si>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</si>
  <si>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</si>
  <si>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</si>
  <si>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</si>
  <si>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</si>
  <si>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</si>
  <si>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</si>
  <si>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</si>
  <si>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</si>
  <si>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</si>
  <si>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</si>
  <si>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</si>
  <si>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</si>
  <si>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</si>
  <si>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</si>
  <si>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</si>
  <si>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</si>
  <si>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</si>
  <si>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</si>
  <si>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</si>
  <si>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</si>
  <si>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</si>
  <si>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</si>
  <si>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</si>
  <si>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</si>
  <si>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</si>
  <si>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</si>
  <si>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</si>
  <si>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</si>
  <si>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</si>
  <si>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</si>
  <si>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</si>
  <si>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</si>
  <si>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</si>
  <si>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</si>
  <si>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</si>
  <si>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</si>
  <si>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</si>
  <si>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</si>
  <si>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</si>
  <si>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</si>
  <si>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</si>
  <si>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</si>
  <si>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</si>
  <si>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</si>
  <si>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</si>
  <si>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</si>
  <si>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</si>
  <si>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</si>
  <si>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</si>
  <si>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</si>
  <si>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</si>
  <si>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</si>
  <si>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</si>
  <si>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</si>
  <si>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</si>
  <si>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</si>
  <si>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</si>
  <si>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</si>
  <si>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</si>
  <si>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</si>
  <si>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</si>
  <si>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</si>
  <si>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</si>
  <si>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</si>
  <si>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</si>
  <si>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</si>
  <si>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</si>
  <si>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</si>
  <si>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</si>
  <si>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</si>
  <si>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</si>
  <si>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</si>
  <si>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</si>
  <si>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</si>
  <si>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</si>
  <si>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</si>
  <si>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</si>
  <si>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</si>
  <si>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</si>
  <si>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</si>
  <si>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</si>
  <si>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</si>
  <si>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</si>
  <si>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</si>
  <si>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</si>
  <si>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</si>
  <si>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</si>
  <si>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</si>
  <si>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</si>
  <si>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</si>
  <si>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</si>
  <si>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</si>
  <si>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</si>
  <si>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</si>
  <si>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</si>
  <si>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</si>
  <si>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</si>
  <si>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</si>
  <si>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</si>
  <si>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</si>
  <si>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</si>
  <si>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</si>
  <si>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</si>
  <si>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</si>
  <si>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</si>
  <si>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</si>
  <si>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</si>
  <si>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</si>
  <si>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</si>
  <si>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</si>
  <si>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</si>
  <si>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</si>
  <si>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</si>
  <si>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</si>
  <si>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</si>
  <si>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</si>
  <si>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</si>
  <si>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</si>
  <si>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</si>
  <si>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</si>
  <si>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</si>
  <si>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</si>
  <si>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</si>
  <si>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</si>
  <si>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</si>
  <si>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</si>
  <si>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</si>
  <si>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</si>
  <si>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</si>
  <si>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</si>
  <si>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</si>
  <si>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</si>
  <si>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</si>
  <si>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</si>
  <si>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</si>
  <si>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</si>
  <si>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</si>
  <si>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</si>
  <si>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</si>
  <si>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</si>
  <si>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</si>
  <si>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</si>
  <si>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</si>
  <si>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</si>
  <si>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</si>
  <si>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</si>
  <si>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</si>
  <si>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</si>
  <si>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</si>
  <si>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</si>
  <si>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</si>
  <si>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</si>
  <si>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</si>
  <si>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</si>
  <si>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</si>
  <si>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</si>
  <si>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</si>
  <si>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</si>
  <si>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</si>
  <si>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</si>
  <si>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</si>
  <si>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</si>
  <si>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</si>
  <si>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</si>
  <si>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</si>
  <si>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</si>
  <si>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</si>
  <si>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</si>
  <si>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</si>
  <si>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</si>
  <si>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</si>
  <si>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</si>
  <si>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</si>
  <si>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</si>
  <si>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</si>
  <si>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</si>
  <si>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</si>
  <si>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</si>
  <si>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</si>
  <si>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</si>
  <si>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</si>
  <si>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</si>
  <si>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</si>
  <si>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</si>
  <si>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</si>
  <si>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</si>
  <si>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</si>
  <si>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</si>
  <si>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</si>
  <si>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</si>
  <si>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</si>
  <si>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</si>
  <si>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</si>
  <si>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</si>
  <si>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</si>
  <si>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</si>
  <si>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</si>
  <si>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</si>
  <si>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</si>
  <si>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</si>
  <si>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</si>
  <si>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</si>
  <si>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</si>
  <si>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</si>
  <si>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</si>
  <si>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</si>
  <si>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</si>
  <si>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</si>
  <si>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</si>
  <si>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</si>
  <si>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</si>
  <si>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</si>
  <si>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</si>
  <si>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</si>
  <si>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</si>
  <si>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</si>
  <si>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</si>
  <si>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</si>
  <si>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</si>
  <si>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</si>
  <si>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</si>
  <si>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</si>
  <si>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</si>
  <si>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</si>
  <si>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</si>
  <si>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</si>
  <si>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</si>
  <si>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</si>
  <si>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</si>
  <si>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</si>
  <si>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</si>
  <si>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</si>
  <si>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</si>
  <si>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</si>
  <si>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</si>
  <si>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</si>
  <si>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</si>
  <si>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</si>
  <si>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</si>
  <si>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</si>
  <si>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</si>
  <si>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</si>
  <si>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</si>
  <si>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</si>
  <si>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</si>
  <si>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</si>
  <si>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</si>
  <si>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</si>
  <si>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</si>
  <si>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</si>
  <si>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</si>
  <si>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</si>
  <si>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</si>
  <si>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</si>
  <si>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</si>
  <si>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</si>
  <si>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</si>
  <si>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</si>
  <si>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</si>
  <si>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</si>
  <si>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</si>
  <si>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</si>
  <si>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</si>
  <si>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</si>
  <si>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</si>
  <si>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</si>
  <si>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</si>
  <si>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</si>
  <si>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</si>
  <si>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</si>
  <si>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</si>
  <si>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</si>
  <si>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</si>
  <si>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</si>
  <si>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</si>
  <si>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</si>
  <si>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</si>
  <si>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</si>
  <si>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</si>
  <si>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</si>
  <si>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</si>
  <si>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</si>
  <si>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</si>
  <si>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</si>
  <si>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</si>
  <si>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</si>
  <si>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</si>
  <si>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</si>
  <si>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</si>
  <si>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</si>
  <si>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</si>
  <si>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</si>
  <si>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</si>
  <si>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</si>
  <si>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</si>
  <si>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</si>
  <si>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</si>
  <si>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</si>
  <si>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</si>
  <si>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</si>
  <si>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</si>
  <si>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</si>
  <si>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</si>
  <si>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</si>
  <si>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</si>
  <si>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</si>
  <si>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</si>
  <si>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</si>
  <si>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</si>
  <si>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</si>
  <si>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</si>
  <si>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</si>
  <si>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</si>
  <si>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</si>
  <si>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</si>
  <si>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</si>
  <si>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</si>
  <si>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</si>
  <si>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</si>
  <si>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</si>
  <si>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</si>
  <si>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</si>
  <si>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</si>
  <si>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</si>
  <si>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</si>
  <si>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</si>
  <si>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</si>
  <si>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</si>
  <si>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</si>
  <si>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</si>
  <si>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</si>
  <si>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</si>
  <si>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</si>
  <si>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</si>
  <si>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</si>
  <si>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</si>
  <si>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</si>
  <si>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</si>
  <si>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</si>
  <si>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</si>
  <si>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</si>
  <si>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</si>
  <si>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</si>
  <si>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</si>
  <si>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</si>
  <si>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</si>
  <si>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</si>
  <si>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</si>
  <si>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</si>
  <si>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</si>
  <si>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</si>
  <si>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</si>
  <si>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</si>
  <si>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</si>
  <si>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</si>
  <si>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</si>
  <si>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</si>
  <si>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</si>
  <si>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</si>
  <si>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</si>
  <si>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</si>
  <si>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</si>
  <si>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</si>
  <si>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</si>
  <si>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</si>
  <si>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</si>
  <si>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</si>
  <si>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</si>
  <si>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</si>
  <si>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</si>
  <si>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</si>
  <si>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</si>
  <si>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</si>
  <si>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</si>
  <si>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</si>
  <si>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</si>
  <si>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</si>
  <si>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</si>
  <si>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</si>
  <si>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</si>
  <si>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</si>
  <si>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</si>
  <si>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</si>
  <si>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</si>
  <si>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</si>
  <si>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</si>
  <si>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</si>
  <si>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</si>
  <si>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</si>
  <si>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</si>
  <si>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</si>
  <si>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</si>
  <si>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</si>
  <si>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</si>
  <si>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</si>
  <si>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</si>
  <si>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</si>
  <si>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</si>
  <si>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</si>
  <si>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</si>
  <si>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</si>
  <si>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</si>
  <si>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</si>
  <si>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</si>
  <si>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</si>
  <si>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</si>
  <si>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</si>
  <si>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</si>
  <si>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</si>
  <si>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</si>
  <si>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</si>
  <si>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</si>
  <si>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</si>
  <si>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</si>
  <si>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</si>
  <si>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</si>
  <si>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</si>
  <si>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</si>
  <si>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</si>
  <si>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</si>
  <si>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</si>
  <si>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</si>
  <si>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</si>
  <si>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</si>
  <si>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</si>
  <si>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</si>
  <si>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</si>
  <si>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</si>
  <si>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</si>
  <si>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</si>
  <si>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</si>
  <si>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XAVI MATEU</t>
  </si>
  <si>
    <t>ENDER OZBEK</t>
  </si>
  <si>
    <t>ORHAN YENIHAYAT</t>
  </si>
  <si>
    <t>GOZDE BEGUM AKUZUM</t>
  </si>
  <si>
    <t>02:13</t>
  </si>
  <si>
    <t>08:01</t>
  </si>
  <si>
    <t>06:53</t>
  </si>
  <si>
    <t>In rebounds, we credit a rebound to a player if he establishes control of the ball, intentionally passes it to a teammate, or intentionally throws it to an opponent so the ball goes out of bounds. There have been rebound plays that I did not correct because you can see them better from the court, but I got the feeling that you were considering as passes some tips that were not. Everything else was perfect.</t>
  </si>
  <si>
    <t>C:\Users\xavi.mateu\OneDrive - EUROLEAGUE\Desktop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</si>
</sst>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K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13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13_126_ULK_VIR_E2025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758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126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45986.864583333336</v>
      </c>
      <c r="C3" s="157"/>
      <c r="D3" s="39">
        <v>582</v>
      </c>
      <c r="E3" s="29"/>
      <c r="F3" s="26">
        <f>SUBTOTAL(3,I17:I106)</f>
        <v>3</v>
      </c>
      <c r="G3" s="27">
        <f>IF(OR(D3="",D3=0),"",F3/D3)</f>
        <v>5.1546391752577319E-3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Fenerbahce Beko Istanbul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ULK</v>
      </c>
      <c r="I4" s="5"/>
      <c r="J4" s="119" t="s">
        <v>714</v>
      </c>
      <c r="K4" s="54" t="s">
        <v>743</v>
      </c>
      <c r="L4" s="5"/>
      <c r="M4" s="167" t="s">
        <v>757</v>
      </c>
      <c r="N4" s="168"/>
      <c r="O4" s="2"/>
      <c r="P4" s="2"/>
      <c r="Q4" s="84" t="s">
        <v>175</v>
      </c>
      <c r="R4" s="94">
        <f>(IF(G3="",0,G3))</f>
        <v>5.1546391752577319E-3</v>
      </c>
      <c r="S4" s="61">
        <f>SUM(I13:M13)</f>
        <v>0</v>
      </c>
      <c r="T4" s="78"/>
      <c r="U4" s="61">
        <f>AC18</f>
        <v>2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1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Virtus Bologna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VIR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0.51546391752577314</v>
      </c>
      <c r="S5" s="70">
        <f t="shared" ref="S5" si="0">S4*S3</f>
        <v>0</v>
      </c>
      <c r="T5" s="92"/>
      <c r="U5" s="70">
        <f t="shared" ref="U5:AG5" si="1">U4*U3</f>
        <v>1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2.5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735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751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4.0154639175257731</v>
      </c>
      <c r="N7" s="58"/>
      <c r="O7" s="2"/>
      <c r="P7" s="2"/>
      <c r="Q7" s="86">
        <f>SUM(R5,S5,AC16)</f>
        <v>4.0154639175257731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752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4.0154639175257731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738</v>
      </c>
      <c r="E9" s="179"/>
      <c r="F9" s="179"/>
      <c r="G9" s="180"/>
      <c r="H9" s="130" t="str">
        <f>VLOOKUP($H$4,Teams!$B$3:$O$44,3,FALSE)</f>
        <v>CAN KUTLUATA</v>
      </c>
      <c r="I9" s="130" t="str">
        <f>VLOOKUP($H$4,Teams!$B$3:$O$44,3,FALSE)</f>
        <v>CAN KUTLUATA</v>
      </c>
      <c r="J9" s="130" t="str">
        <f>VLOOKUP($H$4,Teams!$B$3:$O$44,5,FALSE)</f>
        <v>SERTAC DSTEL</v>
      </c>
      <c r="K9" s="130" t="str">
        <f>VLOOKUP($H$4,Teams!$B$3:$O$44,6,FALSE)</f>
        <v>SERHAT LEVENT</v>
      </c>
      <c r="L9" s="130" t="str">
        <f>VLOOKUP($H$4,Teams!$B$3:$O$44,7,FALSE)</f>
        <v>AHMET ERKASAP</v>
      </c>
      <c r="M9" s="131" t="str">
        <f>VLOOKUP($H$4,Teams!$B$3:$O$44,8,FALSE)</f>
        <v>MURAT KUS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753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740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126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750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3</v>
      </c>
      <c r="J15" s="24">
        <f>SUBTOTAL(3,J17:J106)</f>
        <v>3</v>
      </c>
      <c r="K15" s="24">
        <f>SUBTOTAL(3,K17:K106)</f>
        <v>3</v>
      </c>
      <c r="L15" s="24">
        <f>SUBTOTAL(3,L17:L106)</f>
        <v>3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3</v>
      </c>
      <c r="Z16" s="90" t="s">
        <v>110</v>
      </c>
      <c r="AA16" s="75">
        <f>SUM(AA17:AA24)</f>
        <v>3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3.5</v>
      </c>
      <c r="AD16" s="75">
        <f>SUM(AD17:AD24)</f>
        <v>45</v>
      </c>
      <c r="AE16" s="76" t="s">
        <v>42</v>
      </c>
      <c r="AF16" s="75">
        <f>SUM(AF17:AF24)</f>
        <v>3</v>
      </c>
      <c r="AG16" s="75">
        <f>SUM(AG17:AG21)</f>
        <v>3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126</v>
      </c>
      <c r="D17" s="32" t="s">
        <v>754</v>
      </c>
      <c r="E17" s="33">
        <v>1</v>
      </c>
      <c r="F17" s="36">
        <v>10</v>
      </c>
      <c r="G17" s="36">
        <v>11</v>
      </c>
      <c r="H17" s="38" t="str">
        <f>IF(I17="","",$I$14)</f>
        <v>SCOUTING</v>
      </c>
      <c r="I17" s="34">
        <v>88</v>
      </c>
      <c r="J17" s="13" t="s">
        <v>4</v>
      </c>
      <c r="K17" s="13" t="s">
        <v>62</v>
      </c>
      <c r="L17" s="13" t="s">
        <v>5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3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1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126</v>
      </c>
      <c r="D18" s="32" t="s">
        <v>755</v>
      </c>
      <c r="E18" s="33">
        <v>2</v>
      </c>
      <c r="F18" s="36">
        <v>19</v>
      </c>
      <c r="G18" s="36">
        <v>17</v>
      </c>
      <c r="H18" s="38" t="str">
        <f t="shared" ref="H18:H81" si="8">IF(I18="","",$I$14)</f>
        <v>SCOUTING</v>
      </c>
      <c r="I18" s="34">
        <v>148</v>
      </c>
      <c r="J18" s="13" t="s">
        <v>4</v>
      </c>
      <c r="K18" s="13" t="s">
        <v>63</v>
      </c>
      <c r="L18" s="13" t="s">
        <v>5</v>
      </c>
      <c r="M18" s="13" t="s">
        <v>168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2</v>
      </c>
      <c r="AB18" s="66" t="s">
        <v>5</v>
      </c>
      <c r="AC18" s="61">
        <f t="shared" si="5"/>
        <v>2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2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126</v>
      </c>
      <c r="D19" s="32" t="s">
        <v>756</v>
      </c>
      <c r="E19" s="33">
        <v>2</v>
      </c>
      <c r="F19" s="36">
        <v>19</v>
      </c>
      <c r="G19" s="36">
        <v>20</v>
      </c>
      <c r="H19" s="38" t="str">
        <f t="shared" si="8"/>
        <v>SCOUTING</v>
      </c>
      <c r="I19" s="34">
        <v>165</v>
      </c>
      <c r="J19" s="13" t="s">
        <v>4</v>
      </c>
      <c r="K19" s="13" t="s">
        <v>62</v>
      </c>
      <c r="L19" s="13" t="s">
        <v>7</v>
      </c>
      <c r="M19" s="13" t="s">
        <v>168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2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REPORT_E2025126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"E2025126"</v>
      </c>
      <c r="F3" s="45" t="str">
        <f t="shared" ref="F3:F16" si="0">""""&amp;B3&amp;"""" &amp; " : " &amp;C3&amp;","</f>
        <v>"name" : "E2025126",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"E126"</v>
      </c>
      <c r="F4" s="45" t="str">
        <f t="shared" si="0"/>
        <v>"cod" : "E126",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126</v>
      </c>
      <c r="F6" s="45" t="str">
        <f t="shared" si="0"/>
        <v>"number" : 126,</v>
      </c>
    </row>
    <row r="7" spans="2:6" x14ac:dyDescent="0.25">
      <c r="B7" s="43" t="s">
        <v>116</v>
      </c>
      <c r="C7" s="43" t="str">
        <f ca="1">""""&amp;TEXT('SCOUT &amp; LOGISTICS'!B3,"dd/mm/aaaa")&amp;""""</f>
        <v>"25/11/Tuesday"</v>
      </c>
      <c r="F7" s="45" t="str">
        <f t="shared" ca="1" si="0"/>
        <v>"date" : "25/11/Tuesday",</v>
      </c>
    </row>
    <row r="8" spans="2:6" x14ac:dyDescent="0.25">
      <c r="B8" s="43" t="s">
        <v>125</v>
      </c>
      <c r="C8" s="43" t="str">
        <f>""""&amp;'SCOUT &amp; LOGISTICS'!D4 &amp;""""</f>
        <v>"Fenerbahce Beko Istanbul"</v>
      </c>
      <c r="F8" s="45" t="str">
        <f t="shared" si="0"/>
        <v>"home_team" : "Fenerbahce Beko Istanbul",</v>
      </c>
    </row>
    <row r="9" spans="2:6" x14ac:dyDescent="0.25">
      <c r="B9" s="43" t="s">
        <v>126</v>
      </c>
      <c r="C9" s="43" t="str">
        <f>""""&amp;'SCOUT &amp; LOGISTICS'!D5&amp;""""</f>
        <v>"Virtus Bologna"</v>
      </c>
      <c r="F9" s="45" t="str">
        <f t="shared" si="0"/>
        <v>"away_team" : "Virtus Bologna",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"CAN KUTLUATA"</v>
      </c>
      <c r="F10" s="45" t="str">
        <f t="shared" si="0"/>
        <v>"Data_entry" : "CAN KUTLUATA",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"ENDER OZBEK"</v>
      </c>
      <c r="F11" s="45" t="str">
        <f t="shared" si="0"/>
        <v>"Caller_1" : "ENDER OZBEK",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"ORHAN YENIHAYAT"</v>
      </c>
      <c r="F12" s="45" t="str">
        <f t="shared" si="0"/>
        <v>"Caller_2" : "ORHAN YENIHAYAT",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"SERHAT LEVENT"</v>
      </c>
      <c r="F13" s="45" t="str">
        <f t="shared" si="0"/>
        <v>"Timerkeeper" : "SERHAT LEVENT",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"GOZDE BEGUM AKUZUM"</v>
      </c>
      <c r="F14" s="45" t="str">
        <f t="shared" si="0"/>
        <v>"Shotclock" : "GOZDE BEGUM AKUZUM",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"MURAT KUS"</v>
      </c>
      <c r="F15" s="45" t="str">
        <f t="shared" si="0"/>
        <v>"IRS" : "MURAT KUS",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"XAVI MATEU"</v>
      </c>
      <c r="F16" s="45" t="str">
        <f t="shared" si="0"/>
        <v>"Live_Game_Manager" : "XAVI MATEU",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582</v>
      </c>
      <c r="F25" s="45" t="str">
        <f t="shared" ref="F25:F48" si="1">""""&amp;C25&amp;"""" &amp; " : " &amp;D25&amp;","</f>
        <v>"total_actions" : 582,</v>
      </c>
    </row>
    <row r="26" spans="2:6" x14ac:dyDescent="0.25">
      <c r="C26" s="43" t="s">
        <v>132</v>
      </c>
      <c r="D26" s="43">
        <f>'SCOUT &amp; LOGISTICS'!F3</f>
        <v>3</v>
      </c>
      <c r="F26" s="45" t="str">
        <f t="shared" si="1"/>
        <v>"total_correcions" : 3,</v>
      </c>
    </row>
    <row r="27" spans="2:6" x14ac:dyDescent="0.25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5">
      <c r="C29" s="43" t="s">
        <v>134</v>
      </c>
      <c r="D29" s="43">
        <f>IF('SCOUT &amp; LOGISTICS'!AA18="","",'SCOUT &amp; LOGISTICS'!AA18)</f>
        <v>2</v>
      </c>
      <c r="F29" s="45" t="str">
        <f t="shared" si="1"/>
        <v>"no_team" : 2,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5">
      <c r="C32" s="43" t="s">
        <v>136</v>
      </c>
      <c r="D32" s="43">
        <f>'SCOUT &amp; LOGISTICS'!AG18</f>
        <v>2</v>
      </c>
      <c r="F32" s="45" t="str">
        <f t="shared" si="1"/>
        <v>"q2" : 2,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3</v>
      </c>
      <c r="F37" s="45" t="str">
        <f t="shared" si="1"/>
        <v>"scoresheet_corrections" : 3,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2</v>
      </c>
      <c r="F39" s="45" t="str">
        <f t="shared" si="1"/>
        <v>"missidentity" : 2,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"In rebounds, we credit a rebound to a player if he establishes control of the ball, intentionally passes it to a teammate, or intentionally throws it to an opponent so the ball goes out of bounds. There have been rebound plays that I did not correct because you can see them better from the court, but I got the feeling that you were considering as passes some tips that were not. Everything else was perfect."</v>
      </c>
      <c r="F51" s="45" t="str">
        <f>""""&amp;B51&amp;"""" &amp; " : " &amp;C51&amp;","</f>
        <v>"comments" : "In rebounds, we credit a rebound to a player if he establishes control of the ball, intentionally passes it to a teammate, or intentionally throws it to an opponent so the ball goes out of bounds. There have been rebound plays that I did not correct because you can see them better from the court, but I got the feeling that you were considering as passes some tips that were not. Everything else was perfect.",</v>
      </c>
    </row>
    <row r="52" spans="2:6" x14ac:dyDescent="0.25">
      <c r="B52" s="43" t="s">
        <v>153</v>
      </c>
      <c r="C52" s="43" t="str">
        <f>TEXT('SCOUT &amp; LOGISTICS'!F1,"0,0")</f>
        <v>13_126_ULK_VIR_E2025</v>
      </c>
      <c r="F52" s="45" t="str">
        <f>""""&amp;B52&amp;"""" &amp; " : " &amp;C52</f>
        <v>"result" : 13_126_ULK_VIR_E2025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E126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25/11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Fenerbahce Beko Istanbul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Virtus Bologna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CAN KUTLUATA</v>
      </c>
      <c r="C8" s="206"/>
      <c r="D8" s="206"/>
      <c r="E8" s="206"/>
      <c r="F8" s="206"/>
      <c r="G8" s="206" t="str">
        <f>IF('SCOUT &amp; LOGISTICS'!D7="","",'SCOUT &amp; LOGISTICS'!D7)</f>
        <v>ENDER OZBEK</v>
      </c>
      <c r="H8" s="206"/>
      <c r="I8" s="206"/>
      <c r="J8" s="206"/>
      <c r="K8" s="206"/>
      <c r="L8" s="206" t="str">
        <f>IF('SCOUT &amp; LOGISTICS'!D8="","",'SCOUT &amp; LOGISTICS'!D8)</f>
        <v>ORHAN YENIHAYAT</v>
      </c>
      <c r="M8" s="206"/>
      <c r="N8" s="206"/>
      <c r="O8" s="206"/>
      <c r="P8" s="206"/>
      <c r="Q8" s="206" t="str">
        <f>IF('SCOUT &amp; LOGISTICS'!D9="","",'SCOUT &amp; LOGISTICS'!D9)</f>
        <v>SERHAT LEVENT</v>
      </c>
      <c r="R8" s="206"/>
      <c r="S8" s="206"/>
      <c r="T8" s="206"/>
      <c r="U8" s="206"/>
      <c r="V8" s="206" t="str">
        <f>IF('SCOUT &amp; LOGISTICS'!D10="","",'SCOUT &amp; LOGISTICS'!D10)</f>
        <v>GOZDE BEGUM AKUZUM</v>
      </c>
      <c r="W8" s="206"/>
      <c r="X8" s="206"/>
      <c r="Y8" s="206"/>
      <c r="Z8" s="206"/>
      <c r="AA8" s="206" t="str">
        <f>IF('SCOUT &amp; LOGISTICS'!D11="","",'SCOUT &amp; LOGISTICS'!D11)</f>
        <v>MURAT KUS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XAVI MATEU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582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3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5.1546391752577319E-3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1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2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1</v>
      </c>
      <c r="C22" s="197"/>
      <c r="D22" s="197"/>
      <c r="E22" s="197"/>
      <c r="F22" s="197"/>
      <c r="G22" s="197"/>
      <c r="H22" s="197">
        <f>'SCOUT &amp; LOGISTICS'!AG18</f>
        <v>2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3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2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1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In rebounds, we credit a rebound to a player if he establishes control of the ball, intentionally passes it to a teammate, or intentionally throws it to an opponent so the ball goes out of bounds. There have been rebound plays that I did not correct because you can see them better from the court, but I got the feeling that you were considering as passes some tips that were not. Everything else was perfect.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4.0154639175257731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A600C3C-0342-4B3E-86C5-5E67C01207EA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Xavi Mateu</cp:lastModifiedBy>
  <cp:lastPrinted>2025-11-26T15:08:13Z</cp:lastPrinted>
  <dcterms:created xsi:type="dcterms:W3CDTF">2023-09-19T19:50:35Z</dcterms:created>
  <dcterms:modified xsi:type="dcterms:W3CDTF">2025-11-26T15:09:52Z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