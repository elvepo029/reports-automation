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8" documentId="8_{B607E546-8096-40F0-BBFB-8A9092F80C21}" xr6:coauthVersionLast="47" xr6:coauthVersionMax="47" xr10:uidLastSave="{2AD9EDC2-82CA-4353-A55A-215634A4FA9B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<sst xmlns="http://schemas.openxmlformats.org/spreadsheetml/2006/main" count="3260" uniqueCount="759">
  <si>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</si>
  <si>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</si>
  <si>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</si>
  <si>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</si>
  <si>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</si>
  <si>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</si>
  <si>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</si>
  <si>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</si>
  <si>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</si>
  <si>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</si>
  <si>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</si>
  <si>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</si>
  <si>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</si>
  <si>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</si>
  <si>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</si>
  <si>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</si>
  <si>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</si>
  <si>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</si>
  <si>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</si>
  <si>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</si>
  <si>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</si>
  <si>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</si>
  <si>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</si>
  <si>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</si>
  <si>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</si>
  <si>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</si>
  <si>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</si>
  <si>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</si>
  <si>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</si>
  <si>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</si>
  <si>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</si>
  <si>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</si>
  <si>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</si>
  <si>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</si>
  <si>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</si>
  <si>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</si>
  <si>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</si>
  <si>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</si>
  <si>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</si>
  <si>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</si>
  <si>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</si>
  <si>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</si>
  <si>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</si>
  <si>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</si>
  <si>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</si>
  <si>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</si>
  <si>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</si>
  <si>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</si>
  <si>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</si>
  <si>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</si>
  <si>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</si>
  <si>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</si>
  <si>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</si>
  <si>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</si>
  <si>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</si>
  <si>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</si>
  <si>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</si>
  <si>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</si>
  <si>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</si>
  <si>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</si>
  <si>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</si>
  <si>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</si>
  <si>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</si>
  <si>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</si>
  <si>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</si>
  <si>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</si>
  <si>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</si>
  <si>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</si>
  <si>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</si>
  <si>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</si>
  <si>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</si>
  <si>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</si>
  <si>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</si>
  <si>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</si>
  <si>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</si>
  <si>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</si>
  <si>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</si>
  <si>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</si>
  <si>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</si>
  <si>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</si>
  <si>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</si>
  <si>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</si>
  <si>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</si>
  <si>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</si>
  <si>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</si>
  <si>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</si>
  <si>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</si>
  <si>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</si>
  <si>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</si>
  <si>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</si>
  <si>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</si>
  <si>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</si>
  <si>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</si>
  <si>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</si>
  <si>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</si>
  <si>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</si>
  <si>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</si>
  <si>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</si>
  <si>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</si>
  <si>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</si>
  <si>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</si>
  <si>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</si>
  <si>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</si>
  <si>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</si>
  <si>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</si>
  <si>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</si>
  <si>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</si>
  <si>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</si>
  <si>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</si>
  <si>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</si>
  <si>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</si>
  <si>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</si>
  <si>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</si>
  <si>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</si>
  <si>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</si>
  <si>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</si>
  <si>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</si>
  <si>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</si>
  <si>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</si>
  <si>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</si>
  <si>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</si>
  <si>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</si>
  <si>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</si>
  <si>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</si>
  <si>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</si>
  <si>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</si>
  <si>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</si>
  <si>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</si>
  <si>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</si>
  <si>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</si>
  <si>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</si>
  <si>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</si>
  <si>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</si>
  <si>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</si>
  <si>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</si>
  <si>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</si>
  <si>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</si>
  <si>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</si>
  <si>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</si>
  <si>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</si>
  <si>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</si>
  <si>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</si>
  <si>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</si>
  <si>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</si>
  <si>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</si>
  <si>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</si>
  <si>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</si>
  <si>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</si>
  <si>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</si>
  <si>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</si>
  <si>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</si>
  <si>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</si>
  <si>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</si>
  <si>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</si>
  <si>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</si>
  <si>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</si>
  <si>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</si>
  <si>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</si>
  <si>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</si>
  <si>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</si>
  <si>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</si>
  <si>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</si>
  <si>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</si>
  <si>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</si>
  <si>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</si>
  <si>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</si>
  <si>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</si>
  <si>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</si>
  <si>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</si>
  <si>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</si>
  <si>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</si>
  <si>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</si>
  <si>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</si>
  <si>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</si>
  <si>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</si>
  <si>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</si>
  <si>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</si>
  <si>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</si>
  <si>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</si>
  <si>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</si>
  <si>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</si>
  <si>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</si>
  <si>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</si>
  <si>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</si>
  <si>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</si>
  <si>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</si>
  <si>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</si>
  <si>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</si>
  <si>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</si>
  <si>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</si>
  <si>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</si>
  <si>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</si>
  <si>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</si>
  <si>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</si>
  <si>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</si>
  <si>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</si>
  <si>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</si>
  <si>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</si>
  <si>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</si>
  <si>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</si>
  <si>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</si>
  <si>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</si>
  <si>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</si>
  <si>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</si>
  <si>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</si>
  <si>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</si>
  <si>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</si>
  <si>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</si>
  <si>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</si>
  <si>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</si>
  <si>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</si>
  <si>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</si>
  <si>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</si>
  <si>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</si>
  <si>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</si>
  <si>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</si>
  <si>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</si>
  <si>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</si>
  <si>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</si>
  <si>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</si>
  <si>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</si>
  <si>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</si>
  <si>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</si>
  <si>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</si>
  <si>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</si>
  <si>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</si>
  <si>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</si>
  <si>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</si>
  <si>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</si>
  <si>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</si>
  <si>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</si>
  <si>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</si>
  <si>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</si>
  <si>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</si>
  <si>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</si>
  <si>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</si>
  <si>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</si>
  <si>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</si>
  <si>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</si>
  <si>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</si>
  <si>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</si>
  <si>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</si>
  <si>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</si>
  <si>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</si>
  <si>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</si>
  <si>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</si>
  <si>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</si>
  <si>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</si>
  <si>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</si>
  <si>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</si>
  <si>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</si>
  <si>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</si>
  <si>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</si>
  <si>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</si>
  <si>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</si>
  <si>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</si>
  <si>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</si>
  <si>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</si>
  <si>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</si>
  <si>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</si>
  <si>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</si>
  <si>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</si>
  <si>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</si>
  <si>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</si>
  <si>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</si>
  <si>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</si>
  <si>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</si>
  <si>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</si>
  <si>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</si>
  <si>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</si>
  <si>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</si>
  <si>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</si>
  <si>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</si>
  <si>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</si>
  <si>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</si>
  <si>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</si>
  <si>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</si>
  <si>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</si>
  <si>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</si>
  <si>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</si>
  <si>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</si>
  <si>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</si>
  <si>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</si>
  <si>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</si>
  <si>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</si>
  <si>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</si>
  <si>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</si>
  <si>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</si>
  <si>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</si>
  <si>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</si>
  <si>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</si>
  <si>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</si>
  <si>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</si>
  <si>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</si>
  <si>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</si>
  <si>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</si>
  <si>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</si>
  <si>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</si>
  <si>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</si>
  <si>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</si>
  <si>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</si>
  <si>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</si>
  <si>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</si>
  <si>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</si>
  <si>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</si>
  <si>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</si>
  <si>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</si>
  <si>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</si>
  <si>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</si>
  <si>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</si>
  <si>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</si>
  <si>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</si>
  <si>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</si>
  <si>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</si>
  <si>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</si>
  <si>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</si>
  <si>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</si>
  <si>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</si>
  <si>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</si>
  <si>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</si>
  <si>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</si>
  <si>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</si>
  <si>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</si>
  <si>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</si>
  <si>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</si>
  <si>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</si>
  <si>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</si>
  <si>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</si>
  <si>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</si>
  <si>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</si>
  <si>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</si>
  <si>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</si>
  <si>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</si>
  <si>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</si>
  <si>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</si>
  <si>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</si>
  <si>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</si>
  <si>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</si>
  <si>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</si>
  <si>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</si>
  <si>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</si>
  <si>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</si>
  <si>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</si>
  <si>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</si>
  <si>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</si>
  <si>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</si>
  <si>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</si>
  <si>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</si>
  <si>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</si>
  <si>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</si>
  <si>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</si>
  <si>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</si>
  <si>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</si>
  <si>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</si>
  <si>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</si>
  <si>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</si>
  <si>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</si>
  <si>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</si>
  <si>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</si>
  <si>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</si>
  <si>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</si>
  <si>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</si>
  <si>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</si>
  <si>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</si>
  <si>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</si>
  <si>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</si>
  <si>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</si>
  <si>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</si>
  <si>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</si>
  <si>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</si>
  <si>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</si>
  <si>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</si>
  <si>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</si>
  <si>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</si>
  <si>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</si>
  <si>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</si>
  <si>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</si>
  <si>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</si>
  <si>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</si>
  <si>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</si>
  <si>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</si>
  <si>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</si>
  <si>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</si>
  <si>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</si>
  <si>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</si>
  <si>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</si>
  <si>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</si>
  <si>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</si>
  <si>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</si>
  <si>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</si>
  <si>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</si>
  <si>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</si>
  <si>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</si>
  <si>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</si>
  <si>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</si>
  <si>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</si>
  <si>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</si>
  <si>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</si>
  <si>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</si>
  <si>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</si>
  <si>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</si>
  <si>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</si>
  <si>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</si>
  <si>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</si>
  <si>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</si>
  <si>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</si>
  <si>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</si>
  <si>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</si>
  <si>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</si>
  <si>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</si>
  <si>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</si>
  <si>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</si>
  <si>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</si>
  <si>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</si>
  <si>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</si>
  <si>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</si>
  <si>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</si>
  <si>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</si>
  <si>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</si>
  <si>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</si>
  <si>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</si>
  <si>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</si>
  <si>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</si>
  <si>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</si>
  <si>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</si>
  <si>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</si>
  <si>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</si>
  <si>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</si>
  <si>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</si>
  <si>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</si>
  <si>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</si>
  <si>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</si>
  <si>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</si>
  <si>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</si>
  <si>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</si>
  <si>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</si>
  <si>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</si>
  <si>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</si>
  <si>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</si>
  <si>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</si>
  <si>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</si>
  <si>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</si>
  <si>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</si>
  <si>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</si>
  <si>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</si>
  <si>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</si>
  <si>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</si>
  <si>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</si>
  <si>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</si>
  <si>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</si>
  <si>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</si>
  <si>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</si>
  <si>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</si>
  <si>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</si>
  <si>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</si>
  <si>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</si>
  <si>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</si>
  <si>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</si>
  <si>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</si>
  <si>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</si>
  <si>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</si>
  <si>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</si>
  <si>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</si>
  <si>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</si>
  <si>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</si>
  <si>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</si>
  <si>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</si>
  <si>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</si>
  <si>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</si>
  <si>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</si>
  <si>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</si>
  <si>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</si>
  <si>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</si>
  <si>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</si>
  <si>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</si>
  <si>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</si>
  <si>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</si>
  <si>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</si>
  <si>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</si>
  <si>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</si>
  <si>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</si>
  <si>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</si>
  <si>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</si>
  <si>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</si>
  <si>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</si>
  <si>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</si>
  <si>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</si>
  <si>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</si>
  <si>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</si>
  <si>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</si>
  <si>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</si>
  <si>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</si>
  <si>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</si>
  <si>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</si>
  <si>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</si>
  <si>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</si>
  <si>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</si>
  <si>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</si>
  <si>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</si>
  <si>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</si>
  <si>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</si>
  <si>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</si>
  <si>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</si>
  <si>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</si>
  <si>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</si>
  <si>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</si>
  <si>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</si>
  <si>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</si>
  <si>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</si>
  <si>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</si>
  <si>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</si>
  <si>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</si>
  <si>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</si>
  <si>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</si>
  <si>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</si>
  <si>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</si>
  <si>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</si>
  <si>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</si>
  <si>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</si>
  <si>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</si>
  <si>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</si>
  <si>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</si>
  <si>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</si>
  <si>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</si>
  <si>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</si>
  <si>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</si>
  <si>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</si>
  <si>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</si>
  <si>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</si>
  <si>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</si>
  <si>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</si>
  <si>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</si>
  <si>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</si>
  <si>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</si>
  <si>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</si>
  <si>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</si>
  <si>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</si>
  <si>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</si>
  <si>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</si>
  <si>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</si>
  <si>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</si>
  <si>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</si>
  <si>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</si>
  <si>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</si>
  <si>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</si>
  <si>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</si>
  <si>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</si>
  <si>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</si>
  <si>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</si>
  <si>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</si>
  <si>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</si>
  <si>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</si>
  <si>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</si>
  <si>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</si>
  <si>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</si>
  <si>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</si>
  <si>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</si>
  <si>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</si>
  <si>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</si>
  <si>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</si>
  <si>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</si>
  <si>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</si>
  <si>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</si>
  <si>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</si>
  <si>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</si>
  <si>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</si>
  <si>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</si>
  <si>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</si>
  <si>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</si>
  <si>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</si>
  <si>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</si>
  <si>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</si>
  <si>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</si>
  <si>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</si>
  <si>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</si>
  <si>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</si>
  <si>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</si>
  <si>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</si>
  <si>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</si>
  <si>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</si>
  <si>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</si>
  <si>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</si>
  <si>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</si>
  <si>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</si>
  <si>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</si>
  <si>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</si>
  <si>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</si>
  <si>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</si>
  <si>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</si>
  <si>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</si>
  <si>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</si>
  <si>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</si>
  <si>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</si>
  <si>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</si>
  <si>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</si>
  <si>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</si>
  <si>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</si>
  <si>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</si>
  <si>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</si>
  <si>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</si>
  <si>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</si>
  <si>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</si>
  <si>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</si>
  <si>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</si>
  <si>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</si>
  <si>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</si>
  <si>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</si>
  <si>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</si>
  <si>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</si>
  <si>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</si>
  <si>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</si>
  <si>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</si>
  <si>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</si>
  <si>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</si>
  <si>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</si>
  <si>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</si>
  <si>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</si>
  <si>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</si>
  <si>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</si>
  <si>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</si>
  <si>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</si>
  <si>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</si>
  <si>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</si>
  <si>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</si>
  <si>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</si>
  <si>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</si>
  <si>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</si>
  <si>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</si>
  <si>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</si>
  <si>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</si>
  <si>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</si>
  <si>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</si>
  <si>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</si>
  <si>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</si>
  <si>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</si>
  <si>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</si>
  <si>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</si>
  <si>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</si>
  <si>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</si>
  <si>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</si>
  <si>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</si>
  <si>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</si>
  <si>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</si>
  <si>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</si>
  <si>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</si>
  <si>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</si>
  <si>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</si>
  <si>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</si>
  <si>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</si>
  <si>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</si>
  <si>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</si>
  <si>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</si>
  <si>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</si>
  <si>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</si>
  <si>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</si>
  <si>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</si>
  <si>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</si>
  <si>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</si>
  <si>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</si>
  <si>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</si>
  <si>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</si>
  <si>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</si>
  <si>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</si>
  <si>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</si>
  <si>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</si>
  <si>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</si>
  <si>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</si>
  <si>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</si>
  <si>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</si>
  <si>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</si>
  <si>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</si>
  <si>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</si>
  <si>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</si>
  <si>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</si>
  <si>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</si>
  <si>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</si>
  <si>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</si>
  <si>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</si>
  <si>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</si>
  <si>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</si>
  <si>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</si>
  <si>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</si>
  <si>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</si>
  <si>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</si>
  <si>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</si>
  <si>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</si>
  <si>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</si>
  <si>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</si>
  <si>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</si>
  <si>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</si>
  <si>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</si>
  <si>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</si>
  <si>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</si>
  <si>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</si>
  <si>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</si>
  <si>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</si>
  <si>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</si>
  <si>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</si>
  <si>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</si>
  <si>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</si>
  <si>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</si>
  <si>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</si>
  <si>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</si>
  <si>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</si>
  <si>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</si>
  <si>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</si>
  <si>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</si>
  <si>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</si>
  <si>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</si>
  <si>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</si>
  <si>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</si>
  <si>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</si>
  <si>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</si>
  <si>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</si>
  <si>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</si>
  <si>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</si>
  <si>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</si>
  <si>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</si>
  <si>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</si>
  <si>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</si>
  <si>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</si>
  <si>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</si>
  <si>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</si>
  <si>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</si>
  <si>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</si>
  <si>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</si>
  <si>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</si>
  <si>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</si>
  <si>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</si>
  <si>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</si>
  <si>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</si>
  <si>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</si>
  <si>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</si>
  <si>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</si>
  <si>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</si>
  <si>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</si>
  <si>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</si>
  <si>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</si>
  <si>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</si>
  <si>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</si>
  <si>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</si>
  <si>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</si>
  <si>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</si>
  <si>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</si>
  <si>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</si>
  <si>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</si>
  <si>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</si>
  <si>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</si>
  <si>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</si>
  <si>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</si>
  <si>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</si>
  <si>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ENDER OZBEK</t>
  </si>
  <si>
    <t>ORHAN YENIHAYAT</t>
  </si>
  <si>
    <t>GOZDE BEGUM AKUZUM</t>
  </si>
  <si>
    <t>02:13</t>
  </si>
  <si>
    <t>08:01</t>
  </si>
  <si>
    <t>06:53</t>
  </si>
  <si>
    <t>In rebounds, we credit a rebound to a player if he establishes control of the ball, intentionally passes it to a teammate, or intentionally throws it to an opponent so the ball goes out of bounds. There have been rebound plays that I did not correct because you can see them better from the court, but I got the feeling that you were considering as passes some tips that were not. Everything else was perfect.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</si>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</sst>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13_126_ULK_VIR_E2025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45986.864583333336</v>
      </c>
      <c r="C3" s="157"/>
      <c r="D3" s="39">
        <v>582</v>
      </c>
      <c r="E3" s="29"/>
      <c r="F3" s="26">
        <f>SUBTOTAL(3,I17:I106)</f>
        <v>3</v>
      </c>
      <c r="G3" s="27">
        <f>IF(OR(D3="",D3=0),"",F3/D3)</f>
        <v>5.1546391752577319E-3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5.1546391752577319E-3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0.51546391752577314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4.0154639175257731</v>
      </c>
      <c r="N7" s="58"/>
      <c r="O7" s="2"/>
      <c r="P7" s="2"/>
      <c r="Q7" s="86">
        <f>SUM(R5,S5,AC16)</f>
        <v>4.0154639175257731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4.0154639175257731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738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126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126</v>
      </c>
      <c r="D17" s="32" t="s">
        <v>754</v>
      </c>
      <c r="E17" s="33">
        <v>1</v>
      </c>
      <c r="F17" s="36">
        <v>10</v>
      </c>
      <c r="G17" s="36">
        <v>11</v>
      </c>
      <c r="H17" s="38" t="str">
        <f>IF(I17="","",$I$14)</f>
        <v>SCOUTING</v>
      </c>
      <c r="I17" s="34">
        <v>88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126</v>
      </c>
      <c r="D18" s="32" t="s">
        <v>755</v>
      </c>
      <c r="E18" s="33">
        <v>2</v>
      </c>
      <c r="F18" s="36">
        <v>19</v>
      </c>
      <c r="G18" s="36">
        <v>17</v>
      </c>
      <c r="H18" s="38" t="str">
        <f t="shared" ref="H18:H81" si="8">IF(I18="","",$I$14)</f>
        <v>SCOUTING</v>
      </c>
      <c r="I18" s="34">
        <v>148</v>
      </c>
      <c r="J18" s="13" t="s">
        <v>4</v>
      </c>
      <c r="K18" s="13" t="s">
        <v>63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126</v>
      </c>
      <c r="D19" s="32" t="s">
        <v>756</v>
      </c>
      <c r="E19" s="33">
        <v>2</v>
      </c>
      <c r="F19" s="36">
        <v>19</v>
      </c>
      <c r="G19" s="36">
        <v>20</v>
      </c>
      <c r="H19" s="38" t="str">
        <f t="shared" si="8"/>
        <v>SCOUTING</v>
      </c>
      <c r="I19" s="34">
        <v>165</v>
      </c>
      <c r="J19" s="13" t="s">
        <v>4</v>
      </c>
      <c r="K19" s="13" t="s">
        <v>62</v>
      </c>
      <c r="L19" s="13" t="s">
        <v>7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REPORT_E2025126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"E2025126"</v>
      </c>
      <c r="F3" s="45" t="str">
        <f t="shared" ref="F3:F16" si="0">""""&amp;B3&amp;"""" &amp; " : " &amp;C3&amp;","</f>
        <v>"name" : "E2025126",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"E126"</v>
      </c>
      <c r="F4" s="45" t="str">
        <f t="shared" si="0"/>
        <v>"cod" : "E126",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126</v>
      </c>
      <c r="F6" s="45" t="str">
        <f t="shared" si="0"/>
        <v>"number" : 126,</v>
      </c>
    </row>
    <row r="7" spans="2:6" x14ac:dyDescent="0.25">
      <c r="B7" s="43" t="s">
        <v>116</v>
      </c>
      <c r="C7" s="43" t="str">
        <f ca="1">""""&amp;TEXT('SCOUT &amp; LOGISTICS'!B3,"dd/mm/aaaa")&amp;""""</f>
        <v>"25/11/Tuesday"</v>
      </c>
      <c r="F7" s="45" t="str">
        <f t="shared" ca="1" si="0"/>
        <v>"date" : "25/11/Tuesday",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"SERHAT LEVENT"</v>
      </c>
      <c r="F13" s="45" t="str">
        <f t="shared" si="0"/>
        <v>"Timerkeeper" : "SERHAT LEVENT",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"GOZDE BEGUM AKUZUM"</v>
      </c>
      <c r="F14" s="45" t="str">
        <f t="shared" si="0"/>
        <v>"Shotclock" : "GOZDE BEGUM AKUZUM",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582</v>
      </c>
      <c r="F25" s="45" t="str">
        <f t="shared" ref="F25:F48" si="1">""""&amp;C25&amp;"""" &amp; " : " &amp;D25&amp;","</f>
        <v>"total_actions" : 582,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"In rebounds, we credit a rebound to a player if he establishes control of the ball, intentionally passes it to a teammate, or intentionally throws it to an opponent so the ball goes out of bounds. There have been rebound plays that I did not correct because you can see them better from the court, but I got the feeling that you were considering as passes some tips that were not. Everything else was perfect."</v>
      </c>
      <c r="F51" s="45" t="str">
        <f>""""&amp;B51&amp;"""" &amp; " : " &amp;C51&amp;","</f>
        <v>"comments" : "In rebounds, we credit a rebound to a player if he establishes control of the ball, intentionally passes it to a teammate, or intentionally throws it to an opponent so the ball goes out of bounds. There have been rebound plays that I did not correct because you can see them better from the court, but I got the feeling that you were considering as passes some tips that were not. Everything else was perfect.",</v>
      </c>
    </row>
    <row r="52" spans="2:6" x14ac:dyDescent="0.25">
      <c r="B52" s="43" t="s">
        <v>153</v>
      </c>
      <c r="C52" s="43" t="str">
        <f>TEXT('SCOUT &amp; LOGISTICS'!F1,"0,0")</f>
        <v>13_126_ULK_VIR_E2025</v>
      </c>
      <c r="F52" s="45" t="str">
        <f>""""&amp;B52&amp;"""" &amp; " : " &amp;C52</f>
        <v>"result" : 13_126_ULK_VIR_E2025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E126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25/11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SERHAT LEVENT</v>
      </c>
      <c r="R8" s="206"/>
      <c r="S8" s="206"/>
      <c r="T8" s="206"/>
      <c r="U8" s="206"/>
      <c r="V8" s="206" t="str">
        <f>IF('SCOUT &amp; LOGISTICS'!D10="","",'SCOUT &amp; LOGISTICS'!D10)</f>
        <v>GOZDE BEGUM AKUZUM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5.1546391752577319E-3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In rebounds, we credit a rebound to a player if he establishes control of the ball, intentionally passes it to a teammate, or intentionally throws it to an opponent so the ball goes out of bounds. There have been rebound plays that I did not correct because you can see them better from the court, but I got the feeling that you were considering as passes some tips that were not. Everything else was perfect.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4.0154639175257731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E322D5-7968-4C71-9E5C-CD03E556F3A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2025-11-26T15:08:13Z</cp:lastPrinted>
  <dcterms:created xsi:type="dcterms:W3CDTF">2023-09-19T19:50:35Z</dcterms:created>
  <dcterms:modified xsi:type="dcterms:W3CDTF">2025-11-26T15:09:52Z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