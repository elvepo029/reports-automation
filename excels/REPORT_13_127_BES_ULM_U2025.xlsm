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39" documentId="8_{82DD4614-2DB5-4270-8799-FD4308AAD4E4}" xr6:coauthVersionLast="47" xr6:coauthVersionMax="47" xr10:uidLastSave="{5CBD6047-F913-4E5C-8FD3-96436EE14520}"/>
  <bookViews>
    <workbookView xWindow="30" yWindow="-1632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<sst xmlns="http://schemas.openxmlformats.org/spreadsheetml/2006/main" count="3428" uniqueCount="850">
  <si>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</si>
  <si>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</si>
  <si>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</si>
  <si>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</si>
  <si>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</si>
  <si>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</si>
  <si>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</si>
  <si>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</si>
  <si>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</si>
  <si>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</si>
  <si>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</si>
  <si>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</si>
  <si>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</si>
  <si>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</si>
  <si>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</si>
  <si>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</si>
  <si>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</si>
  <si>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</si>
  <si>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</si>
  <si>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</si>
  <si>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</si>
  <si>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</si>
  <si>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</si>
  <si>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</si>
  <si>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</si>
  <si>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</si>
  <si>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</si>
  <si>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</si>
  <si>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</si>
  <si>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</si>
  <si>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</si>
  <si>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</si>
  <si>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</si>
  <si>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</si>
  <si>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</si>
  <si>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</si>
  <si>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</si>
  <si>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</si>
  <si>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</si>
  <si>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</si>
  <si>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</si>
  <si>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</si>
  <si>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</si>
  <si>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</si>
  <si>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</si>
  <si>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</si>
  <si>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</si>
  <si>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</si>
  <si>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</si>
  <si>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</si>
  <si>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</si>
  <si>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</si>
  <si>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</si>
  <si>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</si>
  <si>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</si>
  <si>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</si>
  <si>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</si>
  <si>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</si>
  <si>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</si>
  <si>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</si>
  <si>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</si>
  <si>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</si>
  <si>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</si>
  <si>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</si>
  <si>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</si>
  <si>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</si>
  <si>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</si>
  <si>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</si>
  <si>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</si>
  <si>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</si>
  <si>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</si>
  <si>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</si>
  <si>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</si>
  <si>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</si>
  <si>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</si>
  <si>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</si>
  <si>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</si>
  <si>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</si>
  <si>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</si>
  <si>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</si>
  <si>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</si>
  <si>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</si>
  <si>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</si>
  <si>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</si>
  <si>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</si>
  <si>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</si>
  <si>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</si>
  <si>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</si>
  <si>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</si>
  <si>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</si>
  <si>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</si>
  <si>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</si>
  <si>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</si>
  <si>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</si>
  <si>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</si>
  <si>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</si>
  <si>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</si>
  <si>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</si>
  <si>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</si>
  <si>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</si>
  <si>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</si>
  <si>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</si>
  <si>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</si>
  <si>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</si>
  <si>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</si>
  <si>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</si>
  <si>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</si>
  <si>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</si>
  <si>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</si>
  <si>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</si>
  <si>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</si>
  <si>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</si>
  <si>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</si>
  <si>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</si>
  <si>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</si>
  <si>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</si>
  <si>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</si>
  <si>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</si>
  <si>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</si>
  <si>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</si>
  <si>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</si>
  <si>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</si>
  <si>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</si>
  <si>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</si>
  <si>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</si>
  <si>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</si>
  <si>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</si>
  <si>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</si>
  <si>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</si>
  <si>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</si>
  <si>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</si>
  <si>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</si>
  <si>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</si>
  <si>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</si>
  <si>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</si>
  <si>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</si>
  <si>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</si>
  <si>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</si>
  <si>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</si>
  <si>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</si>
  <si>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</si>
  <si>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</si>
  <si>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</si>
  <si>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</si>
  <si>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</si>
  <si>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</si>
  <si>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</si>
  <si>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</si>
  <si>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</si>
  <si>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</si>
  <si>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</si>
  <si>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</si>
  <si>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</si>
  <si>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</si>
  <si>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</si>
  <si>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</si>
  <si>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</si>
  <si>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</si>
  <si>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</si>
  <si>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</si>
  <si>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</si>
  <si>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</si>
  <si>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</si>
  <si>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</si>
  <si>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</si>
  <si>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</si>
  <si>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</si>
  <si>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</si>
  <si>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</si>
  <si>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</si>
  <si>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</si>
  <si>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</si>
  <si>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</si>
  <si>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</si>
  <si>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</si>
  <si>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</si>
  <si>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</si>
  <si>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</si>
  <si>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</si>
  <si>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</si>
  <si>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</si>
  <si>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</si>
  <si>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</si>
  <si>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</si>
  <si>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</si>
  <si>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</si>
  <si>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</si>
  <si>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</si>
  <si>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</si>
  <si>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</si>
  <si>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</si>
  <si>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</si>
  <si>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</si>
  <si>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</si>
  <si>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</si>
  <si>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</si>
  <si>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</si>
  <si>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</si>
  <si>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</si>
  <si>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</si>
  <si>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</si>
  <si>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</si>
  <si>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</si>
  <si>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</si>
  <si>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</si>
  <si>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</si>
  <si>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</si>
  <si>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</si>
  <si>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</si>
  <si>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</si>
  <si>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</si>
  <si>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</si>
  <si>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</si>
  <si>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</si>
  <si>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</si>
  <si>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</si>
  <si>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</si>
  <si>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</si>
  <si>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</si>
  <si>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</si>
  <si>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</si>
  <si>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</si>
  <si>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</si>
  <si>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</si>
  <si>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</si>
  <si>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</si>
  <si>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</si>
  <si>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</si>
  <si>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</si>
  <si>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</si>
  <si>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</si>
  <si>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</si>
  <si>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</si>
  <si>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</si>
  <si>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</si>
  <si>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</si>
  <si>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</si>
  <si>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</si>
  <si>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</si>
  <si>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</si>
  <si>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</si>
  <si>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</si>
  <si>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</si>
  <si>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</si>
  <si>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</si>
  <si>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</si>
  <si>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</si>
  <si>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</si>
  <si>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</si>
  <si>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</si>
  <si>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</si>
  <si>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</si>
  <si>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</si>
  <si>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</si>
  <si>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</si>
  <si>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</si>
  <si>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</si>
  <si>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</si>
  <si>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</si>
  <si>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</si>
  <si>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</si>
  <si>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</si>
  <si>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</si>
  <si>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</si>
  <si>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</si>
  <si>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</si>
  <si>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</si>
  <si>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</si>
  <si>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</si>
  <si>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</si>
  <si>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</si>
  <si>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</si>
  <si>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</si>
  <si>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</si>
  <si>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</si>
  <si>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</si>
  <si>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</si>
  <si>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</si>
  <si>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</si>
  <si>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</si>
  <si>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</si>
  <si>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</si>
  <si>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</si>
  <si>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</si>
  <si>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</si>
  <si>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</si>
  <si>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</si>
  <si>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</si>
  <si>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</si>
  <si>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</si>
  <si>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</si>
  <si>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</si>
  <si>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</si>
  <si>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</si>
  <si>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</si>
  <si>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</si>
  <si>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</si>
  <si>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</si>
  <si>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</si>
  <si>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</si>
  <si>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</si>
  <si>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</si>
  <si>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</si>
  <si>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</si>
  <si>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</si>
  <si>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</si>
  <si>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</si>
  <si>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</si>
  <si>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</si>
  <si>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</si>
  <si>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</si>
  <si>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</si>
  <si>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</si>
  <si>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</si>
  <si>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</si>
  <si>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</si>
  <si>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</si>
  <si>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</si>
  <si>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</si>
  <si>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</si>
  <si>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</si>
  <si>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</si>
  <si>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</si>
  <si>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</si>
  <si>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</si>
  <si>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</si>
  <si>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</si>
  <si>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</si>
  <si>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</si>
  <si>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</si>
  <si>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</si>
  <si>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</si>
  <si>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</si>
  <si>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</si>
  <si>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</si>
  <si>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</si>
  <si>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</si>
  <si>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</si>
  <si>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</si>
  <si>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</si>
  <si>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</si>
  <si>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</si>
  <si>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</si>
  <si>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</si>
  <si>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</si>
  <si>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</si>
  <si>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</si>
  <si>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</si>
  <si>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</si>
  <si>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</si>
  <si>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</si>
  <si>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</si>
  <si>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</si>
  <si>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</si>
  <si>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</si>
  <si>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</si>
  <si>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</si>
  <si>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</si>
  <si>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</si>
  <si>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</si>
  <si>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</si>
  <si>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</si>
  <si>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</si>
  <si>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</si>
  <si>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</si>
  <si>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</si>
  <si>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</si>
  <si>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</si>
  <si>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</si>
  <si>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</si>
  <si>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</si>
  <si>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</si>
  <si>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</si>
  <si>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</si>
  <si>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</si>
  <si>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</si>
  <si>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</si>
  <si>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</si>
  <si>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</si>
  <si>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</si>
  <si>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</si>
  <si>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</si>
  <si>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</si>
  <si>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</si>
  <si>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</si>
  <si>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</si>
  <si>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</si>
  <si>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</si>
  <si>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</si>
  <si>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</si>
  <si>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</si>
  <si>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</si>
  <si>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</si>
  <si>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</si>
  <si>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</si>
  <si>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</si>
  <si>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</si>
  <si>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</si>
  <si>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</si>
  <si>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</si>
  <si>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</si>
  <si>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</si>
  <si>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</si>
  <si>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</si>
  <si>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</si>
  <si>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</si>
  <si>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</si>
  <si>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</si>
  <si>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</si>
  <si>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</si>
  <si>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</si>
  <si>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</si>
  <si>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</si>
  <si>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</si>
  <si>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</si>
  <si>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</si>
  <si>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</si>
  <si>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</si>
  <si>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</si>
  <si>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</si>
  <si>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</si>
  <si>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</si>
  <si>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</si>
  <si>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</si>
  <si>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</si>
  <si>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</si>
  <si>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</si>
  <si>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</si>
  <si>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</si>
  <si>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</si>
  <si>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</si>
  <si>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</si>
  <si>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</si>
  <si>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</si>
  <si>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</si>
  <si>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</si>
  <si>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</si>
  <si>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</si>
  <si>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</si>
  <si>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</si>
  <si>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</si>
  <si>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</si>
  <si>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</si>
  <si>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</si>
  <si>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</si>
  <si>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</si>
  <si>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</si>
  <si>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</si>
  <si>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</si>
  <si>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</si>
  <si>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</si>
  <si>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</si>
  <si>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</si>
  <si>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</si>
  <si>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</si>
  <si>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</si>
  <si>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</si>
  <si>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</si>
  <si>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</si>
  <si>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</si>
  <si>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</si>
  <si>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</si>
  <si>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</si>
  <si>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</si>
  <si>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</si>
  <si>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</si>
  <si>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</si>
  <si>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</si>
  <si>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</si>
  <si>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</si>
  <si>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</si>
  <si>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</si>
  <si>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</si>
  <si>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</si>
  <si>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</si>
  <si>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</si>
  <si>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</si>
  <si>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</si>
  <si>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</si>
  <si>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</si>
  <si>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</si>
  <si>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</si>
  <si>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</si>
  <si>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</si>
  <si>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</si>
  <si>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</si>
  <si>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</si>
  <si>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</si>
  <si>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</si>
  <si>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</si>
  <si>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</si>
  <si>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</si>
  <si>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</si>
  <si>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</si>
  <si>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</si>
  <si>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</si>
  <si>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</si>
  <si>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</si>
  <si>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</si>
  <si>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</si>
  <si>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</si>
  <si>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</si>
  <si>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</si>
  <si>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</si>
  <si>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</si>
  <si>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</si>
  <si>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</si>
  <si>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</si>
  <si>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</si>
  <si>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</si>
  <si>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</si>
  <si>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</si>
  <si>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</si>
  <si>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</si>
  <si>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</si>
  <si>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</si>
  <si>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</si>
  <si>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</si>
  <si>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</si>
  <si>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</si>
  <si>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</si>
  <si>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</si>
  <si>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</si>
  <si>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</si>
  <si>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</si>
  <si>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</si>
  <si>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</si>
  <si>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</si>
  <si>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</si>
  <si>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</si>
  <si>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</si>
  <si>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</si>
  <si>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</si>
  <si>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</si>
  <si>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</si>
  <si>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</si>
  <si>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</si>
  <si>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</si>
  <si>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</si>
  <si>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</si>
  <si>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</si>
  <si>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</si>
  <si>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</si>
  <si>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</si>
  <si>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</si>
  <si>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</si>
  <si>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</si>
  <si>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</si>
  <si>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</si>
  <si>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</si>
  <si>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</si>
  <si>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</si>
  <si>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</si>
  <si>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</si>
  <si>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</si>
  <si>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</si>
  <si>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</si>
  <si>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</si>
  <si>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</si>
  <si>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</si>
  <si>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</si>
  <si>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</si>
  <si>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</si>
  <si>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</si>
  <si>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</si>
  <si>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</si>
  <si>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</si>
  <si>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</si>
  <si>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</si>
  <si>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</si>
  <si>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</si>
  <si>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</si>
  <si>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</si>
  <si>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</si>
  <si>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</si>
  <si>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</si>
  <si>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</si>
  <si>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</si>
  <si>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</si>
  <si>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</si>
  <si>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</si>
  <si>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</si>
  <si>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</si>
  <si>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</si>
  <si>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</si>
  <si>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</si>
  <si>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</si>
  <si>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</si>
  <si>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</si>
  <si>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</si>
  <si>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</si>
  <si>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</si>
  <si>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</si>
  <si>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</si>
  <si>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</si>
  <si>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</si>
  <si>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</si>
  <si>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</si>
  <si>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</si>
  <si>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</si>
  <si>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</si>
  <si>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</si>
  <si>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</si>
  <si>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</si>
  <si>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</si>
  <si>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</si>
  <si>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</si>
  <si>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</si>
  <si>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</si>
  <si>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</si>
  <si>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</si>
  <si>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</si>
  <si>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</si>
  <si>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</si>
  <si>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</si>
  <si>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</si>
  <si>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</si>
  <si>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</si>
  <si>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</si>
  <si>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</si>
  <si>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</si>
  <si>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</si>
  <si>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</si>
  <si>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</si>
  <si>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</si>
  <si>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</si>
  <si>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</si>
  <si>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</si>
  <si>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</si>
  <si>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</si>
  <si>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</si>
  <si>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</si>
  <si>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</si>
  <si>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</si>
  <si>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</si>
  <si>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</si>
  <si>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</si>
  <si>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</si>
  <si>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</si>
  <si>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</si>
  <si>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</si>
  <si>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</si>
  <si>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</si>
  <si>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</si>
  <si>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</si>
  <si>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</si>
  <si>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</si>
  <si>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</si>
  <si>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</si>
  <si>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</si>
  <si>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</si>
  <si>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</si>
  <si>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</si>
  <si>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</si>
  <si>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</si>
  <si>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</si>
  <si>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</si>
  <si>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</si>
  <si>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</si>
  <si>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</si>
  <si>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</si>
  <si>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</si>
  <si>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</si>
  <si>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</si>
  <si>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</si>
  <si>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</si>
  <si>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</si>
  <si>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</si>
  <si>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</si>
  <si>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</si>
  <si>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</si>
  <si>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</si>
  <si>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</si>
  <si>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</si>
  <si>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</si>
  <si>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</si>
  <si>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</si>
  <si>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</si>
  <si>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</si>
  <si>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</si>
  <si>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</si>
  <si>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</si>
  <si>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</si>
  <si>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</si>
  <si>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</si>
  <si>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</si>
  <si>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</si>
  <si>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</si>
  <si>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</si>
  <si>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</si>
  <si>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</si>
  <si>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</si>
  <si>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</si>
  <si>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</si>
  <si>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</si>
  <si>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</si>
  <si>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</si>
  <si>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</si>
  <si>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</si>
  <si>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</si>
  <si>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</si>
  <si>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</si>
  <si>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</si>
  <si>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</si>
  <si>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</si>
  <si>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</si>
  <si>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</si>
  <si>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</si>
  <si>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</si>
  <si>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</si>
  <si>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</si>
  <si>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</si>
  <si>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</si>
  <si>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</si>
  <si>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</si>
  <si>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</si>
  <si>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</si>
  <si>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</si>
  <si>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</si>
  <si>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</si>
  <si>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</si>
  <si>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</si>
  <si>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</si>
  <si>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</si>
  <si>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</si>
  <si>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</si>
  <si>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</si>
  <si>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</si>
  <si>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</si>
  <si>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</si>
  <si>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</si>
  <si>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</si>
  <si>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</si>
  <si>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</si>
  <si>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</si>
  <si>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</si>
  <si>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</si>
  <si>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</si>
  <si>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</si>
  <si>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</si>
  <si>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</si>
  <si>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</si>
  <si>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</si>
  <si>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</si>
  <si>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</si>
  <si>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</si>
  <si>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</si>
  <si>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</si>
  <si>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</si>
  <si>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</si>
  <si>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</si>
  <si>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</si>
  <si>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</si>
  <si>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</si>
  <si>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</si>
  <si>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</si>
  <si>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</si>
  <si>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</si>
  <si>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</si>
  <si>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</si>
  <si>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</si>
  <si>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</si>
  <si>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</si>
  <si>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</si>
  <si>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</si>
  <si>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</si>
  <si>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</si>
  <si>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</si>
  <si>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</si>
  <si>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</si>
  <si>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</si>
  <si>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</si>
  <si>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</si>
  <si>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</si>
  <si>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</si>
  <si>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</si>
  <si>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</si>
  <si>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</si>
  <si>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</si>
  <si>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</si>
  <si>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</si>
  <si>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</si>
  <si>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</si>
  <si>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</si>
  <si>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</si>
  <si>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</si>
  <si>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</si>
  <si>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</si>
  <si>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</si>
  <si>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</si>
  <si>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</si>
  <si>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</si>
  <si>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</si>
  <si>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</si>
  <si>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</si>
  <si>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</si>
  <si>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</si>
  <si>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</si>
  <si>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</si>
  <si>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</si>
  <si>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</si>
  <si>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</si>
  <si>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</si>
  <si>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</si>
  <si>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</si>
  <si>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</si>
  <si>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</si>
  <si>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</si>
  <si>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</si>
  <si>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</si>
  <si>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</si>
  <si>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</si>
  <si>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</si>
  <si>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</si>
  <si>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</si>
  <si>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</si>
  <si>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</si>
  <si>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</si>
  <si>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</si>
  <si>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</si>
  <si>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</si>
  <si>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</si>
  <si>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</si>
  <si>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</si>
  <si>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</si>
  <si>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C:\Users\eloi.verge\OneDrive - EUROLEAGUE\Desktop\GAME REPORTS\25-26</t>
  </si>
  <si>
    <t>AHMET GEZINTI</t>
  </si>
  <si>
    <t>KIVILCIM KORKMAZ</t>
  </si>
  <si>
    <t>AYBERK PARALI</t>
  </si>
  <si>
    <t>GORKEM GORGULU</t>
  </si>
  <si>
    <t>ELOI VERGE</t>
  </si>
  <si>
    <t>02:38</t>
  </si>
  <si>
    <t>2</t>
  </si>
  <si>
    <t>04:43</t>
  </si>
  <si>
    <t>4</t>
  </si>
  <si>
    <t>08:09</t>
  </si>
  <si>
    <t>05:14</t>
  </si>
  <si>
    <t>3</t>
  </si>
  <si>
    <t>00:17</t>
  </si>
  <si>
    <t>02:37</t>
  </si>
  <si>
    <t>08:45</t>
  </si>
  <si>
    <t>08:26</t>
  </si>
  <si>
    <t>1</t>
  </si>
  <si>
    <t>09:23</t>
  </si>
  <si>
    <t>03:05</t>
  </si>
  <si>
    <t>08:27</t>
  </si>
  <si>
    <t>05:47</t>
  </si>
  <si>
    <t>05:37</t>
  </si>
  <si>
    <t>04:48</t>
  </si>
  <si>
    <t>I feel like too many corrections were more related to observation rather than to criteria or software workflow. So please, improve the focus on the game and the players (specially the callers). Keep it up, I know the next game the performance will be much better!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</si>
</sst>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4" sqref="M4:N6"/>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748</v>
      </c>
      <c r="E1" s="125">
        <v>2025</v>
      </c>
      <c r="F1" s="120" t="str">
        <f>TEXT(C1,"00") &amp; "_" &amp; TEXT(C2,"000")&amp; "_" &amp; H4 &amp; "_" &amp; H5 &amp; "_" &amp; B2</f>
        <v>13_127_BES_ULM_U2025</v>
      </c>
      <c r="G1" s="5"/>
      <c r="H1" s="5"/>
      <c r="I1" s="5"/>
      <c r="J1" s="8" t="s">
        <v>707</v>
      </c>
      <c r="K1" s="121" t="s">
        <v>825</v>
      </c>
      <c r="L1" s="121"/>
      <c r="M1" s="122" t="s">
        <v>239</v>
      </c>
      <c r="N1" s="121" t="s">
        <v>825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127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46028.833333333336</v>
      </c>
      <c r="C3" s="157"/>
      <c r="D3" s="39">
        <v>591</v>
      </c>
      <c r="E3" s="29"/>
      <c r="F3" s="26">
        <f>SUBTOTAL(3,I17:I106)</f>
        <v>16</v>
      </c>
      <c r="G3" s="27">
        <f>IF(OR(D3="",D3=0),"",F3/D3)</f>
        <v>2.7072758037225041E-2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Besiktas GAIN Istanbul</v>
      </c>
      <c r="E4" s="161"/>
      <c r="F4" s="161"/>
      <c r="G4" s="162"/>
      <c r="H4" s="118" t="str">
        <f>IF(ISERROR(VLOOKUP($B$2&amp;TEXT($C$2,"000"),GAMES!$A$3:$I$562,6,FALSE)),"LOC",VLOOKUP($B$2&amp;TEXT($C$2,"000"),GAMES!$A$3:$I$562,6,FALSE))</f>
        <v>BES</v>
      </c>
      <c r="I4" s="5"/>
      <c r="J4" s="119" t="s">
        <v>714</v>
      </c>
      <c r="K4" s="54" t="s">
        <v>742</v>
      </c>
      <c r="L4" s="5"/>
      <c r="M4" s="167" t="s">
        <v>849</v>
      </c>
      <c r="N4" s="168"/>
      <c r="O4" s="2"/>
      <c r="P4" s="2"/>
      <c r="Q4" s="84" t="s">
        <v>175</v>
      </c>
      <c r="R4" s="94">
        <f>(IF(G3="",0,G3))</f>
        <v>2.7072758037225041E-2</v>
      </c>
      <c r="S4" s="61">
        <f>SUM(I13:M13)</f>
        <v>1</v>
      </c>
      <c r="T4" s="78"/>
      <c r="U4" s="61">
        <f>AC18</f>
        <v>4</v>
      </c>
      <c r="V4" s="61">
        <f>+AC22</f>
        <v>8</v>
      </c>
      <c r="W4" s="61">
        <f>AC24</f>
        <v>0</v>
      </c>
      <c r="X4" s="61">
        <f>AC29</f>
        <v>2</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ratiopharm Ulm</v>
      </c>
      <c r="E5" s="174"/>
      <c r="F5" s="174"/>
      <c r="G5" s="175"/>
      <c r="H5" s="118" t="str">
        <f>IF(ISERROR(VLOOKUP($B$2&amp;TEXT($C$2,"000"),GAMES!$A$3:$I$562,7,FALSE)),"VIS",VLOOKUP($B$2&amp;TEXT($C$2,"000"),GAMES!$A$3:$I$562,7,FALSE))</f>
        <v>ULM</v>
      </c>
      <c r="I5" s="5"/>
      <c r="J5" s="5"/>
      <c r="K5" s="5"/>
      <c r="L5" s="5"/>
      <c r="M5" s="169"/>
      <c r="N5" s="170"/>
      <c r="O5" s="2"/>
      <c r="P5" s="2"/>
      <c r="Q5" s="89" t="s">
        <v>174</v>
      </c>
      <c r="R5" s="94">
        <f>R4*R3</f>
        <v>2.7072758037225042</v>
      </c>
      <c r="S5" s="70">
        <f t="shared" ref="S5" si="0">S4*S3</f>
        <v>1</v>
      </c>
      <c r="T5" s="92"/>
      <c r="U5" s="70">
        <f t="shared" ref="U5:AG5" si="1">U4*U3</f>
        <v>2</v>
      </c>
      <c r="V5" s="70">
        <f t="shared" si="1"/>
        <v>8</v>
      </c>
      <c r="W5" s="70">
        <f t="shared" si="1"/>
        <v>0</v>
      </c>
      <c r="X5" s="70">
        <f t="shared" si="1"/>
        <v>2</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771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826</v>
      </c>
      <c r="E7" s="179"/>
      <c r="F7" s="179"/>
      <c r="G7" s="180"/>
      <c r="H7" s="129" t="s">
        <v>709</v>
      </c>
      <c r="I7" s="129" t="s">
        <v>710</v>
      </c>
      <c r="J7" s="129" t="s">
        <v>711</v>
      </c>
      <c r="K7" s="129" t="s">
        <v>712</v>
      </c>
      <c r="L7" s="129" t="s">
        <v>713</v>
      </c>
      <c r="M7" s="58">
        <f>Q7</f>
        <v>38.207275803722503</v>
      </c>
      <c r="N7" s="58"/>
      <c r="O7" s="2"/>
      <c r="P7" s="2"/>
      <c r="Q7" s="86">
        <f>SUM(R5,S5,AC16)</f>
        <v>38.207275803722503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827</v>
      </c>
      <c r="E8" s="182"/>
      <c r="F8" s="182"/>
      <c r="G8" s="183"/>
      <c r="H8" s="129" t="s">
        <v>746</v>
      </c>
      <c r="I8" s="129" t="s">
        <v>746</v>
      </c>
      <c r="J8" s="129" t="s">
        <v>747</v>
      </c>
      <c r="K8" s="129" t="s">
        <v>743</v>
      </c>
      <c r="L8" s="129" t="s">
        <v>744</v>
      </c>
      <c r="M8" s="129" t="s">
        <v>108</v>
      </c>
      <c r="N8" s="2"/>
      <c r="O8" s="2"/>
      <c r="P8" s="2"/>
      <c r="Q8" s="85">
        <f>SUM(R5:BA5)</f>
        <v>18.207275803722503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828</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829</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127</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830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16</v>
      </c>
      <c r="J15" s="24">
        <f>SUBTOTAL(3,J17:J106)</f>
        <v>16</v>
      </c>
      <c r="K15" s="24">
        <f>SUBTOTAL(3,K17:K106)</f>
        <v>16</v>
      </c>
      <c r="L15" s="24">
        <f>SUBTOTAL(3,L17:L106)</f>
        <v>16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1</v>
      </c>
      <c r="U16" s="76" t="s">
        <v>76</v>
      </c>
      <c r="V16" s="75">
        <f>SUM(V17:V24)</f>
        <v>0</v>
      </c>
      <c r="X16" s="67" t="s">
        <v>58</v>
      </c>
      <c r="Y16" s="75">
        <f>SUM(Y17:Y24)</f>
        <v>16</v>
      </c>
      <c r="Z16" s="90" t="s">
        <v>110</v>
      </c>
      <c r="AA16" s="75">
        <f>SUM(AA17:AA24)</f>
        <v>16</v>
      </c>
      <c r="AB16" s="76" t="s">
        <v>54</v>
      </c>
      <c r="AC16" s="75">
        <f>SUM(AC17*AD17,AC18*AD18,AC19*AD19,AC20*AD20,AC21*AD21,AC22*AD22,AC23*AD23,AC24*AD24,AC25*AD25,AC26*AD26,AC27*AD27,AC28*AD28,AC29*AD29,AC30*AD30,AC30*AD30,AC31*AD31,AC32*AD32,AC33*AD33,AC34*AD34,AC35*AD35,AC36*AD36)</f>
        <v>34.5</v>
      </c>
      <c r="AD16" s="75">
        <f>SUM(AD17:AD24)</f>
        <v>45</v>
      </c>
      <c r="AE16" s="76" t="s">
        <v>42</v>
      </c>
      <c r="AF16" s="75">
        <f>SUM(AF17:AF24)</f>
        <v>7</v>
      </c>
      <c r="AG16" s="75">
        <f>SUM(AG17:AG21)</f>
        <v>16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127</v>
      </c>
      <c r="D17" s="32" t="s">
        <v>831</v>
      </c>
      <c r="E17" s="33" t="s">
        <v>832</v>
      </c>
      <c r="F17" s="36">
        <v>39</v>
      </c>
      <c r="G17" s="36">
        <v>37</v>
      </c>
      <c r="H17" s="38" t="str">
        <f>IF(I17="","",$I$14)</f>
        <v>SCOUTING</v>
      </c>
      <c r="I17" s="34">
        <v>280</v>
      </c>
      <c r="J17" s="13" t="s">
        <v>3</v>
      </c>
      <c r="K17" s="13" t="s">
        <v>63</v>
      </c>
      <c r="L17" s="13" t="s">
        <v>77</v>
      </c>
      <c r="M17" s="13" t="s">
        <v>25</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15</v>
      </c>
      <c r="Z17" s="105" t="s">
        <v>63</v>
      </c>
      <c r="AA17" s="62">
        <f>COUNTIF($K$17:$K$106,Z17)</f>
        <v>11</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127</v>
      </c>
      <c r="D18" s="32" t="s">
        <v>833</v>
      </c>
      <c r="E18" s="33" t="s">
        <v>834</v>
      </c>
      <c r="F18" s="36">
        <v>80</v>
      </c>
      <c r="G18" s="36">
        <v>69</v>
      </c>
      <c r="H18" s="38" t="str">
        <f t="shared" ref="H18:H81" si="8">IF(I18="","",$I$14)</f>
        <v>SCOUTING</v>
      </c>
      <c r="I18" s="34">
        <v>532</v>
      </c>
      <c r="J18" s="13" t="s">
        <v>4</v>
      </c>
      <c r="K18" s="13" t="s">
        <v>63</v>
      </c>
      <c r="L18" s="13" t="s">
        <v>6</v>
      </c>
      <c r="M18" s="13" t="s">
        <v>10</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4</v>
      </c>
      <c r="AB18" s="66" t="s">
        <v>5</v>
      </c>
      <c r="AC18" s="61">
        <f t="shared" si="5"/>
        <v>4</v>
      </c>
      <c r="AD18" s="61">
        <f t="shared" si="6"/>
        <v>0.5</v>
      </c>
      <c r="AE18" s="66" t="s">
        <v>12</v>
      </c>
      <c r="AF18" s="65">
        <f t="shared" si="7"/>
        <v>2</v>
      </c>
      <c r="AG18" s="62">
        <f>COUNTIF($E$17:$E$106,$AK18)</f>
        <v>10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127</v>
      </c>
      <c r="D19" s="32" t="s">
        <v>835</v>
      </c>
      <c r="E19" s="33" t="s">
        <v>834</v>
      </c>
      <c r="F19" s="36">
        <v>75</v>
      </c>
      <c r="G19" s="36">
        <v>58</v>
      </c>
      <c r="H19" s="38" t="str">
        <f t="shared" si="8"/>
        <v>SCOUTING</v>
      </c>
      <c r="I19" s="34">
        <v>492</v>
      </c>
      <c r="J19" s="13" t="s">
        <v>4</v>
      </c>
      <c r="K19" s="13" t="s">
        <v>63</v>
      </c>
      <c r="L19" s="13" t="s">
        <v>6</v>
      </c>
      <c r="M19" s="13" t="s">
        <v>168</v>
      </c>
      <c r="N19" s="35"/>
      <c r="O19" s="5" t="s">
        <v>76</v>
      </c>
      <c r="P19" s="5">
        <v>15</v>
      </c>
      <c r="Q19" s="84">
        <f t="shared" si="4"/>
        <v>0</v>
      </c>
      <c r="R19" s="5" t="s">
        <v>172</v>
      </c>
      <c r="U19" s="66" t="s">
        <v>8</v>
      </c>
      <c r="V19" s="65">
        <f t="shared" si="9"/>
        <v>0</v>
      </c>
      <c r="W19" s="75"/>
      <c r="X19" s="82"/>
      <c r="Y19" s="83"/>
      <c r="Z19" s="105" t="s">
        <v>61</v>
      </c>
      <c r="AA19" s="62">
        <f>COUNTIF($K$17:$K$106,Z19)</f>
        <v>1</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127</v>
      </c>
      <c r="D20" s="32" t="s">
        <v>835</v>
      </c>
      <c r="E20" s="33" t="s">
        <v>834</v>
      </c>
      <c r="F20" s="36">
        <v>75</v>
      </c>
      <c r="G20" s="36">
        <v>58</v>
      </c>
      <c r="H20" s="38" t="str">
        <f t="shared" si="8"/>
        <v>SCOUTING</v>
      </c>
      <c r="I20" s="34">
        <v>491</v>
      </c>
      <c r="J20" s="13" t="s">
        <v>4</v>
      </c>
      <c r="K20" s="13" t="s">
        <v>63</v>
      </c>
      <c r="L20" s="13" t="s">
        <v>6</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127</v>
      </c>
      <c r="D21" s="32" t="s">
        <v>836</v>
      </c>
      <c r="E21" s="33" t="s">
        <v>837</v>
      </c>
      <c r="F21" s="36">
        <v>63</v>
      </c>
      <c r="G21" s="36">
        <v>49</v>
      </c>
      <c r="H21" s="38" t="str">
        <f t="shared" si="8"/>
        <v>SCOUTING</v>
      </c>
      <c r="I21" s="34">
        <v>370</v>
      </c>
      <c r="J21" s="13" t="s">
        <v>4</v>
      </c>
      <c r="K21" s="13" t="s">
        <v>63</v>
      </c>
      <c r="L21" s="13" t="s">
        <v>6</v>
      </c>
      <c r="M21" s="13" t="s">
        <v>10</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127</v>
      </c>
      <c r="D22" s="32" t="s">
        <v>838</v>
      </c>
      <c r="E22" s="33" t="s">
        <v>832</v>
      </c>
      <c r="F22" s="36">
        <v>47</v>
      </c>
      <c r="G22" s="36">
        <v>38</v>
      </c>
      <c r="H22" s="38" t="str">
        <f t="shared" si="8"/>
        <v>SCOUTING</v>
      </c>
      <c r="I22" s="34">
        <v>316</v>
      </c>
      <c r="J22" s="13" t="s">
        <v>4</v>
      </c>
      <c r="K22" s="13" t="s">
        <v>63</v>
      </c>
      <c r="L22" s="13" t="s">
        <v>5</v>
      </c>
      <c r="M22" s="13" t="s">
        <v>27</v>
      </c>
      <c r="N22" s="35"/>
      <c r="O22" s="5" t="s">
        <v>6</v>
      </c>
      <c r="P22" s="5">
        <v>1</v>
      </c>
      <c r="Q22" s="84">
        <f t="shared" si="4"/>
        <v>0</v>
      </c>
      <c r="R22" s="5"/>
      <c r="U22" s="66" t="s">
        <v>32</v>
      </c>
      <c r="V22" s="65">
        <f t="shared" si="9"/>
        <v>0</v>
      </c>
      <c r="X22" s="82"/>
      <c r="Y22" s="83"/>
      <c r="Z22" s="105"/>
      <c r="AA22" s="65"/>
      <c r="AB22" s="66" t="s">
        <v>6</v>
      </c>
      <c r="AC22" s="61">
        <f t="shared" si="5"/>
        <v>8</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127</v>
      </c>
      <c r="D23" s="32" t="s">
        <v>839</v>
      </c>
      <c r="E23" s="33" t="s">
        <v>832</v>
      </c>
      <c r="F23" s="36">
        <v>39</v>
      </c>
      <c r="G23" s="36">
        <v>36</v>
      </c>
      <c r="H23" s="38" t="str">
        <f t="shared" si="8"/>
        <v>SCOUTING</v>
      </c>
      <c r="I23" s="34">
        <v>282</v>
      </c>
      <c r="J23" s="13" t="s">
        <v>4</v>
      </c>
      <c r="K23" s="13" t="s">
        <v>62</v>
      </c>
      <c r="L23" s="13" t="s">
        <v>6</v>
      </c>
      <c r="M23" s="13" t="s">
        <v>168</v>
      </c>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127</v>
      </c>
      <c r="D24" s="32" t="s">
        <v>840</v>
      </c>
      <c r="E24" s="33" t="s">
        <v>832</v>
      </c>
      <c r="F24" s="36">
        <v>26</v>
      </c>
      <c r="G24" s="36">
        <v>28</v>
      </c>
      <c r="H24" s="38" t="str">
        <f t="shared" si="8"/>
        <v>SCOUTING</v>
      </c>
      <c r="I24" s="34">
        <v>153</v>
      </c>
      <c r="J24" s="13" t="s">
        <v>4</v>
      </c>
      <c r="K24" s="13" t="s">
        <v>62</v>
      </c>
      <c r="L24" s="13" t="s">
        <v>75</v>
      </c>
      <c r="M24" s="13" t="s">
        <v>22</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127</v>
      </c>
      <c r="D25" s="32" t="s">
        <v>848</v>
      </c>
      <c r="E25" s="33" t="s">
        <v>832</v>
      </c>
      <c r="F25" s="36">
        <v>32</v>
      </c>
      <c r="G25" s="36">
        <v>34</v>
      </c>
      <c r="H25" s="38" t="str">
        <f t="shared" si="8"/>
        <v>SCOUTING</v>
      </c>
      <c r="I25" s="34">
        <v>233</v>
      </c>
      <c r="J25" s="13" t="s">
        <v>4</v>
      </c>
      <c r="K25" s="13" t="s">
        <v>62</v>
      </c>
      <c r="L25" s="13" t="s">
        <v>5</v>
      </c>
      <c r="M25" s="13" t="s">
        <v>11</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 t="shared" si="3"/>
        <v>127</v>
      </c>
      <c r="D26" s="32" t="s">
        <v>846</v>
      </c>
      <c r="E26" s="33" t="s">
        <v>832</v>
      </c>
      <c r="F26" s="36">
        <v>30</v>
      </c>
      <c r="G26" s="36">
        <v>30</v>
      </c>
      <c r="H26" s="38" t="str">
        <f t="shared" si="8"/>
        <v>SCOUTING</v>
      </c>
      <c r="I26" s="34">
        <v>212</v>
      </c>
      <c r="J26" s="13" t="s">
        <v>4</v>
      </c>
      <c r="K26" s="13" t="s">
        <v>63</v>
      </c>
      <c r="L26" s="13" t="s">
        <v>6</v>
      </c>
      <c r="M26" s="13" t="s">
        <v>30</v>
      </c>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U2025</v>
      </c>
      <c r="C27" s="31">
        <f t="shared" si="3"/>
        <v>127</v>
      </c>
      <c r="D27" s="32" t="s">
        <v>841</v>
      </c>
      <c r="E27" s="33" t="s">
        <v>832</v>
      </c>
      <c r="F27" s="36">
        <v>28</v>
      </c>
      <c r="G27" s="36">
        <v>28</v>
      </c>
      <c r="H27" s="38" t="str">
        <f t="shared" si="8"/>
        <v>SCOUTING</v>
      </c>
      <c r="I27" s="34">
        <v>167</v>
      </c>
      <c r="J27" s="13" t="s">
        <v>4</v>
      </c>
      <c r="K27" s="13" t="s">
        <v>63</v>
      </c>
      <c r="L27" s="13" t="s">
        <v>75</v>
      </c>
      <c r="M27" s="13" t="s">
        <v>78</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U2025</v>
      </c>
      <c r="C28" s="31">
        <f t="shared" si="3"/>
        <v>127</v>
      </c>
      <c r="D28" s="32" t="s">
        <v>845</v>
      </c>
      <c r="E28" s="33" t="s">
        <v>832</v>
      </c>
      <c r="F28" s="36">
        <v>28</v>
      </c>
      <c r="G28" s="36">
        <v>28</v>
      </c>
      <c r="H28" s="38" t="str">
        <f t="shared" si="8"/>
        <v>SCOUTING</v>
      </c>
      <c r="I28" s="34">
        <v>164</v>
      </c>
      <c r="J28" s="13" t="s">
        <v>4</v>
      </c>
      <c r="K28" s="13" t="s">
        <v>63</v>
      </c>
      <c r="L28" s="13" t="s">
        <v>6</v>
      </c>
      <c r="M28" s="13" t="s">
        <v>12</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U2025</v>
      </c>
      <c r="C29" s="31">
        <f t="shared" si="3"/>
        <v>127</v>
      </c>
      <c r="D29" s="32" t="s">
        <v>845</v>
      </c>
      <c r="E29" s="33" t="s">
        <v>832</v>
      </c>
      <c r="F29" s="36">
        <v>28</v>
      </c>
      <c r="G29" s="36">
        <v>28</v>
      </c>
      <c r="H29" s="38" t="str">
        <f t="shared" si="8"/>
        <v>SCOUTING</v>
      </c>
      <c r="I29" s="34">
        <v>160</v>
      </c>
      <c r="J29" s="13" t="s">
        <v>4</v>
      </c>
      <c r="K29" s="13" t="s">
        <v>63</v>
      </c>
      <c r="L29" s="13" t="s">
        <v>6</v>
      </c>
      <c r="M29" s="13" t="s">
        <v>9</v>
      </c>
      <c r="N29" s="35"/>
      <c r="O29" s="5" t="s">
        <v>75</v>
      </c>
      <c r="P29" s="5">
        <v>1</v>
      </c>
      <c r="Q29" s="84">
        <f t="shared" si="4"/>
        <v>0</v>
      </c>
      <c r="R29" s="5" t="s">
        <v>171</v>
      </c>
      <c r="U29" s="73"/>
      <c r="X29" s="82"/>
      <c r="Y29" s="83"/>
      <c r="Z29" s="105"/>
      <c r="AA29" s="65"/>
      <c r="AB29" s="66" t="s">
        <v>75</v>
      </c>
      <c r="AC29" s="61">
        <f t="shared" si="5"/>
        <v>2</v>
      </c>
      <c r="AD29" s="61">
        <f>P29</f>
        <v>1</v>
      </c>
      <c r="AE29" s="66" t="s">
        <v>25</v>
      </c>
      <c r="AF29" s="65">
        <f t="shared" si="7"/>
        <v>1</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U2025</v>
      </c>
      <c r="C30" s="31">
        <f t="shared" si="3"/>
        <v>127</v>
      </c>
      <c r="D30" s="32" t="s">
        <v>847</v>
      </c>
      <c r="E30" s="33" t="s">
        <v>832</v>
      </c>
      <c r="F30" s="36">
        <v>30</v>
      </c>
      <c r="G30" s="36">
        <v>32</v>
      </c>
      <c r="H30" s="38" t="str">
        <f t="shared" si="8"/>
        <v>SCOUTING</v>
      </c>
      <c r="I30" s="34">
        <v>219</v>
      </c>
      <c r="J30" s="13" t="s">
        <v>4</v>
      </c>
      <c r="K30" s="13" t="s">
        <v>61</v>
      </c>
      <c r="L30" s="13" t="s">
        <v>7</v>
      </c>
      <c r="M30" s="13" t="s">
        <v>38</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U2025</v>
      </c>
      <c r="C31" s="31">
        <f t="shared" si="3"/>
        <v>127</v>
      </c>
      <c r="D31" s="32" t="s">
        <v>844</v>
      </c>
      <c r="E31" s="33" t="s">
        <v>842</v>
      </c>
      <c r="F31" s="36">
        <v>16</v>
      </c>
      <c r="G31" s="36">
        <v>20</v>
      </c>
      <c r="H31" s="38" t="str">
        <f t="shared" si="8"/>
        <v>SCOUTING</v>
      </c>
      <c r="I31" s="34">
        <v>86</v>
      </c>
      <c r="J31" s="13" t="s">
        <v>4</v>
      </c>
      <c r="K31" s="13" t="s">
        <v>63</v>
      </c>
      <c r="L31" s="13" t="s">
        <v>5</v>
      </c>
      <c r="M31" s="13" t="s">
        <v>168</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U2025</v>
      </c>
      <c r="C32" s="31">
        <f t="shared" si="3"/>
        <v>127</v>
      </c>
      <c r="D32" s="32" t="s">
        <v>843</v>
      </c>
      <c r="E32" s="33" t="s">
        <v>842</v>
      </c>
      <c r="F32" s="36">
        <v>2</v>
      </c>
      <c r="G32" s="36">
        <v>2</v>
      </c>
      <c r="H32" s="38" t="str">
        <f t="shared" si="8"/>
        <v>SCOUTING</v>
      </c>
      <c r="I32" s="34">
        <v>8</v>
      </c>
      <c r="J32" s="13" t="s">
        <v>4</v>
      </c>
      <c r="K32" s="13" t="s">
        <v>62</v>
      </c>
      <c r="L32" s="13" t="s">
        <v>5</v>
      </c>
      <c r="M32" s="13" t="s">
        <v>11</v>
      </c>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1</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803</v>
      </c>
      <c r="E3" s="133" t="s">
        <v>804</v>
      </c>
      <c r="F3" s="133" t="s">
        <v>805</v>
      </c>
      <c r="G3" s="133" t="s">
        <v>806</v>
      </c>
      <c r="H3" s="133" t="s">
        <v>807</v>
      </c>
      <c r="I3" s="134" t="s">
        <v>808</v>
      </c>
      <c r="J3" s="135"/>
      <c r="K3" s="133"/>
      <c r="L3" s="133"/>
      <c r="M3" s="133"/>
      <c r="N3" s="134"/>
      <c r="O3" s="134"/>
    </row>
    <row r="4" spans="2:15" x14ac:dyDescent="0.25">
      <c r="B4" s="153" t="s">
        <v>178</v>
      </c>
      <c r="C4" s="150" t="s">
        <v>223</v>
      </c>
      <c r="D4" s="136" t="s">
        <v>764</v>
      </c>
      <c r="E4" s="137" t="s">
        <v>765</v>
      </c>
      <c r="F4" s="137" t="s">
        <v>766</v>
      </c>
      <c r="G4" s="137" t="s">
        <v>767</v>
      </c>
      <c r="H4" s="137" t="s">
        <v>768</v>
      </c>
      <c r="I4" s="138" t="s">
        <v>769</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787</v>
      </c>
      <c r="E6" s="137" t="s">
        <v>788</v>
      </c>
      <c r="F6" s="137" t="s">
        <v>789</v>
      </c>
      <c r="G6" s="137" t="s">
        <v>780</v>
      </c>
      <c r="H6" s="137" t="s">
        <v>779</v>
      </c>
      <c r="I6" s="138" t="s">
        <v>790</v>
      </c>
      <c r="J6" s="139"/>
      <c r="K6" s="137"/>
      <c r="L6" s="137"/>
      <c r="M6" s="137"/>
      <c r="N6" s="140"/>
      <c r="O6" s="138"/>
    </row>
    <row r="7" spans="2:15" x14ac:dyDescent="0.25">
      <c r="B7" s="153" t="s">
        <v>181</v>
      </c>
      <c r="C7" s="150" t="s">
        <v>226</v>
      </c>
      <c r="D7" s="136" t="s">
        <v>729</v>
      </c>
      <c r="E7" s="137" t="s">
        <v>754</v>
      </c>
      <c r="F7" s="137" t="s">
        <v>755</v>
      </c>
      <c r="G7" s="137" t="s">
        <v>756</v>
      </c>
      <c r="H7" s="137" t="s">
        <v>757</v>
      </c>
      <c r="I7" s="137" t="s">
        <v>824</v>
      </c>
      <c r="J7" s="139"/>
      <c r="K7" s="137"/>
      <c r="L7" s="137"/>
      <c r="M7" s="137"/>
      <c r="N7" s="140"/>
      <c r="O7" s="138"/>
    </row>
    <row r="8" spans="2:15" x14ac:dyDescent="0.25">
      <c r="B8" s="153" t="s">
        <v>182</v>
      </c>
      <c r="C8" s="150" t="s">
        <v>217</v>
      </c>
      <c r="D8" s="136" t="s">
        <v>735</v>
      </c>
      <c r="E8" s="137" t="s">
        <v>770</v>
      </c>
      <c r="F8" s="137" t="s">
        <v>771</v>
      </c>
      <c r="G8" s="137" t="s">
        <v>772</v>
      </c>
      <c r="H8" s="137" t="s">
        <v>773</v>
      </c>
      <c r="I8" s="138" t="s">
        <v>740</v>
      </c>
      <c r="J8" s="139" t="s">
        <v>717</v>
      </c>
      <c r="K8" s="137" t="s">
        <v>718</v>
      </c>
      <c r="L8" s="137" t="s">
        <v>719</v>
      </c>
      <c r="M8" s="137" t="s">
        <v>720</v>
      </c>
      <c r="N8" s="140" t="s">
        <v>721</v>
      </c>
      <c r="O8" s="138" t="s">
        <v>722</v>
      </c>
    </row>
    <row r="9" spans="2:15" x14ac:dyDescent="0.25">
      <c r="B9" s="153" t="s">
        <v>183</v>
      </c>
      <c r="C9" s="150" t="s">
        <v>233</v>
      </c>
      <c r="D9" s="136" t="s">
        <v>818</v>
      </c>
      <c r="E9" s="137" t="s">
        <v>819</v>
      </c>
      <c r="F9" s="137" t="s">
        <v>820</v>
      </c>
      <c r="G9" s="137" t="s">
        <v>821</v>
      </c>
      <c r="H9" s="137" t="s">
        <v>822</v>
      </c>
      <c r="I9" s="138" t="s">
        <v>823</v>
      </c>
      <c r="J9" s="139"/>
      <c r="K9" s="137"/>
      <c r="L9" s="137"/>
      <c r="M9" s="137"/>
      <c r="N9" s="140"/>
      <c r="O9" s="138"/>
    </row>
    <row r="10" spans="2:15" x14ac:dyDescent="0.25">
      <c r="B10" s="153" t="s">
        <v>184</v>
      </c>
      <c r="C10" s="150" t="s">
        <v>218</v>
      </c>
      <c r="D10" s="136" t="s">
        <v>809</v>
      </c>
      <c r="E10" s="137" t="s">
        <v>810</v>
      </c>
      <c r="F10" s="137" t="s">
        <v>811</v>
      </c>
      <c r="G10" s="137" t="s">
        <v>812</v>
      </c>
      <c r="H10" s="137" t="s">
        <v>813</v>
      </c>
      <c r="I10" s="138" t="s">
        <v>814</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758</v>
      </c>
      <c r="E13" s="137" t="s">
        <v>759</v>
      </c>
      <c r="F13" s="137" t="s">
        <v>760</v>
      </c>
      <c r="G13" s="137" t="s">
        <v>761</v>
      </c>
      <c r="H13" s="137" t="s">
        <v>762</v>
      </c>
      <c r="I13" s="138" t="s">
        <v>763</v>
      </c>
      <c r="J13" s="139"/>
      <c r="K13" s="137" t="s">
        <v>774</v>
      </c>
      <c r="L13" s="137"/>
      <c r="M13" s="137"/>
      <c r="N13" s="140"/>
      <c r="O13" s="138"/>
    </row>
    <row r="14" spans="2:15" x14ac:dyDescent="0.25">
      <c r="B14" s="153" t="s">
        <v>188</v>
      </c>
      <c r="C14" s="150" t="s">
        <v>234</v>
      </c>
      <c r="D14" s="136" t="s">
        <v>781</v>
      </c>
      <c r="E14" s="137" t="s">
        <v>782</v>
      </c>
      <c r="F14" s="137" t="s">
        <v>783</v>
      </c>
      <c r="G14" s="137" t="s">
        <v>784</v>
      </c>
      <c r="H14" s="137" t="s">
        <v>785</v>
      </c>
      <c r="I14" s="138" t="s">
        <v>786</v>
      </c>
      <c r="J14" s="139"/>
      <c r="K14" s="137" t="s">
        <v>775</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776</v>
      </c>
      <c r="L15" s="137"/>
      <c r="M15" s="137"/>
      <c r="N15" s="140"/>
      <c r="O15" s="138"/>
    </row>
    <row r="16" spans="2:15" x14ac:dyDescent="0.25">
      <c r="B16" s="153" t="s">
        <v>190</v>
      </c>
      <c r="C16" s="150" t="s">
        <v>232</v>
      </c>
      <c r="D16" s="136" t="s">
        <v>746</v>
      </c>
      <c r="E16" s="137" t="s">
        <v>745</v>
      </c>
      <c r="F16" s="137" t="s">
        <v>747</v>
      </c>
      <c r="G16" s="137" t="s">
        <v>743</v>
      </c>
      <c r="H16" s="137" t="s">
        <v>744</v>
      </c>
      <c r="I16" s="137" t="s">
        <v>780</v>
      </c>
      <c r="J16" s="139"/>
      <c r="K16" s="137" t="s">
        <v>777</v>
      </c>
      <c r="L16" s="137"/>
      <c r="M16" s="137"/>
      <c r="N16" s="140"/>
      <c r="O16" s="138"/>
    </row>
    <row r="17" spans="2:15" x14ac:dyDescent="0.25">
      <c r="B17" s="153" t="s">
        <v>191</v>
      </c>
      <c r="C17" s="150" t="s">
        <v>231</v>
      </c>
      <c r="D17" s="136" t="s">
        <v>749</v>
      </c>
      <c r="E17" s="137" t="s">
        <v>750</v>
      </c>
      <c r="F17" s="137" t="s">
        <v>751</v>
      </c>
      <c r="G17" s="137" t="s">
        <v>752</v>
      </c>
      <c r="H17" s="137" t="s">
        <v>753</v>
      </c>
      <c r="I17" s="138"/>
      <c r="J17" s="139"/>
      <c r="K17" s="137" t="s">
        <v>778</v>
      </c>
      <c r="L17" s="137"/>
      <c r="M17" s="137"/>
      <c r="N17" s="140"/>
      <c r="O17" s="138"/>
    </row>
    <row r="18" spans="2:15" x14ac:dyDescent="0.25">
      <c r="B18" s="153" t="s">
        <v>192</v>
      </c>
      <c r="C18" s="150" t="s">
        <v>220</v>
      </c>
      <c r="D18" s="136" t="s">
        <v>791</v>
      </c>
      <c r="E18" s="137" t="s">
        <v>792</v>
      </c>
      <c r="F18" s="137" t="s">
        <v>793</v>
      </c>
      <c r="G18" s="137" t="s">
        <v>794</v>
      </c>
      <c r="H18" s="137" t="s">
        <v>795</v>
      </c>
      <c r="I18" s="138" t="s">
        <v>796</v>
      </c>
      <c r="J18" s="139"/>
      <c r="K18" s="137"/>
      <c r="L18" s="137"/>
      <c r="M18" s="137"/>
      <c r="N18" s="140"/>
      <c r="O18" s="138"/>
    </row>
    <row r="19" spans="2:15" x14ac:dyDescent="0.25">
      <c r="B19" s="153" t="s">
        <v>193</v>
      </c>
      <c r="C19" s="150" t="s">
        <v>228</v>
      </c>
      <c r="D19" s="136" t="s">
        <v>815</v>
      </c>
      <c r="E19" s="137" t="s">
        <v>792</v>
      </c>
      <c r="F19" s="137" t="s">
        <v>816</v>
      </c>
      <c r="G19" s="137" t="s">
        <v>817</v>
      </c>
      <c r="H19" s="137" t="s">
        <v>795</v>
      </c>
      <c r="I19" s="138" t="s">
        <v>796</v>
      </c>
      <c r="J19" s="139" t="s">
        <v>774</v>
      </c>
      <c r="K19" s="137" t="s">
        <v>775</v>
      </c>
      <c r="L19" s="137" t="s">
        <v>776</v>
      </c>
      <c r="M19" s="137" t="s">
        <v>777</v>
      </c>
      <c r="N19" s="140" t="s">
        <v>778</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797</v>
      </c>
      <c r="E22" s="142" t="s">
        <v>798</v>
      </c>
      <c r="F22" s="142" t="s">
        <v>799</v>
      </c>
      <c r="G22" s="142" t="s">
        <v>800</v>
      </c>
      <c r="H22" s="142" t="s">
        <v>801</v>
      </c>
      <c r="I22" s="143" t="s">
        <v>802</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REPORT_U2025127</v>
      </c>
    </row>
    <row r="2" spans="2:6" x14ac:dyDescent="0.25">
      <c r="F2" s="45" t="s">
        <v>157</v>
      </c>
    </row>
    <row r="3" spans="2:6" x14ac:dyDescent="0.25">
      <c r="B3" s="43" t="s">
        <v>156</v>
      </c>
      <c r="C3" s="43" t="str">
        <f>""""&amp;'SCOUT &amp; LOGISTICS'!B2&amp;TEXT('SCOUT &amp; LOGISTICS'!C2,"000")&amp;""""</f>
        <v>"U2025127"</v>
      </c>
      <c r="F3" s="45" t="str">
        <f t="shared" ref="F3:F16" si="0">""""&amp;B3&amp;"""" &amp; " : " &amp;C3&amp;","</f>
        <v>"name" : "U2025127",</v>
      </c>
    </row>
    <row r="4" spans="2:6" x14ac:dyDescent="0.25">
      <c r="B4" s="43" t="s">
        <v>119</v>
      </c>
      <c r="C4" s="43" t="str">
        <f>""""&amp;LEFT('SCOUT &amp; LOGISTICS'!B2,1) &amp; TEXT('SCOUT &amp; LOGISTICS'!C2,"000")&amp;""""</f>
        <v>"U127"</v>
      </c>
      <c r="F4" s="45" t="str">
        <f t="shared" si="0"/>
        <v>"cod" : "U127",</v>
      </c>
    </row>
    <row r="5" spans="2:6" x14ac:dyDescent="0.25">
      <c r="B5" s="43" t="s">
        <v>117</v>
      </c>
      <c r="C5" s="43" t="str">
        <f>""""&amp;LEFT('SCOUT &amp; LOGISTICS'!B2,1)&amp;""""</f>
        <v>"U"</v>
      </c>
      <c r="F5" s="45" t="str">
        <f t="shared" si="0"/>
        <v>"competition" : "U",</v>
      </c>
    </row>
    <row r="6" spans="2:6" x14ac:dyDescent="0.25">
      <c r="B6" s="43" t="s">
        <v>118</v>
      </c>
      <c r="C6" s="43" t="str">
        <f>TEXT('SCOUT &amp; LOGISTICS'!C2,"000")</f>
        <v>127</v>
      </c>
      <c r="F6" s="45" t="str">
        <f t="shared" si="0"/>
        <v>"number" : 127,</v>
      </c>
    </row>
    <row r="7" spans="2:6" x14ac:dyDescent="0.25">
      <c r="B7" s="43" t="s">
        <v>116</v>
      </c>
      <c r="C7" s="43" t="str">
        <f ca="1">""""&amp;TEXT('SCOUT &amp; LOGISTICS'!B3,"dd/mm/aaaa")&amp;""""</f>
        <v>"06/01/2026"</v>
      </c>
      <c r="F7" s="45" t="str">
        <f t="shared" ca="1" si="0"/>
        <v>"date" : "06/01/2026",</v>
      </c>
    </row>
    <row r="8" spans="2:6" x14ac:dyDescent="0.25">
      <c r="B8" s="43" t="s">
        <v>125</v>
      </c>
      <c r="C8" s="43" t="str">
        <f>""""&amp;'SCOUT &amp; LOGISTICS'!D4 &amp;""""</f>
        <v>"Besiktas GAIN Istanbul"</v>
      </c>
      <c r="F8" s="45" t="str">
        <f t="shared" si="0"/>
        <v>"home_team" : "Besiktas GAIN Istanbul",</v>
      </c>
    </row>
    <row r="9" spans="2:6" x14ac:dyDescent="0.25">
      <c r="B9" s="43" t="s">
        <v>126</v>
      </c>
      <c r="C9" s="43" t="str">
        <f>""""&amp;'SCOUT &amp; LOGISTICS'!D5&amp;""""</f>
        <v>"ratiopharm Ulm"</v>
      </c>
      <c r="F9" s="45" t="str">
        <f t="shared" si="0"/>
        <v>"away_team" : "ratiopharm Ulm",</v>
      </c>
    </row>
    <row r="10" spans="2:6" x14ac:dyDescent="0.25">
      <c r="B10" s="43" t="s">
        <v>127</v>
      </c>
      <c r="C10" s="43" t="str">
        <f>""""&amp;IF('SCOUT &amp; LOGISTICS'!D6="","",'SCOUT &amp; LOGISTICS'!D6)&amp;""""</f>
        <v>"SERTAC DOSTEL"</v>
      </c>
      <c r="F10" s="45" t="str">
        <f t="shared" si="0"/>
        <v>"Data_entry" : "SERTAC DOSTEL",</v>
      </c>
    </row>
    <row r="11" spans="2:6" x14ac:dyDescent="0.25">
      <c r="B11" s="43" t="s">
        <v>128</v>
      </c>
      <c r="C11" s="43" t="str">
        <f>""""&amp;IF('SCOUT &amp; LOGISTICS'!D7="","",'SCOUT &amp; LOGISTICS'!D7)&amp;""""</f>
        <v>"AHMET GEZINTI"</v>
      </c>
      <c r="F11" s="45" t="str">
        <f t="shared" si="0"/>
        <v>"Caller_1" : "AHMET GEZINTI",</v>
      </c>
    </row>
    <row r="12" spans="2:6" x14ac:dyDescent="0.25">
      <c r="B12" s="43" t="s">
        <v>129</v>
      </c>
      <c r="C12" s="43" t="str">
        <f>""""&amp;IF('SCOUT &amp; LOGISTICS'!D8="","",'SCOUT &amp; LOGISTICS'!D8)&amp;""""</f>
        <v>"KIVILCIM KORKMAZ"</v>
      </c>
      <c r="F12" s="45" t="str">
        <f t="shared" si="0"/>
        <v>"Caller_2" : "KIVILCIM KORKMAZ",</v>
      </c>
    </row>
    <row r="13" spans="2:6" x14ac:dyDescent="0.25">
      <c r="B13" s="43" t="s">
        <v>98</v>
      </c>
      <c r="C13" s="43" t="str">
        <f>""""&amp;IF('SCOUT &amp; LOGISTICS'!D9="","",'SCOUT &amp; LOGISTICS'!D9)&amp;""""</f>
        <v>"AYBERK PARALI"</v>
      </c>
      <c r="F13" s="45" t="str">
        <f t="shared" si="0"/>
        <v>"Timerkeeper" : "AYBERK PARALI",</v>
      </c>
    </row>
    <row r="14" spans="2:6" x14ac:dyDescent="0.25">
      <c r="B14" s="43" t="s">
        <v>99</v>
      </c>
      <c r="C14" s="43" t="str">
        <f>""""&amp;IF('SCOUT &amp; LOGISTICS'!D10="","",'SCOUT &amp; LOGISTICS'!D10)&amp;""""</f>
        <v>"GORKEM GORGULU"</v>
      </c>
      <c r="F14" s="45" t="str">
        <f t="shared" si="0"/>
        <v>"Shotclock" : "GORKEM GORGULU",</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591</v>
      </c>
      <c r="F25" s="45" t="str">
        <f t="shared" ref="F25:F48" si="1">""""&amp;C25&amp;"""" &amp; " : " &amp;D25&amp;","</f>
        <v>"total_actions" : 591,</v>
      </c>
    </row>
    <row r="26" spans="2:6" x14ac:dyDescent="0.25">
      <c r="C26" s="43" t="s">
        <v>132</v>
      </c>
      <c r="D26" s="43">
        <f>'SCOUT &amp; LOGISTICS'!F3</f>
        <v>16</v>
      </c>
      <c r="F26" s="45" t="str">
        <f t="shared" si="1"/>
        <v>"total_correcions" : 16,</v>
      </c>
    </row>
    <row r="27" spans="2:6" x14ac:dyDescent="0.25">
      <c r="C27" s="43" t="s">
        <v>133</v>
      </c>
      <c r="D27" s="43" t="str">
        <f>""""&amp;IF(OR(D25="",D25=0),"",TEXT(D26/D25,"0,0%"))&amp;""""</f>
        <v>"2,7%"</v>
      </c>
      <c r="F27" s="45" t="str">
        <f t="shared" si="1"/>
        <v>"%_corrections" : "2,7%",</v>
      </c>
    </row>
    <row r="28" spans="2:6" x14ac:dyDescent="0.25">
      <c r="C28" s="43" t="s">
        <v>125</v>
      </c>
      <c r="D28" s="43">
        <f>IF('SCOUT &amp; LOGISTICS'!AA17="","",'SCOUT &amp; LOGISTICS'!AA17)</f>
        <v>11</v>
      </c>
      <c r="F28" s="45" t="str">
        <f t="shared" si="1"/>
        <v>"home_team" : 11,</v>
      </c>
    </row>
    <row r="29" spans="2:6" x14ac:dyDescent="0.25">
      <c r="C29" s="43" t="s">
        <v>134</v>
      </c>
      <c r="D29" s="43">
        <f>IF('SCOUT &amp; LOGISTICS'!AA18="","",'SCOUT &amp; LOGISTICS'!AA18)</f>
        <v>4</v>
      </c>
      <c r="F29" s="45" t="str">
        <f t="shared" si="1"/>
        <v>"no_team" : 4,</v>
      </c>
    </row>
    <row r="30" spans="2:6" x14ac:dyDescent="0.25">
      <c r="C30" s="43" t="s">
        <v>126</v>
      </c>
      <c r="D30" s="43">
        <f>IF('SCOUT &amp; LOGISTICS'!AA19="","",'SCOUT &amp; LOGISTICS'!AA19)</f>
        <v>1</v>
      </c>
      <c r="F30" s="45" t="str">
        <f t="shared" si="1"/>
        <v>"away_team" : 1,</v>
      </c>
    </row>
    <row r="31" spans="2:6" x14ac:dyDescent="0.25">
      <c r="C31" s="43" t="s">
        <v>135</v>
      </c>
      <c r="D31" s="43">
        <f>'SCOUT &amp; LOGISTICS'!AG17</f>
        <v>2</v>
      </c>
      <c r="F31" s="45" t="str">
        <f t="shared" si="1"/>
        <v>"q1" : 2,</v>
      </c>
    </row>
    <row r="32" spans="2:6" x14ac:dyDescent="0.25">
      <c r="C32" s="43" t="s">
        <v>136</v>
      </c>
      <c r="D32" s="43">
        <f>'SCOUT &amp; LOGISTICS'!AG18</f>
        <v>10</v>
      </c>
      <c r="F32" s="45" t="str">
        <f t="shared" si="1"/>
        <v>"q2" : 10,</v>
      </c>
    </row>
    <row r="33" spans="3:6" x14ac:dyDescent="0.25">
      <c r="C33" s="43" t="s">
        <v>137</v>
      </c>
      <c r="D33" s="43">
        <f>'SCOUT &amp; LOGISTICS'!AG19</f>
        <v>1</v>
      </c>
      <c r="F33" s="45" t="str">
        <f t="shared" si="1"/>
        <v>"q3" : 1,</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16</v>
      </c>
      <c r="F37" s="45" t="str">
        <f t="shared" si="1"/>
        <v>"scoresheet_corrections" : 16,</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1</v>
      </c>
      <c r="F42" s="45" t="str">
        <f t="shared" si="1"/>
        <v>"substitution" : 1,</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feel like too many corrections were more related to observation rather than to criteria or software workflow. So please, improve the focus on the game and the players (specially the callers). Keep it up, I know the next game the performance will be much better!"</v>
      </c>
      <c r="F51" s="45" t="str">
        <f>""""&amp;B51&amp;"""" &amp; " : " &amp;C51&amp;","</f>
        <v>"comments" : "I feel like too many corrections were more related to observation rather than to criteria or software workflow. So please, improve the focus on the game and the players (specially the callers). Keep it up, I know the next game the performance will be much better!",</v>
      </c>
    </row>
    <row r="52" spans="2:6" x14ac:dyDescent="0.25">
      <c r="B52" s="43" t="s">
        <v>153</v>
      </c>
      <c r="C52" s="43" t="str">
        <f>TEXT('SCOUT &amp; LOGISTICS'!F1,"0,0")</f>
        <v>13_127_BES_ULM_U2025</v>
      </c>
      <c r="F52" s="45" t="str">
        <f>""""&amp;B52&amp;"""" &amp; " : " &amp;C52</f>
        <v>"result" : 13_127_BES_ULM_U2025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U127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06/01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Besiktas Gain Istanbul</v>
      </c>
      <c r="C6" s="212"/>
      <c r="D6" s="212"/>
      <c r="E6" s="212"/>
      <c r="F6" s="212"/>
      <c r="G6" s="212"/>
      <c r="H6" s="212"/>
      <c r="I6" s="212"/>
      <c r="J6" s="212"/>
      <c r="K6" s="212"/>
      <c r="L6" s="212"/>
      <c r="M6" s="212"/>
      <c r="N6" s="212"/>
      <c r="O6" s="212"/>
      <c r="P6" s="212"/>
      <c r="Q6" s="212" t="str">
        <f>PROPER('SCOUT &amp; LOGISTICS'!D5)</f>
        <v>Ratiopharm Ulm</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SERTAC DOSTEL</v>
      </c>
      <c r="C8" s="206"/>
      <c r="D8" s="206"/>
      <c r="E8" s="206"/>
      <c r="F8" s="206"/>
      <c r="G8" s="206" t="str">
        <f>IF('SCOUT &amp; LOGISTICS'!D7="","",'SCOUT &amp; LOGISTICS'!D7)</f>
        <v>AHMET GEZINTI</v>
      </c>
      <c r="H8" s="206"/>
      <c r="I8" s="206"/>
      <c r="J8" s="206"/>
      <c r="K8" s="206"/>
      <c r="L8" s="206" t="str">
        <f>IF('SCOUT &amp; LOGISTICS'!D8="","",'SCOUT &amp; LOGISTICS'!D8)</f>
        <v>KIVILCIM KORKMAZ</v>
      </c>
      <c r="M8" s="206"/>
      <c r="N8" s="206"/>
      <c r="O8" s="206"/>
      <c r="P8" s="206"/>
      <c r="Q8" s="206" t="str">
        <f>IF('SCOUT &amp; LOGISTICS'!D9="","",'SCOUT &amp; LOGISTICS'!D9)</f>
        <v>AYBERK PARALI</v>
      </c>
      <c r="R8" s="206"/>
      <c r="S8" s="206"/>
      <c r="T8" s="206"/>
      <c r="U8" s="206"/>
      <c r="V8" s="206" t="str">
        <f>IF('SCOUT &amp; LOGISTICS'!D10="","",'SCOUT &amp; LOGISTICS'!D10)</f>
        <v>GORKEM GORGULU</v>
      </c>
      <c r="W8" s="206"/>
      <c r="X8" s="206"/>
      <c r="Y8" s="206"/>
      <c r="Z8" s="206"/>
      <c r="AA8" s="206" t="str">
        <f>IF('SCOUT &amp; LOGISTICS'!D11="","",'SCOUT &amp; LOGISTICS'!D11)</f>
        <v>IRS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591</v>
      </c>
      <c r="C17" s="204"/>
      <c r="D17" s="204"/>
      <c r="E17" s="204"/>
      <c r="F17" s="204"/>
      <c r="G17" s="204"/>
      <c r="H17" s="204"/>
      <c r="I17" s="204"/>
      <c r="J17" s="204"/>
      <c r="K17" s="204"/>
      <c r="L17" s="204">
        <f>'SCOUT &amp; LOGISTICS'!F3</f>
        <v>16</v>
      </c>
      <c r="M17" s="204"/>
      <c r="N17" s="204"/>
      <c r="O17" s="204"/>
      <c r="P17" s="204"/>
      <c r="Q17" s="204"/>
      <c r="R17" s="204"/>
      <c r="S17" s="204"/>
      <c r="T17" s="204"/>
      <c r="U17" s="204"/>
      <c r="V17" s="205">
        <f>IF(OR(B17="",B17=0),"",L17/B17)</f>
        <v>2.7072758037225041E-2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11</v>
      </c>
      <c r="C20" s="197"/>
      <c r="D20" s="197"/>
      <c r="E20" s="197"/>
      <c r="F20" s="197"/>
      <c r="G20" s="197"/>
      <c r="H20" s="197"/>
      <c r="I20" s="197"/>
      <c r="J20" s="197"/>
      <c r="K20" s="197"/>
      <c r="L20" s="197">
        <f>IF('SCOUT &amp; LOGISTICS'!AA18="","",'SCOUT &amp; LOGISTICS'!AA18)</f>
        <v>4</v>
      </c>
      <c r="M20" s="197"/>
      <c r="N20" s="197"/>
      <c r="O20" s="197"/>
      <c r="P20" s="197"/>
      <c r="Q20" s="197"/>
      <c r="R20" s="197"/>
      <c r="S20" s="197"/>
      <c r="T20" s="197"/>
      <c r="U20" s="197"/>
      <c r="V20" s="197">
        <f>IF('SCOUT &amp; LOGISTICS'!AA19="","",'SCOUT &amp; LOGISTICS'!AA19)</f>
        <v>1</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2</v>
      </c>
      <c r="C22" s="197"/>
      <c r="D22" s="197"/>
      <c r="E22" s="197"/>
      <c r="F22" s="197"/>
      <c r="G22" s="197"/>
      <c r="H22" s="197">
        <f>'SCOUT &amp; LOGISTICS'!AG18</f>
        <v>10</v>
      </c>
      <c r="I22" s="197"/>
      <c r="J22" s="197"/>
      <c r="K22" s="197"/>
      <c r="L22" s="197"/>
      <c r="M22" s="197"/>
      <c r="N22" s="197">
        <f>'SCOUT &amp; LOGISTICS'!AG19</f>
        <v>1</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15</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4</v>
      </c>
      <c r="C27" s="197"/>
      <c r="D27" s="197"/>
      <c r="E27" s="197"/>
      <c r="F27" s="197"/>
      <c r="G27" s="197">
        <f>'SCOUT &amp; LOGISTICS'!AC22</f>
        <v>8</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2</v>
      </c>
      <c r="M29" s="197"/>
      <c r="N29" s="197"/>
      <c r="O29" s="197"/>
      <c r="P29" s="197"/>
      <c r="Q29" s="197">
        <f>'SCOUT &amp; LOGISTICS'!AC28</f>
        <v>0</v>
      </c>
      <c r="R29" s="197"/>
      <c r="S29" s="197"/>
      <c r="T29" s="197"/>
      <c r="U29" s="197"/>
      <c r="V29" s="197">
        <f>'SCOUT &amp; LOGISTICS'!AC19</f>
        <v>0</v>
      </c>
      <c r="W29" s="197"/>
      <c r="X29" s="197"/>
      <c r="Y29" s="197"/>
      <c r="Z29" s="197"/>
      <c r="AA29" s="197">
        <f>'SCOUT &amp; LOGISTICS'!AC26</f>
        <v>1</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I feel like too many corrections were more related to observation rather than to criteria or software workflow. So please, improve the focus on the game and the players (specially the callers). Keep it up, I know the next game the performance will be much better!</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38.207275803722503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42bf520a6c79a132633bfe8aa6a60681">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e9351a8714db6f5e1df78f011817a27e"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CA12F0EC-AC6D-4607-A6EB-0E6988BF7FBD}"/>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2026-01-06T20:36:05Z</cp:lastPrinted>
  <dcterms:created xsi:type="dcterms:W3CDTF">2023-09-19T19:50:35Z</dcterms:created>
  <dcterms:modified xsi:type="dcterms:W3CDTF">2026-01-07T15:32:36Z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