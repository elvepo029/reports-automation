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124" documentId="8_{DA1E3F32-6945-4398-B84C-238D5FA6BAE4}" xr6:coauthVersionLast="47" xr6:coauthVersionMax="47" xr10:uidLastSave="{08CDFAF7-D522-40D5-B0F1-56D05D075AE5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<sst xmlns="http://schemas.openxmlformats.org/spreadsheetml/2006/main" count="3300" uniqueCount="770">
  <si>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</si>
  <si>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</si>
  <si>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</si>
  <si>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</si>
  <si>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</si>
  <si>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</si>
  <si>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</si>
  <si>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</si>
  <si>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</si>
  <si>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</si>
  <si>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</si>
  <si>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</si>
  <si>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</si>
  <si>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</si>
  <si>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</si>
  <si>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</si>
  <si>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</si>
  <si>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</si>
  <si>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</si>
  <si>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</si>
  <si>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</si>
  <si>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</si>
  <si>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</si>
  <si>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</si>
  <si>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</si>
  <si>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</si>
  <si>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</si>
  <si>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</si>
  <si>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</si>
  <si>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</si>
  <si>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</si>
  <si>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</si>
  <si>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</si>
  <si>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</si>
  <si>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</si>
  <si>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</si>
  <si>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</si>
  <si>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</si>
  <si>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</si>
  <si>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</si>
  <si>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</si>
  <si>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</si>
  <si>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</si>
  <si>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</si>
  <si>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</si>
  <si>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</si>
  <si>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</si>
  <si>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</si>
  <si>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</si>
  <si>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</si>
  <si>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</si>
  <si>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</si>
  <si>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</si>
  <si>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</si>
  <si>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</si>
  <si>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</si>
  <si>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</si>
  <si>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</si>
  <si>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</si>
  <si>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</si>
  <si>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</si>
  <si>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</si>
  <si>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</si>
  <si>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</si>
  <si>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</si>
  <si>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</si>
  <si>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</si>
  <si>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</si>
  <si>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</si>
  <si>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</si>
  <si>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</si>
  <si>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</si>
  <si>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</si>
  <si>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</si>
  <si>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</si>
  <si>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</si>
  <si>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</si>
  <si>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</si>
  <si>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</si>
  <si>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</si>
  <si>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</si>
  <si>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</si>
  <si>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</si>
  <si>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</si>
  <si>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</si>
  <si>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</si>
  <si>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</si>
  <si>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</si>
  <si>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</si>
  <si>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</si>
  <si>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</si>
  <si>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</si>
  <si>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</si>
  <si>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</si>
  <si>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</si>
  <si>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</si>
  <si>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</si>
  <si>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</si>
  <si>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</si>
  <si>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</si>
  <si>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</si>
  <si>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</si>
  <si>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</si>
  <si>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</si>
  <si>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</si>
  <si>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</si>
  <si>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</si>
  <si>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</si>
  <si>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</si>
  <si>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</si>
  <si>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</si>
  <si>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</si>
  <si>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</si>
  <si>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</si>
  <si>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</si>
  <si>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</si>
  <si>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</si>
  <si>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</si>
  <si>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</si>
  <si>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</si>
  <si>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</si>
  <si>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</si>
  <si>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</si>
  <si>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</si>
  <si>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</si>
  <si>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</si>
  <si>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</si>
  <si>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</si>
  <si>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</si>
  <si>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</si>
  <si>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</si>
  <si>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</si>
  <si>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</si>
  <si>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</si>
  <si>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</si>
  <si>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</si>
  <si>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</si>
  <si>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</si>
  <si>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</si>
  <si>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</si>
  <si>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</si>
  <si>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</si>
  <si>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</si>
  <si>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</si>
  <si>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</si>
  <si>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</si>
  <si>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</si>
  <si>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</si>
  <si>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</si>
  <si>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</si>
  <si>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</si>
  <si>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</si>
  <si>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</si>
  <si>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</si>
  <si>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</si>
  <si>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</si>
  <si>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</si>
  <si>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</si>
  <si>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</si>
  <si>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</si>
  <si>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</si>
  <si>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</si>
  <si>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</si>
  <si>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</si>
  <si>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</si>
  <si>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</si>
  <si>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</si>
  <si>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</si>
  <si>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</si>
  <si>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</si>
  <si>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</si>
  <si>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</si>
  <si>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</si>
  <si>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</si>
  <si>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</si>
  <si>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</si>
  <si>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</si>
  <si>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</si>
  <si>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</si>
  <si>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</si>
  <si>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</si>
  <si>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</si>
  <si>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</si>
  <si>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</si>
  <si>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</si>
  <si>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</si>
  <si>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</si>
  <si>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</si>
  <si>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</si>
  <si>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</si>
  <si>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</si>
  <si>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</si>
  <si>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</si>
  <si>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</si>
  <si>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</si>
  <si>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</si>
  <si>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</si>
  <si>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</si>
  <si>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</si>
  <si>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</si>
  <si>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</si>
  <si>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</si>
  <si>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</si>
  <si>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</si>
  <si>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</si>
  <si>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</si>
  <si>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</si>
  <si>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</si>
  <si>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</si>
  <si>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</si>
  <si>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</si>
  <si>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</si>
  <si>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</si>
  <si>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</si>
  <si>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</si>
  <si>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</si>
  <si>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</si>
  <si>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</si>
  <si>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</si>
  <si>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</si>
  <si>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</si>
  <si>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</si>
  <si>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</si>
  <si>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</si>
  <si>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</si>
  <si>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</si>
  <si>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</si>
  <si>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</si>
  <si>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</si>
  <si>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</si>
  <si>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</si>
  <si>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</si>
  <si>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</si>
  <si>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</si>
  <si>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</si>
  <si>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</si>
  <si>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</si>
  <si>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</si>
  <si>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</si>
  <si>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</si>
  <si>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</si>
  <si>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</si>
  <si>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</si>
  <si>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</si>
  <si>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</si>
  <si>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</si>
  <si>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</si>
  <si>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</si>
  <si>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</si>
  <si>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</si>
  <si>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</si>
  <si>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</si>
  <si>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</si>
  <si>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</si>
  <si>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</si>
  <si>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</si>
  <si>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</si>
  <si>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</si>
  <si>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</si>
  <si>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</si>
  <si>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</si>
  <si>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</si>
  <si>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</si>
  <si>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</si>
  <si>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</si>
  <si>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</si>
  <si>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</si>
  <si>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</si>
  <si>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</si>
  <si>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</si>
  <si>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</si>
  <si>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</si>
  <si>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</si>
  <si>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</si>
  <si>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</si>
  <si>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</si>
  <si>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</si>
  <si>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</si>
  <si>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</si>
  <si>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</si>
  <si>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</si>
  <si>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</si>
  <si>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</si>
  <si>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</si>
  <si>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</si>
  <si>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</si>
  <si>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</si>
  <si>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</si>
  <si>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</si>
  <si>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</si>
  <si>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</si>
  <si>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</si>
  <si>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</si>
  <si>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</si>
  <si>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</si>
  <si>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</si>
  <si>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</si>
  <si>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</si>
  <si>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</si>
  <si>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</si>
  <si>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</si>
  <si>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</si>
  <si>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</si>
  <si>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</si>
  <si>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</si>
  <si>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</si>
  <si>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</si>
  <si>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</si>
  <si>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</si>
  <si>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</si>
  <si>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</si>
  <si>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</si>
  <si>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</si>
  <si>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</si>
  <si>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</si>
  <si>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</si>
  <si>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</si>
  <si>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</si>
  <si>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</si>
  <si>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</si>
  <si>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</si>
  <si>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</si>
  <si>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</si>
  <si>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</si>
  <si>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</si>
  <si>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</si>
  <si>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</si>
  <si>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</si>
  <si>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</si>
  <si>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</si>
  <si>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</si>
  <si>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</si>
  <si>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</si>
  <si>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</si>
  <si>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</si>
  <si>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</si>
  <si>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</si>
  <si>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</si>
  <si>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</si>
  <si>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</si>
  <si>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</si>
  <si>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</si>
  <si>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</si>
  <si>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</si>
  <si>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</si>
  <si>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</si>
  <si>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</si>
  <si>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</si>
  <si>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</si>
  <si>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</si>
  <si>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</si>
  <si>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</si>
  <si>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</si>
  <si>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</si>
  <si>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</si>
  <si>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</si>
  <si>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</si>
  <si>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</si>
  <si>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</si>
  <si>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</si>
  <si>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</si>
  <si>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</si>
  <si>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</si>
  <si>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</si>
  <si>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</si>
  <si>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</si>
  <si>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</si>
  <si>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</si>
  <si>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</si>
  <si>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</si>
  <si>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</si>
  <si>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</si>
  <si>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</si>
  <si>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</si>
  <si>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</si>
  <si>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</si>
  <si>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</si>
  <si>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</si>
  <si>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</si>
  <si>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</si>
  <si>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</si>
  <si>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</si>
  <si>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</si>
  <si>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</si>
  <si>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</si>
  <si>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</si>
  <si>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</si>
  <si>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</si>
  <si>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</si>
  <si>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</si>
  <si>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</si>
  <si>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</si>
  <si>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</si>
  <si>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</si>
  <si>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</si>
  <si>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</si>
  <si>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</si>
  <si>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</si>
  <si>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</si>
  <si>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</si>
  <si>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</si>
  <si>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</si>
  <si>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</si>
  <si>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</si>
  <si>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</si>
  <si>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</si>
  <si>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</si>
  <si>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</si>
  <si>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</si>
  <si>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</si>
  <si>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</si>
  <si>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</si>
  <si>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</si>
  <si>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</si>
  <si>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</si>
  <si>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</si>
  <si>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</si>
  <si>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</si>
  <si>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</si>
  <si>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</si>
  <si>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</si>
  <si>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</si>
  <si>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</si>
  <si>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</si>
  <si>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</si>
  <si>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</si>
  <si>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</si>
  <si>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</si>
  <si>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</si>
  <si>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</si>
  <si>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</si>
  <si>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</si>
  <si>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</si>
  <si>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</si>
  <si>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</si>
  <si>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</si>
  <si>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</si>
  <si>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</si>
  <si>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</si>
  <si>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</si>
  <si>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</si>
  <si>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</si>
  <si>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</si>
  <si>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</si>
  <si>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</si>
  <si>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</si>
  <si>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</si>
  <si>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</si>
  <si>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</si>
  <si>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</si>
  <si>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</si>
  <si>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</si>
  <si>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</si>
  <si>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</si>
  <si>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</si>
  <si>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</si>
  <si>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</si>
  <si>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</si>
  <si>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</si>
  <si>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</si>
  <si>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</si>
  <si>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</si>
  <si>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</si>
  <si>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</si>
  <si>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</si>
  <si>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</si>
  <si>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</si>
  <si>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</si>
  <si>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</si>
  <si>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</si>
  <si>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</si>
  <si>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</si>
  <si>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</si>
  <si>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</si>
  <si>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</si>
  <si>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</si>
  <si>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</si>
  <si>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</si>
  <si>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</si>
  <si>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</si>
  <si>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</si>
  <si>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</si>
  <si>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</si>
  <si>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</si>
  <si>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</si>
  <si>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</si>
  <si>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</si>
  <si>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</si>
  <si>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</si>
  <si>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</si>
  <si>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</si>
  <si>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</si>
  <si>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</si>
  <si>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</si>
  <si>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</si>
  <si>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</si>
  <si>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</si>
  <si>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</si>
  <si>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</si>
  <si>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</si>
  <si>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</si>
  <si>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</si>
  <si>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</si>
  <si>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</si>
  <si>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</si>
  <si>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</si>
  <si>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</si>
  <si>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</si>
  <si>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</si>
  <si>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</si>
  <si>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</si>
  <si>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</si>
  <si>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</si>
  <si>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</si>
  <si>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</si>
  <si>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</si>
  <si>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</si>
  <si>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</si>
  <si>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</si>
  <si>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</si>
  <si>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</si>
  <si>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</si>
  <si>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</si>
  <si>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</si>
  <si>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</si>
  <si>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</si>
  <si>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</si>
  <si>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</si>
  <si>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</si>
  <si>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</si>
  <si>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</si>
  <si>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</si>
  <si>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</si>
  <si>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</si>
  <si>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</si>
  <si>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</si>
  <si>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</si>
  <si>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</si>
  <si>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</si>
  <si>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</si>
  <si>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</si>
  <si>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</si>
  <si>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</si>
  <si>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</si>
  <si>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</si>
  <si>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</si>
  <si>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</si>
  <si>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</si>
  <si>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</si>
  <si>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</si>
  <si>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</si>
  <si>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</si>
  <si>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</si>
  <si>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</si>
  <si>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</si>
  <si>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</si>
  <si>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</si>
  <si>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</si>
  <si>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</si>
  <si>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</si>
  <si>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</si>
  <si>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</si>
  <si>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</si>
  <si>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</si>
  <si>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</si>
  <si>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</si>
  <si>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</si>
  <si>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</si>
  <si>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</si>
  <si>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</si>
  <si>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</si>
  <si>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</si>
  <si>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</si>
  <si>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</si>
  <si>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</si>
  <si>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</si>
  <si>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</si>
  <si>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</si>
  <si>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</si>
  <si>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</si>
  <si>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</si>
  <si>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</si>
  <si>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</si>
  <si>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</si>
  <si>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</si>
  <si>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</si>
  <si>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</si>
  <si>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</si>
  <si>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</si>
  <si>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</si>
  <si>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</si>
  <si>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</si>
  <si>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</si>
  <si>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</si>
  <si>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</si>
  <si>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</si>
  <si>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</si>
  <si>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</si>
  <si>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</si>
  <si>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</si>
  <si>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</si>
  <si>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</si>
  <si>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</si>
  <si>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</si>
  <si>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</si>
  <si>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</si>
  <si>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</si>
  <si>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</si>
  <si>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</si>
  <si>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</si>
  <si>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</si>
  <si>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</si>
  <si>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</si>
  <si>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</si>
  <si>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</si>
  <si>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</si>
  <si>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</si>
  <si>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</si>
  <si>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</si>
  <si>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</si>
  <si>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</si>
  <si>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</si>
  <si>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</si>
  <si>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</si>
  <si>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</si>
  <si>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</si>
  <si>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</si>
  <si>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</si>
  <si>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</si>
  <si>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</si>
  <si>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</si>
  <si>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</si>
  <si>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</si>
  <si>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</si>
  <si>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</si>
  <si>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</si>
  <si>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</si>
  <si>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</si>
  <si>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</si>
  <si>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</si>
  <si>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</si>
  <si>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</si>
  <si>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</si>
  <si>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</si>
  <si>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</si>
  <si>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</si>
  <si>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</si>
  <si>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</si>
  <si>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</si>
  <si>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</si>
  <si>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</si>
  <si>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</si>
  <si>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</si>
  <si>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</si>
  <si>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</si>
  <si>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</si>
  <si>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</si>
  <si>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</si>
  <si>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</si>
  <si>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</si>
  <si>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</si>
  <si>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</si>
  <si>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</si>
  <si>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</si>
  <si>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</si>
  <si>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</si>
  <si>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</si>
  <si>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</si>
  <si>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</si>
  <si>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</si>
  <si>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</si>
  <si>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</si>
  <si>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</si>
  <si>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</si>
  <si>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</si>
  <si>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</si>
  <si>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</si>
  <si>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</si>
  <si>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</si>
  <si>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</si>
  <si>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</si>
  <si>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</si>
  <si>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</si>
  <si>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</si>
  <si>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</si>
  <si>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</si>
  <si>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</si>
  <si>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</si>
  <si>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</si>
  <si>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</si>
  <si>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</si>
  <si>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</si>
  <si>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</si>
  <si>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</si>
  <si>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</si>
  <si>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</si>
  <si>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</si>
  <si>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</si>
  <si>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</si>
  <si>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</si>
  <si>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</si>
  <si>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</si>
  <si>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</si>
  <si>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</si>
  <si>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</si>
  <si>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</si>
  <si>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</si>
  <si>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</si>
  <si>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</si>
  <si>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</si>
  <si>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</si>
  <si>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</si>
  <si>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</si>
  <si>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</si>
  <si>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</si>
  <si>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</si>
  <si>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</si>
  <si>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</si>
  <si>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</si>
  <si>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</si>
  <si>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</si>
  <si>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</si>
  <si>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</si>
  <si>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</si>
  <si>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</si>
  <si>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</si>
  <si>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</si>
  <si>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</si>
  <si>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</si>
  <si>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</si>
  <si>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</si>
  <si>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</si>
  <si>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</si>
  <si>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</si>
  <si>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</si>
  <si>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</si>
  <si>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</si>
  <si>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</si>
  <si>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</si>
  <si>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</si>
  <si>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</si>
  <si>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</si>
  <si>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</si>
  <si>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</si>
  <si>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</si>
  <si>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</si>
  <si>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</si>
  <si>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</si>
  <si>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</si>
  <si>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HECTOR GUILLEN</t>
  </si>
  <si>
    <t>C:\Users\hector.guillen\EUROLEAGUE\EB STATS - Documents\General\SEASON 2025-26\Reports\Euroleague</t>
  </si>
  <si>
    <t>C:\Users\hector.guillen\EUROLEAGUE\EB STATS - Documents\General\SEASON 2025-26\Reports\Euroleague\PDF</t>
  </si>
  <si>
    <t>CATHERINE RICARD</t>
  </si>
  <si>
    <t>VANESSA CAUCHIE</t>
  </si>
  <si>
    <t>CLAUDINE CARADONNA</t>
  </si>
  <si>
    <t>CAROLINE MEUNIER</t>
  </si>
  <si>
    <t>CORINNE LOGERAIS</t>
  </si>
  <si>
    <t>DAVID MARTINOTTI</t>
  </si>
  <si>
    <t>6:27</t>
  </si>
  <si>
    <t>3:38</t>
  </si>
  <si>
    <t>5:34</t>
  </si>
  <si>
    <t>2:33</t>
  </si>
  <si>
    <t>1:01</t>
  </si>
  <si>
    <t>0:33</t>
  </si>
  <si>
    <t>7:06</t>
  </si>
  <si>
    <t>4:47</t>
  </si>
  <si>
    <t>5:05</t>
  </si>
  <si>
    <t>2:13</t>
  </si>
  <si>
    <t>1:07</t>
  </si>
  <si>
    <t>You did a good job; just be a bit more attentive to the foul drawns and keep an eye on the assist criteria. Keep working like this.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</si>
</sst>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13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13_127_MCO_IST_E2025</v>
      </c>
      <c r="G1" s="5"/>
      <c r="H1" s="5"/>
      <c r="I1" s="5"/>
      <c r="J1" s="8" t="s">
        <v>707</v>
      </c>
      <c r="K1" s="121" t="s">
        <v>750</v>
      </c>
      <c r="L1" s="121"/>
      <c r="M1" s="122" t="s">
        <v>239</v>
      </c>
      <c r="N1" s="121" t="s">
        <v>751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127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45987.8125</v>
      </c>
      <c r="C3" s="157"/>
      <c r="D3" s="39">
        <v>572</v>
      </c>
      <c r="E3" s="29"/>
      <c r="F3" s="26">
        <f>SUBTOTAL(3,I17:I106)</f>
        <v>11</v>
      </c>
      <c r="G3" s="27">
        <f>IF(OR(D3="",D3=0),"",F3/D3)</f>
        <v>1.9230769230769232E-2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AS Monaco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MCO</v>
      </c>
      <c r="I4" s="5"/>
      <c r="J4" s="119" t="s">
        <v>714</v>
      </c>
      <c r="K4" s="54" t="s">
        <v>742</v>
      </c>
      <c r="L4" s="5"/>
      <c r="M4" s="167" t="s">
        <v>769</v>
      </c>
      <c r="N4" s="168"/>
      <c r="O4" s="2"/>
      <c r="P4" s="2"/>
      <c r="Q4" s="84" t="s">
        <v>175</v>
      </c>
      <c r="R4" s="94">
        <f>(IF(G3="",0,G3))</f>
        <v>1.9230769230769232E-2</v>
      </c>
      <c r="S4" s="61">
        <f>SUM(I13:M13)</f>
        <v>1</v>
      </c>
      <c r="T4" s="78"/>
      <c r="U4" s="61">
        <f>AC18</f>
        <v>7</v>
      </c>
      <c r="V4" s="61">
        <f>+AC22</f>
        <v>4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Anadolu Efes Istanbul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IST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1.9230769230769231</v>
      </c>
      <c r="S5" s="70">
        <f t="shared" ref="S5" si="0">S4*S3</f>
        <v>1</v>
      </c>
      <c r="T5" s="92"/>
      <c r="U5" s="70">
        <f t="shared" ref="U5:AG5" si="1">U4*U3</f>
        <v>3.5</v>
      </c>
      <c r="V5" s="70">
        <f t="shared" si="1"/>
        <v>4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752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753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10.423076923076923</v>
      </c>
      <c r="N7" s="58"/>
      <c r="O7" s="2"/>
      <c r="P7" s="2"/>
      <c r="Q7" s="86">
        <f>SUM(R5,S5,AC16)</f>
        <v>10.423076923076923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754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10.423076923076923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755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756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757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127</v>
      </c>
      <c r="H12" s="40" t="str">
        <f>$I$10</f>
        <v>LOGISTICS</v>
      </c>
      <c r="I12" s="14" t="s">
        <v>17</v>
      </c>
      <c r="J12" s="15" t="s">
        <v>14</v>
      </c>
      <c r="K12" s="15" t="s">
        <v>17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1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11</v>
      </c>
      <c r="J15" s="24">
        <f>SUBTOTAL(3,J17:J106)</f>
        <v>11</v>
      </c>
      <c r="K15" s="24">
        <f>SUBTOTAL(3,K17:K106)</f>
        <v>11</v>
      </c>
      <c r="L15" s="24">
        <f>SUBTOTAL(3,L17:L106)</f>
        <v>11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11</v>
      </c>
      <c r="Z16" s="90" t="s">
        <v>110</v>
      </c>
      <c r="AA16" s="75">
        <f>SUM(AA17:AA24)</f>
        <v>11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7.5</v>
      </c>
      <c r="AD16" s="75">
        <f>SUM(AD17:AD24)</f>
        <v>45</v>
      </c>
      <c r="AE16" s="76" t="s">
        <v>42</v>
      </c>
      <c r="AF16" s="75">
        <f>SUM(AF17:AF24)</f>
        <v>6</v>
      </c>
      <c r="AG16" s="75">
        <f>SUM(AG17:AG21)</f>
        <v>11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127</v>
      </c>
      <c r="D17" s="32" t="s">
        <v>758</v>
      </c>
      <c r="E17" s="33">
        <v>1</v>
      </c>
      <c r="F17" s="36">
        <v>10</v>
      </c>
      <c r="G17" s="36">
        <v>8</v>
      </c>
      <c r="H17" s="38" t="str">
        <f>IF(I17="","",$I$14)</f>
        <v>SCOUTING</v>
      </c>
      <c r="I17" s="34">
        <v>32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11</v>
      </c>
      <c r="Z17" s="105" t="s">
        <v>63</v>
      </c>
      <c r="AA17" s="62">
        <f>COUNTIF($K$17:$K$106,Z17)</f>
        <v>6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4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127</v>
      </c>
      <c r="D18" s="32" t="s">
        <v>759</v>
      </c>
      <c r="E18" s="33">
        <v>1</v>
      </c>
      <c r="F18" s="36">
        <v>14</v>
      </c>
      <c r="G18" s="36">
        <v>14</v>
      </c>
      <c r="H18" s="38" t="str">
        <f t="shared" ref="H18:H81" si="8">IF(I18="","",$I$14)</f>
        <v>SCOUTING</v>
      </c>
      <c r="I18" s="34">
        <v>69</v>
      </c>
      <c r="J18" s="13" t="s">
        <v>4</v>
      </c>
      <c r="K18" s="13" t="s">
        <v>63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5</v>
      </c>
      <c r="AB18" s="66" t="s">
        <v>5</v>
      </c>
      <c r="AC18" s="61">
        <f t="shared" si="5"/>
        <v>7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127</v>
      </c>
      <c r="D19" s="32" t="s">
        <v>760</v>
      </c>
      <c r="E19" s="33">
        <v>2</v>
      </c>
      <c r="F19" s="36">
        <v>36</v>
      </c>
      <c r="G19" s="36">
        <v>34</v>
      </c>
      <c r="H19" s="38" t="str">
        <f t="shared" si="8"/>
        <v>SCOUTING</v>
      </c>
      <c r="I19" s="34">
        <v>179</v>
      </c>
      <c r="J19" s="13" t="s">
        <v>4</v>
      </c>
      <c r="K19" s="13" t="s">
        <v>63</v>
      </c>
      <c r="L19" s="13" t="s">
        <v>6</v>
      </c>
      <c r="M19" s="13" t="s">
        <v>22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127</v>
      </c>
      <c r="D20" s="32" t="s">
        <v>761</v>
      </c>
      <c r="E20" s="33">
        <v>2</v>
      </c>
      <c r="F20" s="36">
        <v>43</v>
      </c>
      <c r="G20" s="36">
        <v>41</v>
      </c>
      <c r="H20" s="38" t="str">
        <f t="shared" si="8"/>
        <v>SCOUTING</v>
      </c>
      <c r="I20" s="34">
        <v>226</v>
      </c>
      <c r="J20" s="13" t="s">
        <v>4</v>
      </c>
      <c r="K20" s="13" t="s">
        <v>63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5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127</v>
      </c>
      <c r="D21" s="32" t="s">
        <v>762</v>
      </c>
      <c r="E21" s="33">
        <v>3</v>
      </c>
      <c r="F21" s="36">
        <v>65</v>
      </c>
      <c r="G21" s="36">
        <v>49</v>
      </c>
      <c r="H21" s="38" t="str">
        <f t="shared" si="8"/>
        <v>SCOUTING</v>
      </c>
      <c r="I21" s="34">
        <v>395</v>
      </c>
      <c r="J21" s="13" t="s">
        <v>4</v>
      </c>
      <c r="K21" s="13" t="s">
        <v>63</v>
      </c>
      <c r="L21" s="13" t="s">
        <v>5</v>
      </c>
      <c r="M21" s="13" t="s">
        <v>28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127</v>
      </c>
      <c r="D22" s="32" t="s">
        <v>763</v>
      </c>
      <c r="E22" s="33">
        <v>3</v>
      </c>
      <c r="F22" s="36">
        <v>67</v>
      </c>
      <c r="G22" s="36">
        <v>51</v>
      </c>
      <c r="H22" s="38" t="str">
        <f t="shared" si="8"/>
        <v>SCOUTING</v>
      </c>
      <c r="I22" s="34">
        <v>407</v>
      </c>
      <c r="J22" s="13" t="s">
        <v>4</v>
      </c>
      <c r="K22" s="13" t="s">
        <v>62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4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127</v>
      </c>
      <c r="D23" s="32" t="s">
        <v>764</v>
      </c>
      <c r="E23" s="33">
        <v>4</v>
      </c>
      <c r="F23" s="36">
        <v>80</v>
      </c>
      <c r="G23" s="36">
        <v>60</v>
      </c>
      <c r="H23" s="38" t="str">
        <f t="shared" si="8"/>
        <v>SCOUTING</v>
      </c>
      <c r="I23" s="34">
        <v>457</v>
      </c>
      <c r="J23" s="13" t="s">
        <v>4</v>
      </c>
      <c r="K23" s="13" t="s">
        <v>63</v>
      </c>
      <c r="L23" s="13" t="s">
        <v>6</v>
      </c>
      <c r="M23" s="13" t="s">
        <v>168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E2025</v>
      </c>
      <c r="C24" s="31">
        <f t="shared" si="3"/>
        <v>127</v>
      </c>
      <c r="D24" s="32" t="s">
        <v>765</v>
      </c>
      <c r="E24" s="33">
        <v>4</v>
      </c>
      <c r="F24" s="36">
        <v>84</v>
      </c>
      <c r="G24" s="36">
        <v>60</v>
      </c>
      <c r="H24" s="38" t="str">
        <f t="shared" si="8"/>
        <v>SCOUTING</v>
      </c>
      <c r="I24" s="34">
        <v>482</v>
      </c>
      <c r="J24" s="13" t="s">
        <v>4</v>
      </c>
      <c r="K24" s="13" t="s">
        <v>62</v>
      </c>
      <c r="L24" s="13" t="s">
        <v>6</v>
      </c>
      <c r="M24" s="13" t="s">
        <v>168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E2025</v>
      </c>
      <c r="C25" s="31">
        <f t="shared" si="3"/>
        <v>127</v>
      </c>
      <c r="D25" s="32" t="s">
        <v>766</v>
      </c>
      <c r="E25" s="33">
        <v>4</v>
      </c>
      <c r="F25" s="36">
        <v>86</v>
      </c>
      <c r="G25" s="36">
        <v>60</v>
      </c>
      <c r="H25" s="38" t="str">
        <f t="shared" si="8"/>
        <v>SCOUTING</v>
      </c>
      <c r="I25" s="34">
        <v>496</v>
      </c>
      <c r="J25" s="13" t="s">
        <v>4</v>
      </c>
      <c r="K25" s="13" t="s">
        <v>62</v>
      </c>
      <c r="L25" s="13" t="s">
        <v>5</v>
      </c>
      <c r="M25" s="13" t="s">
        <v>10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2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E2025</v>
      </c>
      <c r="C26" s="31">
        <f t="shared" si="3"/>
        <v>127</v>
      </c>
      <c r="D26" s="32" t="s">
        <v>767</v>
      </c>
      <c r="E26" s="33">
        <v>4</v>
      </c>
      <c r="F26" s="36">
        <v>92</v>
      </c>
      <c r="G26" s="36">
        <v>64</v>
      </c>
      <c r="H26" s="38" t="str">
        <f t="shared" si="8"/>
        <v>SCOUTING</v>
      </c>
      <c r="I26" s="34">
        <v>533</v>
      </c>
      <c r="J26" s="13" t="s">
        <v>4</v>
      </c>
      <c r="K26" s="13" t="s">
        <v>62</v>
      </c>
      <c r="L26" s="13" t="s">
        <v>5</v>
      </c>
      <c r="M26" s="13" t="s">
        <v>11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E2025</v>
      </c>
      <c r="C27" s="31">
        <f t="shared" si="3"/>
        <v>127</v>
      </c>
      <c r="D27" s="32" t="s">
        <v>768</v>
      </c>
      <c r="E27" s="33">
        <v>4</v>
      </c>
      <c r="F27" s="36">
        <v>95</v>
      </c>
      <c r="G27" s="36">
        <v>66</v>
      </c>
      <c r="H27" s="38" t="str">
        <f t="shared" si="8"/>
        <v>SCOUTING</v>
      </c>
      <c r="I27" s="34">
        <v>551</v>
      </c>
      <c r="J27" s="13" t="s">
        <v>4</v>
      </c>
      <c r="K27" s="13" t="s">
        <v>62</v>
      </c>
      <c r="L27" s="13" t="s">
        <v>5</v>
      </c>
      <c r="M27" s="13" t="s">
        <v>10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REPORT_E2025127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"E2025127"</v>
      </c>
      <c r="F3" s="45" t="str">
        <f t="shared" ref="F3:F16" si="0">""""&amp;B3&amp;"""" &amp; " : " &amp;C3&amp;","</f>
        <v>"name" : "E2025127",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"E127"</v>
      </c>
      <c r="F4" s="45" t="str">
        <f t="shared" si="0"/>
        <v>"cod" : "E127",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127</v>
      </c>
      <c r="F6" s="45" t="str">
        <f t="shared" si="0"/>
        <v>"number" : 127,</v>
      </c>
    </row>
    <row r="7" spans="2:6" x14ac:dyDescent="0.25">
      <c r="B7" s="43" t="s">
        <v>116</v>
      </c>
      <c r="C7" s="43" t="str">
        <f ca="1">""""&amp;TEXT('SCOUT &amp; LOGISTICS'!B3,"dd/mm/aaaa")&amp;""""</f>
        <v>"26/11/Wednesday"</v>
      </c>
      <c r="F7" s="45" t="str">
        <f t="shared" ca="1" si="0"/>
        <v>"date" : "26/11/Wednesday",</v>
      </c>
    </row>
    <row r="8" spans="2:6" x14ac:dyDescent="0.25">
      <c r="B8" s="43" t="s">
        <v>125</v>
      </c>
      <c r="C8" s="43" t="str">
        <f>""""&amp;'SCOUT &amp; LOGISTICS'!D4 &amp;""""</f>
        <v>"AS Monaco"</v>
      </c>
      <c r="F8" s="45" t="str">
        <f t="shared" si="0"/>
        <v>"home_team" : "AS Monaco",</v>
      </c>
    </row>
    <row r="9" spans="2:6" x14ac:dyDescent="0.25">
      <c r="B9" s="43" t="s">
        <v>126</v>
      </c>
      <c r="C9" s="43" t="str">
        <f>""""&amp;'SCOUT &amp; LOGISTICS'!D5&amp;""""</f>
        <v>"Anadolu Efes Istanbul"</v>
      </c>
      <c r="F9" s="45" t="str">
        <f t="shared" si="0"/>
        <v>"away_team" : "Anadolu Efes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"CATHERINE RICARD"</v>
      </c>
      <c r="F10" s="45" t="str">
        <f t="shared" si="0"/>
        <v>"Data_entry" : "CATHERINE RICARD",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"VANESSA CAUCHIE"</v>
      </c>
      <c r="F11" s="45" t="str">
        <f t="shared" si="0"/>
        <v>"Caller_1" : "VANESSA CAUCHIE",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"CLAUDINE CARADONNA"</v>
      </c>
      <c r="F12" s="45" t="str">
        <f t="shared" si="0"/>
        <v>"Caller_2" : "CLAUDINE CARADONNA",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"CAROLINE MEUNIER"</v>
      </c>
      <c r="F13" s="45" t="str">
        <f t="shared" si="0"/>
        <v>"Timerkeeper" : "CAROLINE MEUNIER",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"CORINNE LOGERAIS"</v>
      </c>
      <c r="F14" s="45" t="str">
        <f t="shared" si="0"/>
        <v>"Shotclock" : "CORINNE LOGERAIS",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"DAVID MARTINOTTI"</v>
      </c>
      <c r="F15" s="45" t="str">
        <f t="shared" si="0"/>
        <v>"IRS" : "DAVID MARTINOTTI",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"OK"</v>
      </c>
      <c r="F20" s="45" t="str">
        <f>""""&amp;C20&amp;"""" &amp; " : " &amp;D20&amp;","</f>
        <v>"communication" : "OK",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572</v>
      </c>
      <c r="F25" s="45" t="str">
        <f t="shared" ref="F25:F48" si="1">""""&amp;C25&amp;"""" &amp; " : " &amp;D25&amp;","</f>
        <v>"total_actions" : 572,</v>
      </c>
    </row>
    <row r="26" spans="2:6" x14ac:dyDescent="0.25">
      <c r="C26" s="43" t="s">
        <v>132</v>
      </c>
      <c r="D26" s="43">
        <f>'SCOUT &amp; LOGISTICS'!F3</f>
        <v>11</v>
      </c>
      <c r="F26" s="45" t="str">
        <f t="shared" si="1"/>
        <v>"total_correcions" : 11,</v>
      </c>
    </row>
    <row r="27" spans="2:6" x14ac:dyDescent="0.25">
      <c r="C27" s="43" t="s">
        <v>133</v>
      </c>
      <c r="D27" s="43" t="str">
        <f>""""&amp;IF(OR(D25="",D25=0),"",TEXT(D26/D25,"0,0%"))&amp;""""</f>
        <v>"02%"</v>
      </c>
      <c r="F27" s="45" t="str">
        <f t="shared" si="1"/>
        <v>"%_corrections" : "02%",</v>
      </c>
    </row>
    <row r="28" spans="2:6" x14ac:dyDescent="0.25">
      <c r="C28" s="43" t="s">
        <v>125</v>
      </c>
      <c r="D28" s="43">
        <f>IF('SCOUT &amp; LOGISTICS'!AA17="","",'SCOUT &amp; LOGISTICS'!AA17)</f>
        <v>6</v>
      </c>
      <c r="F28" s="45" t="str">
        <f t="shared" si="1"/>
        <v>"home_team" : 6,</v>
      </c>
    </row>
    <row r="29" spans="2:6" x14ac:dyDescent="0.25">
      <c r="C29" s="43" t="s">
        <v>134</v>
      </c>
      <c r="D29" s="43">
        <f>IF('SCOUT &amp; LOGISTICS'!AA18="","",'SCOUT &amp; LOGISTICS'!AA18)</f>
        <v>5</v>
      </c>
      <c r="F29" s="45" t="str">
        <f t="shared" si="1"/>
        <v>"no_team" : 5,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5</v>
      </c>
      <c r="F34" s="45" t="str">
        <f t="shared" si="1"/>
        <v>"q4" : 5,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11</v>
      </c>
      <c r="F37" s="45" t="str">
        <f t="shared" si="1"/>
        <v>"scoresheet_corrections" : 11,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7</v>
      </c>
      <c r="F39" s="45" t="str">
        <f t="shared" si="1"/>
        <v>"missidentity" : 7,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"You did a good job; just be a bit more attentive to the foul drawns and keep an eye on the assist criteria. Keep working like this."</v>
      </c>
      <c r="F51" s="45" t="str">
        <f>""""&amp;B51&amp;"""" &amp; " : " &amp;C51&amp;","</f>
        <v>"comments" : "You did a good job; just be a bit more attentive to the foul drawns and keep an eye on the assist criteria. Keep working like this.",</v>
      </c>
    </row>
    <row r="52" spans="2:6" x14ac:dyDescent="0.25">
      <c r="B52" s="43" t="s">
        <v>153</v>
      </c>
      <c r="C52" s="43" t="str">
        <f>TEXT('SCOUT &amp; LOGISTICS'!F1,"0,0")</f>
        <v>13_127_MCO_IST_E2025</v>
      </c>
      <c r="F52" s="45" t="str">
        <f>""""&amp;B52&amp;"""" &amp; " : " &amp;C52</f>
        <v>"result" : 13_127_MCO_IST_E2025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E127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26/11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As Monaco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Anadolu Efes Istanbul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CATHERINE RICARD</v>
      </c>
      <c r="C8" s="206"/>
      <c r="D8" s="206"/>
      <c r="E8" s="206"/>
      <c r="F8" s="206"/>
      <c r="G8" s="206" t="str">
        <f>IF('SCOUT &amp; LOGISTICS'!D7="","",'SCOUT &amp; LOGISTICS'!D7)</f>
        <v>VANESSA CAUCHIE</v>
      </c>
      <c r="H8" s="206"/>
      <c r="I8" s="206"/>
      <c r="J8" s="206"/>
      <c r="K8" s="206"/>
      <c r="L8" s="206" t="str">
        <f>IF('SCOUT &amp; LOGISTICS'!D8="","",'SCOUT &amp; LOGISTICS'!D8)</f>
        <v>CLAUDINE CARADONNA</v>
      </c>
      <c r="M8" s="206"/>
      <c r="N8" s="206"/>
      <c r="O8" s="206"/>
      <c r="P8" s="206"/>
      <c r="Q8" s="206" t="str">
        <f>IF('SCOUT &amp; LOGISTICS'!D9="","",'SCOUT &amp; LOGISTICS'!D9)</f>
        <v>CAROLINE MEUNIER</v>
      </c>
      <c r="R8" s="206"/>
      <c r="S8" s="206"/>
      <c r="T8" s="206"/>
      <c r="U8" s="206"/>
      <c r="V8" s="206" t="str">
        <f>IF('SCOUT &amp; LOGISTICS'!D10="","",'SCOUT &amp; LOGISTICS'!D10)</f>
        <v>CORINNE LOGERAIS</v>
      </c>
      <c r="W8" s="206"/>
      <c r="X8" s="206"/>
      <c r="Y8" s="206"/>
      <c r="Z8" s="206"/>
      <c r="AA8" s="206" t="str">
        <f>IF('SCOUT &amp; LOGISTICS'!D11="","",'SCOUT &amp; LOGISTICS'!D11)</f>
        <v>DAVID MARTINOTTI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OK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572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1.9230769230769232E-2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6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5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5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7</v>
      </c>
      <c r="C27" s="197"/>
      <c r="D27" s="197"/>
      <c r="E27" s="197"/>
      <c r="F27" s="197"/>
      <c r="G27" s="197">
        <f>'SCOUT &amp; LOGISTICS'!AC22</f>
        <v>4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You did a good job; just be a bit more attentive to the foul drawns and keep an eye on the assist criteria. Keep working like this.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10.423076923076923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8601D8-3F8A-4EBC-AD80-7652D312D837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2025-11-26T21:38:35Z</cp:lastPrinted>
  <dcterms:created xsi:type="dcterms:W3CDTF">2023-09-19T19:50:35Z</dcterms:created>
  <dcterms:modified xsi:type="dcterms:W3CDTF">2025-11-26T21:38:38Z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