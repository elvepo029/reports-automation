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ACCDCDE-B850-40CB-A5C9-505E1C9BAE22}" xr6:coauthVersionLast="47" xr6:coauthVersionMax="47" xr10:uidLastSave="{00000000-0000-0000-0000-000000000000}"/>
  <bookViews>
    <workbookView xWindow="-4185" yWindow="-14565" windowWidth="24465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<sst xmlns="http://schemas.openxmlformats.org/spreadsheetml/2006/main" count="3256" uniqueCount="760">
  <si>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</si>
  <si>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</si>
  <si>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</si>
  <si>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</si>
  <si>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</si>
  <si>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</si>
  <si>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</si>
  <si>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</si>
  <si>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</si>
  <si>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</si>
  <si>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</si>
  <si>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</si>
  <si>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</si>
  <si>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</si>
  <si>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</si>
  <si>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</si>
  <si>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</si>
  <si>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</si>
  <si>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</si>
  <si>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</si>
  <si>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</si>
  <si>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</si>
  <si>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</si>
  <si>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</si>
  <si>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</si>
  <si>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</si>
  <si>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</si>
  <si>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</si>
  <si>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</si>
  <si>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</si>
  <si>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</si>
  <si>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</si>
  <si>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</si>
  <si>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</si>
  <si>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</si>
  <si>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</si>
  <si>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</si>
  <si>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</si>
  <si>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</si>
  <si>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</si>
  <si>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</si>
  <si>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</si>
  <si>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</si>
  <si>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</si>
  <si>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</si>
  <si>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</si>
  <si>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</si>
  <si>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</si>
  <si>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</si>
  <si>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</si>
  <si>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</si>
  <si>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</si>
  <si>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</si>
  <si>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</si>
  <si>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</si>
  <si>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</si>
  <si>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</si>
  <si>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</si>
  <si>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</si>
  <si>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</si>
  <si>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</si>
  <si>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</si>
  <si>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</si>
  <si>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</si>
  <si>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</si>
  <si>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</si>
  <si>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</si>
  <si>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</si>
  <si>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</si>
  <si>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</si>
  <si>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</si>
  <si>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</si>
  <si>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</si>
  <si>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</si>
  <si>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</si>
  <si>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</si>
  <si>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</si>
  <si>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</si>
  <si>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</si>
  <si>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</si>
  <si>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</si>
  <si>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</si>
  <si>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</si>
  <si>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</si>
  <si>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</si>
  <si>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</si>
  <si>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</si>
  <si>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</si>
  <si>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</si>
  <si>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</si>
  <si>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</si>
  <si>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</si>
  <si>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</si>
  <si>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</si>
  <si>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</si>
  <si>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</si>
  <si>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</si>
  <si>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</si>
  <si>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</si>
  <si>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</si>
  <si>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</si>
  <si>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</si>
  <si>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</si>
  <si>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</si>
  <si>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</si>
  <si>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</si>
  <si>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</si>
  <si>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</si>
  <si>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</si>
  <si>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</si>
  <si>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</si>
  <si>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</si>
  <si>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</si>
  <si>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</si>
  <si>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</si>
  <si>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</si>
  <si>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</si>
  <si>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</si>
  <si>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</si>
  <si>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</si>
  <si>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</si>
  <si>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</si>
  <si>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</si>
  <si>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</si>
  <si>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</si>
  <si>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</si>
  <si>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</si>
  <si>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</si>
  <si>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</si>
  <si>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</si>
  <si>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</si>
  <si>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</si>
  <si>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</si>
  <si>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</si>
  <si>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</si>
  <si>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</si>
  <si>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</si>
  <si>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</si>
  <si>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</si>
  <si>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</si>
  <si>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</si>
  <si>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</si>
  <si>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</si>
  <si>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</si>
  <si>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</si>
  <si>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</si>
  <si>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</si>
  <si>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</si>
  <si>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</si>
  <si>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</si>
  <si>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</si>
  <si>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</si>
  <si>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</si>
  <si>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</si>
  <si>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</si>
  <si>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</si>
  <si>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</si>
  <si>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</si>
  <si>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</si>
  <si>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</si>
  <si>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</si>
  <si>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</si>
  <si>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</si>
  <si>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</si>
  <si>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</si>
  <si>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</si>
  <si>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</si>
  <si>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</si>
  <si>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</si>
  <si>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</si>
  <si>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</si>
  <si>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</si>
  <si>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</si>
  <si>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</si>
  <si>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</si>
  <si>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</si>
  <si>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</si>
  <si>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</si>
  <si>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</si>
  <si>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</si>
  <si>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</si>
  <si>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</si>
  <si>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</si>
  <si>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</si>
  <si>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</si>
  <si>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</si>
  <si>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</si>
  <si>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</si>
  <si>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</si>
  <si>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</si>
  <si>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</si>
  <si>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</si>
  <si>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</si>
  <si>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</si>
  <si>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</si>
  <si>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</si>
  <si>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</si>
  <si>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</si>
  <si>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</si>
  <si>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</si>
  <si>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</si>
  <si>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</si>
  <si>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</si>
  <si>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</si>
  <si>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</si>
  <si>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</si>
  <si>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</si>
  <si>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</si>
  <si>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</si>
  <si>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</si>
  <si>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</si>
  <si>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</si>
  <si>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</si>
  <si>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</si>
  <si>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</si>
  <si>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</si>
  <si>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</si>
  <si>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</si>
  <si>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</si>
  <si>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</si>
  <si>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</si>
  <si>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</si>
  <si>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</si>
  <si>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</si>
  <si>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</si>
  <si>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</si>
  <si>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</si>
  <si>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</si>
  <si>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</si>
  <si>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</si>
  <si>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</si>
  <si>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</si>
  <si>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</si>
  <si>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</si>
  <si>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</si>
  <si>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</si>
  <si>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</si>
  <si>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</si>
  <si>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</si>
  <si>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</si>
  <si>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</si>
  <si>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</si>
  <si>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</si>
  <si>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</si>
  <si>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</si>
  <si>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</si>
  <si>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</si>
  <si>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</si>
  <si>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</si>
  <si>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</si>
  <si>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</si>
  <si>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</si>
  <si>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</si>
  <si>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</si>
  <si>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</si>
  <si>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</si>
  <si>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</si>
  <si>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</si>
  <si>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</si>
  <si>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</si>
  <si>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</si>
  <si>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</si>
  <si>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</si>
  <si>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</si>
  <si>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</si>
  <si>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</si>
  <si>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</si>
  <si>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</si>
  <si>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</si>
  <si>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</si>
  <si>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</si>
  <si>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</si>
  <si>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</si>
  <si>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</si>
  <si>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</si>
  <si>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</si>
  <si>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</si>
  <si>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</si>
  <si>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</si>
  <si>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</si>
  <si>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</si>
  <si>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</si>
  <si>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</si>
  <si>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</si>
  <si>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</si>
  <si>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</si>
  <si>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</si>
  <si>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</si>
  <si>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</si>
  <si>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</si>
  <si>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</si>
  <si>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</si>
  <si>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</si>
  <si>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</si>
  <si>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</si>
  <si>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</si>
  <si>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</si>
  <si>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</si>
  <si>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</si>
  <si>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</si>
  <si>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</si>
  <si>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</si>
  <si>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</si>
  <si>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</si>
  <si>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</si>
  <si>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</si>
  <si>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</si>
  <si>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</si>
  <si>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</si>
  <si>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</si>
  <si>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</si>
  <si>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</si>
  <si>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</si>
  <si>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</si>
  <si>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</si>
  <si>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</si>
  <si>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</si>
  <si>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</si>
  <si>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</si>
  <si>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</si>
  <si>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</si>
  <si>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</si>
  <si>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</si>
  <si>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</si>
  <si>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</si>
  <si>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</si>
  <si>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</si>
  <si>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</si>
  <si>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</si>
  <si>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</si>
  <si>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</si>
  <si>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</si>
  <si>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</si>
  <si>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</si>
  <si>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</si>
  <si>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</si>
  <si>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</si>
  <si>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</si>
  <si>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</si>
  <si>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</si>
  <si>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</si>
  <si>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</si>
  <si>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</si>
  <si>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</si>
  <si>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</si>
  <si>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</si>
  <si>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</si>
  <si>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</si>
  <si>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</si>
  <si>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</si>
  <si>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</si>
  <si>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</si>
  <si>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</si>
  <si>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</si>
  <si>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</si>
  <si>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</si>
  <si>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</si>
  <si>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</si>
  <si>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</si>
  <si>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</si>
  <si>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</si>
  <si>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</si>
  <si>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</si>
  <si>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</si>
  <si>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</si>
  <si>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</si>
  <si>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</si>
  <si>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</si>
  <si>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</si>
  <si>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</si>
  <si>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</si>
  <si>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</si>
  <si>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</si>
  <si>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</si>
  <si>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</si>
  <si>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</si>
  <si>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</si>
  <si>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</si>
  <si>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</si>
  <si>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</si>
  <si>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</si>
  <si>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</si>
  <si>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</si>
  <si>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</si>
  <si>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</si>
  <si>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</si>
  <si>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</si>
  <si>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</si>
  <si>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</si>
  <si>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</si>
  <si>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</si>
  <si>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</si>
  <si>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</si>
  <si>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</si>
  <si>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</si>
  <si>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</si>
  <si>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</si>
  <si>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</si>
  <si>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</si>
  <si>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</si>
  <si>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</si>
  <si>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</si>
  <si>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</si>
  <si>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</si>
  <si>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</si>
  <si>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</si>
  <si>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</si>
  <si>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</si>
  <si>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</si>
  <si>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</si>
  <si>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</si>
  <si>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</si>
  <si>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</si>
  <si>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</si>
  <si>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</si>
  <si>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</si>
  <si>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</si>
  <si>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</si>
  <si>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</si>
  <si>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</si>
  <si>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</si>
  <si>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</si>
  <si>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</si>
  <si>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</si>
  <si>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</si>
  <si>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</si>
  <si>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</si>
  <si>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</si>
  <si>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</si>
  <si>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</si>
  <si>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</si>
  <si>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</si>
  <si>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</si>
  <si>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</si>
  <si>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</si>
  <si>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</si>
  <si>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</si>
  <si>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</si>
  <si>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</si>
  <si>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</si>
  <si>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</si>
  <si>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</si>
  <si>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</si>
  <si>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</si>
  <si>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</si>
  <si>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</si>
  <si>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</si>
  <si>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</si>
  <si>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</si>
  <si>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</si>
  <si>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</si>
  <si>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</si>
  <si>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</si>
  <si>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</si>
  <si>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</si>
  <si>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</si>
  <si>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</si>
  <si>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</si>
  <si>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</si>
  <si>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</si>
  <si>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</si>
  <si>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</si>
  <si>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</si>
  <si>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</si>
  <si>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</si>
  <si>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</si>
  <si>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</si>
  <si>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</si>
  <si>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</si>
  <si>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</si>
  <si>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</si>
  <si>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</si>
  <si>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</si>
  <si>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</si>
  <si>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</si>
  <si>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</si>
  <si>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</si>
  <si>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</si>
  <si>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</si>
  <si>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</si>
  <si>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</si>
  <si>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</si>
  <si>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</si>
  <si>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</si>
  <si>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</si>
  <si>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</si>
  <si>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</si>
  <si>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</si>
  <si>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</si>
  <si>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</si>
  <si>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</si>
  <si>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</si>
  <si>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</si>
  <si>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</si>
  <si>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</si>
  <si>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</si>
  <si>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</si>
  <si>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</si>
  <si>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</si>
  <si>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</si>
  <si>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</si>
  <si>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</si>
  <si>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</si>
  <si>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</si>
  <si>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</si>
  <si>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</si>
  <si>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</si>
  <si>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</si>
  <si>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</si>
  <si>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</si>
  <si>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</si>
  <si>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</si>
  <si>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</si>
  <si>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</si>
  <si>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</si>
  <si>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</si>
  <si>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</si>
  <si>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</si>
  <si>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</si>
  <si>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</si>
  <si>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</si>
  <si>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</si>
  <si>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</si>
  <si>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</si>
  <si>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</si>
  <si>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</si>
  <si>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</si>
  <si>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</si>
  <si>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</si>
  <si>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</si>
  <si>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</si>
  <si>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</si>
  <si>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</si>
  <si>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</si>
  <si>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</si>
  <si>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</si>
  <si>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</si>
  <si>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</si>
  <si>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</si>
  <si>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</si>
  <si>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</si>
  <si>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</si>
  <si>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</si>
  <si>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</si>
  <si>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</si>
  <si>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</si>
  <si>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</si>
  <si>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</si>
  <si>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</si>
  <si>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</si>
  <si>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</si>
  <si>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</si>
  <si>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</si>
  <si>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</si>
  <si>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</si>
  <si>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</si>
  <si>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</si>
  <si>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</si>
  <si>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</si>
  <si>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</si>
  <si>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</si>
  <si>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</si>
  <si>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</si>
  <si>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</si>
  <si>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</si>
  <si>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</si>
  <si>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</si>
  <si>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</si>
  <si>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</si>
  <si>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</si>
  <si>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</si>
  <si>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</si>
  <si>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</si>
  <si>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</si>
  <si>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</si>
  <si>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</si>
  <si>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</si>
  <si>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</si>
  <si>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</si>
  <si>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</si>
  <si>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</si>
  <si>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</si>
  <si>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</si>
  <si>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</si>
  <si>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</si>
  <si>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</si>
  <si>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</si>
  <si>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</si>
  <si>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</si>
  <si>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</si>
  <si>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</si>
  <si>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</si>
  <si>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</si>
  <si>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</si>
  <si>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</si>
  <si>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</si>
  <si>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</si>
  <si>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</si>
  <si>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</si>
  <si>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</si>
  <si>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</si>
  <si>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</si>
  <si>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</si>
  <si>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</si>
  <si>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</si>
  <si>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</si>
  <si>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</si>
  <si>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</si>
  <si>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</si>
  <si>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</si>
  <si>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</si>
  <si>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</si>
  <si>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</si>
  <si>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</si>
  <si>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</si>
  <si>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</si>
  <si>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</si>
  <si>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</si>
  <si>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</si>
  <si>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</si>
  <si>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</si>
  <si>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</si>
  <si>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</si>
  <si>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</si>
  <si>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</si>
  <si>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</si>
  <si>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</si>
  <si>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</si>
  <si>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</si>
  <si>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</si>
  <si>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</si>
  <si>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</si>
  <si>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</si>
  <si>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</si>
  <si>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</si>
  <si>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</si>
  <si>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</si>
  <si>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</si>
  <si>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</si>
  <si>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</si>
  <si>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</si>
  <si>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</si>
  <si>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</si>
  <si>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</si>
  <si>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</si>
  <si>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</si>
  <si>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</si>
  <si>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</si>
  <si>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</si>
  <si>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</si>
  <si>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</si>
  <si>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</si>
  <si>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</si>
  <si>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</si>
  <si>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</si>
  <si>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</si>
  <si>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</si>
  <si>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</si>
  <si>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</si>
  <si>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</si>
  <si>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</si>
  <si>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</si>
  <si>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</si>
  <si>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</si>
  <si>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</si>
  <si>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</si>
  <si>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</si>
  <si>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</si>
  <si>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</si>
  <si>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</si>
  <si>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</si>
  <si>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</si>
  <si>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</si>
  <si>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</si>
  <si>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</si>
  <si>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</si>
  <si>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</si>
  <si>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</si>
  <si>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</si>
  <si>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</si>
  <si>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</si>
  <si>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</si>
  <si>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</si>
  <si>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</si>
  <si>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</si>
  <si>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</si>
  <si>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</si>
  <si>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</si>
  <si>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</si>
  <si>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</si>
  <si>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</si>
  <si>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</si>
  <si>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</si>
  <si>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</si>
  <si>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</si>
  <si>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</si>
  <si>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</si>
  <si>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</si>
  <si>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</si>
  <si>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</si>
  <si>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</si>
  <si>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</si>
  <si>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</si>
  <si>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</si>
  <si>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</si>
  <si>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</si>
  <si>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</si>
  <si>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</si>
  <si>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</si>
  <si>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</si>
  <si>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</si>
  <si>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</si>
  <si>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</si>
  <si>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</si>
  <si>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</si>
  <si>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</si>
  <si>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</si>
  <si>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</si>
  <si>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</si>
  <si>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</si>
  <si>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</si>
  <si>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</si>
  <si>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</si>
  <si>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</si>
  <si>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</si>
  <si>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</si>
  <si>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</si>
  <si>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</si>
  <si>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</si>
  <si>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</si>
  <si>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</si>
  <si>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</si>
  <si>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</si>
  <si>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</si>
  <si>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</si>
  <si>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</si>
  <si>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</si>
  <si>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</si>
  <si>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</si>
  <si>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</si>
  <si>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</si>
  <si>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</si>
  <si>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</si>
  <si>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</si>
  <si>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</si>
  <si>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</si>
  <si>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</si>
  <si>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</si>
  <si>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</si>
  <si>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</si>
  <si>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</si>
  <si>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9:11</t>
  </si>
  <si>
    <t>1:52</t>
  </si>
  <si>
    <t>missed three pointer</t>
  </si>
  <si>
    <t>Good communication, responsible management…</t>
  </si>
  <si>
    <t>IVAN MOSIC</t>
  </si>
  <si>
    <t>MIODRAG STOJANOVIC</t>
  </si>
  <si>
    <t>MILOS KREMIC</t>
  </si>
  <si>
    <t>BOJANA KRALJEVIC</t>
  </si>
  <si>
    <t>IVANA KRSTIC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</si>
</sst>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1" sqref="D11:G1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13_128_RED_OLY_E2025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45987.833333333336</v>
      </c>
      <c r="C3" s="178"/>
      <c r="D3" s="39">
        <v>516</v>
      </c>
      <c r="E3" s="29"/>
      <c r="F3" s="26">
        <f>SUBTOTAL(3,I17:I106)</f>
        <v>2</v>
      </c>
      <c r="G3" s="27">
        <f>IF(OR(D3="",D3=0),"",F3/D3)</f>
        <v>3.875968992248062E-3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754</v>
      </c>
      <c r="N4" s="186"/>
      <c r="O4" s="2"/>
      <c r="P4" s="2"/>
      <c r="Q4" s="84" t="s">
        <v>175</v>
      </c>
      <c r="R4" s="94">
        <f>(IF(G3="",0,G3))</f>
        <v>3.875968992248062E-3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0.38759689922480622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3.387596899224806</v>
      </c>
      <c r="N7" s="58"/>
      <c r="O7" s="2"/>
      <c r="P7" s="2"/>
      <c r="Q7" s="86">
        <f>SUM(R5,S5,AC16)</f>
        <v>3.387596899224806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757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3.387596899224806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744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128</v>
      </c>
      <c r="D17" s="32" t="s">
        <v>752</v>
      </c>
      <c r="E17" s="33">
        <v>1</v>
      </c>
      <c r="F17" s="36">
        <v>16</v>
      </c>
      <c r="G17" s="36">
        <v>12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48</v>
      </c>
      <c r="M17" s="13" t="s">
        <v>27</v>
      </c>
      <c r="N17" s="35" t="s">
        <v>753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128</v>
      </c>
      <c r="D18" s="32" t="s">
        <v>751</v>
      </c>
      <c r="E18" s="33">
        <v>2</v>
      </c>
      <c r="F18" s="36">
        <v>21</v>
      </c>
      <c r="G18" s="36">
        <v>18</v>
      </c>
      <c r="H18" s="38" t="str">
        <f t="shared" ref="H18:H81" si="8">IF(I18="","",$I$14)</f>
        <v>SCOUTING</v>
      </c>
      <c r="I18" s="34">
        <v>145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REPORT_E2025128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"E2025128"</v>
      </c>
      <c r="F3" s="45" t="str">
        <f t="shared" ref="F3:F16" si="0">""""&amp;B3&amp;"""" &amp; " : " &amp;C3&amp;","</f>
        <v>"name" : "E2025128",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"E128"</v>
      </c>
      <c r="F4" s="45" t="str">
        <f t="shared" si="0"/>
        <v>"cod" : "E128",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128</v>
      </c>
      <c r="F6" s="45" t="str">
        <f t="shared" si="0"/>
        <v>"number" : 128,</v>
      </c>
    </row>
    <row r="7" spans="2:6" x14ac:dyDescent="0.2">
      <c r="B7" s="43" t="s">
        <v>116</v>
      </c>
      <c r="C7" s="43" t="str">
        <f ca="1">""""&amp;TEXT('SCOUT &amp; LOGISTICS'!B3,"dd/mm/aaaa")&amp;""""</f>
        <v>"26/11/Wednesday"</v>
      </c>
      <c r="F7" s="45" t="str">
        <f t="shared" ca="1" si="0"/>
        <v>"date" : "26/11/Wednesday",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"IVANA KRSTIC"</v>
      </c>
      <c r="F14" s="45" t="str">
        <f t="shared" si="0"/>
        <v>"Shotclock" : "IVANA KRSTIC",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516</v>
      </c>
      <c r="F25" s="45" t="str">
        <f t="shared" ref="F25:F48" si="1">""""&amp;C25&amp;"""" &amp; " : " &amp;D25&amp;","</f>
        <v>"total_actions" : 516,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communication, responsible management…"</v>
      </c>
      <c r="F51" s="45" t="str">
        <f>""""&amp;B51&amp;"""" &amp; " : " &amp;C51&amp;","</f>
        <v>"comments" : "Good communication, responsible management…",</v>
      </c>
    </row>
    <row r="52" spans="2:6" x14ac:dyDescent="0.2">
      <c r="B52" s="43" t="s">
        <v>153</v>
      </c>
      <c r="C52" s="43" t="str">
        <f>TEXT('SCOUT &amp; LOGISTICS'!F1,"0,0")</f>
        <v>13_128_RED_OLY_E2025</v>
      </c>
      <c r="F52" s="45" t="str">
        <f>""""&amp;B52&amp;"""" &amp; " : " &amp;C52</f>
        <v>"result" : 13_128_RED_OLY_E2025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E128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MILOS KREMIC</v>
      </c>
      <c r="M8" s="201"/>
      <c r="N8" s="201"/>
      <c r="O8" s="201"/>
      <c r="P8" s="201"/>
      <c r="Q8" s="201" t="str">
        <f>IF('SCOUT &amp; LOGISTICS'!D9="","",'SCOUT &amp; LOGISTICS'!D9)</f>
        <v>BOJANA KRALJEVIC</v>
      </c>
      <c r="R8" s="201"/>
      <c r="S8" s="201"/>
      <c r="T8" s="201"/>
      <c r="U8" s="201"/>
      <c r="V8" s="201" t="str">
        <f>IF('SCOUT &amp; LOGISTICS'!D10="","",'SCOUT &amp; LOGISTICS'!D10)</f>
        <v>IVANA KRSTIC</v>
      </c>
      <c r="W8" s="201"/>
      <c r="X8" s="201"/>
      <c r="Y8" s="201"/>
      <c r="Z8" s="201"/>
      <c r="AA8" s="201" t="str">
        <f>IF('SCOUT &amp; LOGISTICS'!D11="","",'SCOUT &amp; LOGISTICS'!D11)</f>
        <v>ANA KRSTIC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516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3.875968992248062E-3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Good communication, responsible management…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3.387596899224806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2DE7E90-A865-402D-A8EB-3F7358E79A37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2025-11-26T20:51:30Z</cp:lastPrinted>
  <dcterms:created xsi:type="dcterms:W3CDTF">2023-09-19T19:50:35Z</dcterms:created>
  <dcterms:modified xsi:type="dcterms:W3CDTF">2025-11-27T17:01:00Z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