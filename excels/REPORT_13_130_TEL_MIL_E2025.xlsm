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91" documentId="8_{0478E79E-FBF6-4C53-9EF3-7DDC454685FA}" xr6:coauthVersionLast="47" xr6:coauthVersionMax="47" xr10:uidLastSave="{4D2C347C-2103-44C7-84A0-3C71F8FE6479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<sst xmlns="http://schemas.openxmlformats.org/spreadsheetml/2006/main" count="3285" uniqueCount="764">
  <si>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</si>
  <si>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</si>
  <si>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</si>
  <si>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</si>
  <si>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</si>
  <si>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</si>
  <si>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</si>
  <si>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</si>
  <si>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</si>
  <si>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</si>
  <si>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</si>
  <si>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</si>
  <si>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</si>
  <si>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</si>
  <si>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</si>
  <si>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</si>
  <si>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</si>
  <si>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</si>
  <si>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</si>
  <si>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</si>
  <si>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</si>
  <si>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</si>
  <si>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</si>
  <si>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</si>
  <si>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</si>
  <si>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</si>
  <si>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</si>
  <si>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</si>
  <si>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</si>
  <si>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</si>
  <si>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</si>
  <si>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</si>
  <si>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</si>
  <si>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</si>
  <si>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</si>
  <si>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</si>
  <si>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</si>
  <si>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</si>
  <si>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</si>
  <si>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</si>
  <si>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</si>
  <si>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</si>
  <si>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</si>
  <si>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</si>
  <si>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</si>
  <si>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</si>
  <si>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</si>
  <si>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</si>
  <si>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</si>
  <si>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</si>
  <si>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</si>
  <si>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</si>
  <si>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</si>
  <si>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</si>
  <si>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</si>
  <si>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</si>
  <si>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</si>
  <si>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</si>
  <si>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</si>
  <si>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</si>
  <si>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</si>
  <si>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</si>
  <si>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</si>
  <si>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</si>
  <si>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</si>
  <si>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</si>
  <si>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</si>
  <si>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</si>
  <si>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</si>
  <si>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</si>
  <si>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</si>
  <si>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</si>
  <si>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</si>
  <si>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</si>
  <si>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</si>
  <si>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</si>
  <si>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</si>
  <si>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</si>
  <si>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</si>
  <si>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</si>
  <si>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</si>
  <si>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</si>
  <si>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</si>
  <si>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</si>
  <si>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</si>
  <si>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</si>
  <si>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</si>
  <si>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</si>
  <si>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</si>
  <si>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</si>
  <si>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</si>
  <si>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</si>
  <si>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</si>
  <si>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</si>
  <si>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</si>
  <si>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</si>
  <si>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</si>
  <si>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</si>
  <si>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</si>
  <si>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</si>
  <si>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</si>
  <si>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</si>
  <si>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</si>
  <si>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</si>
  <si>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</si>
  <si>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</si>
  <si>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</si>
  <si>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</si>
  <si>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</si>
  <si>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</si>
  <si>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</si>
  <si>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</si>
  <si>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</si>
  <si>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</si>
  <si>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</si>
  <si>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</si>
  <si>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</si>
  <si>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</si>
  <si>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</si>
  <si>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</si>
  <si>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</si>
  <si>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</si>
  <si>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</si>
  <si>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</si>
  <si>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</si>
  <si>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</si>
  <si>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</si>
  <si>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</si>
  <si>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</si>
  <si>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</si>
  <si>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</si>
  <si>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</si>
  <si>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</si>
  <si>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</si>
  <si>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</si>
  <si>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</si>
  <si>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</si>
  <si>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</si>
  <si>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</si>
  <si>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</si>
  <si>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</si>
  <si>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</si>
  <si>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</si>
  <si>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</si>
  <si>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</si>
  <si>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</si>
  <si>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</si>
  <si>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</si>
  <si>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</si>
  <si>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</si>
  <si>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</si>
  <si>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</si>
  <si>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</si>
  <si>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</si>
  <si>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</si>
  <si>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</si>
  <si>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</si>
  <si>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</si>
  <si>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</si>
  <si>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</si>
  <si>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</si>
  <si>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</si>
  <si>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</si>
  <si>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</si>
  <si>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</si>
  <si>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</si>
  <si>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</si>
  <si>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</si>
  <si>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</si>
  <si>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</si>
  <si>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</si>
  <si>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</si>
  <si>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</si>
  <si>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</si>
  <si>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</si>
  <si>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</si>
  <si>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</si>
  <si>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</si>
  <si>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</si>
  <si>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</si>
  <si>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</si>
  <si>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</si>
  <si>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</si>
  <si>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</si>
  <si>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</si>
  <si>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</si>
  <si>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</si>
  <si>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</si>
  <si>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</si>
  <si>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</si>
  <si>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</si>
  <si>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</si>
  <si>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</si>
  <si>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</si>
  <si>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</si>
  <si>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</si>
  <si>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</si>
  <si>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</si>
  <si>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</si>
  <si>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</si>
  <si>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</si>
  <si>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</si>
  <si>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</si>
  <si>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</si>
  <si>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</si>
  <si>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</si>
  <si>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</si>
  <si>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</si>
  <si>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</si>
  <si>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</si>
  <si>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</si>
  <si>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</si>
  <si>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</si>
  <si>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</si>
  <si>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</si>
  <si>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</si>
  <si>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</si>
  <si>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</si>
  <si>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</si>
  <si>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</si>
  <si>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</si>
  <si>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</si>
  <si>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</si>
  <si>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</si>
  <si>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</si>
  <si>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</si>
  <si>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</si>
  <si>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</si>
  <si>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</si>
  <si>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</si>
  <si>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</si>
  <si>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</si>
  <si>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</si>
  <si>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</si>
  <si>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</si>
  <si>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</si>
  <si>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</si>
  <si>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</si>
  <si>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</si>
  <si>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</si>
  <si>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</si>
  <si>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</si>
  <si>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</si>
  <si>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</si>
  <si>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</si>
  <si>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</si>
  <si>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</si>
  <si>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</si>
  <si>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</si>
  <si>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</si>
  <si>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</si>
  <si>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</si>
  <si>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</si>
  <si>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</si>
  <si>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</si>
  <si>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</si>
  <si>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</si>
  <si>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</si>
  <si>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</si>
  <si>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</si>
  <si>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</si>
  <si>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</si>
  <si>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</si>
  <si>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</si>
  <si>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</si>
  <si>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</si>
  <si>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</si>
  <si>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</si>
  <si>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</si>
  <si>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</si>
  <si>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</si>
  <si>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</si>
  <si>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</si>
  <si>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</si>
  <si>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</si>
  <si>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</si>
  <si>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</si>
  <si>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</si>
  <si>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</si>
  <si>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</si>
  <si>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</si>
  <si>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</si>
  <si>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</si>
  <si>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</si>
  <si>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</si>
  <si>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</si>
  <si>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</si>
  <si>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</si>
  <si>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</si>
  <si>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</si>
  <si>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</si>
  <si>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</si>
  <si>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</si>
  <si>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</si>
  <si>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</si>
  <si>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</si>
  <si>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</si>
  <si>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</si>
  <si>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</si>
  <si>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</si>
  <si>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</si>
  <si>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</si>
  <si>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</si>
  <si>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</si>
  <si>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</si>
  <si>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</si>
  <si>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</si>
  <si>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</si>
  <si>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</si>
  <si>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</si>
  <si>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</si>
  <si>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</si>
  <si>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</si>
  <si>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</si>
  <si>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</si>
  <si>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</si>
  <si>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</si>
  <si>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</si>
  <si>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</si>
  <si>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</si>
  <si>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</si>
  <si>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</si>
  <si>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</si>
  <si>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</si>
  <si>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</si>
  <si>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</si>
  <si>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</si>
  <si>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</si>
  <si>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</si>
  <si>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</si>
  <si>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</si>
  <si>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</si>
  <si>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</si>
  <si>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</si>
  <si>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</si>
  <si>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</si>
  <si>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</si>
  <si>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</si>
  <si>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</si>
  <si>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</si>
  <si>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</si>
  <si>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</si>
  <si>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</si>
  <si>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</si>
  <si>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</si>
  <si>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</si>
  <si>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</si>
  <si>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</si>
  <si>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</si>
  <si>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</si>
  <si>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</si>
  <si>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</si>
  <si>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</si>
  <si>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</si>
  <si>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</si>
  <si>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</si>
  <si>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</si>
  <si>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</si>
  <si>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</si>
  <si>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</si>
  <si>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</si>
  <si>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</si>
  <si>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</si>
  <si>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</si>
  <si>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</si>
  <si>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</si>
  <si>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</si>
  <si>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</si>
  <si>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</si>
  <si>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</si>
  <si>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</si>
  <si>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</si>
  <si>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</si>
  <si>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</si>
  <si>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</si>
  <si>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</si>
  <si>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</si>
  <si>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</si>
  <si>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</si>
  <si>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</si>
  <si>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</si>
  <si>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</si>
  <si>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</si>
  <si>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</si>
  <si>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</si>
  <si>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</si>
  <si>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</si>
  <si>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</si>
  <si>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</si>
  <si>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</si>
  <si>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</si>
  <si>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</si>
  <si>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</si>
  <si>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</si>
  <si>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</si>
  <si>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</si>
  <si>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</si>
  <si>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</si>
  <si>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</si>
  <si>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</si>
  <si>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</si>
  <si>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</si>
  <si>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</si>
  <si>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</si>
  <si>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</si>
  <si>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</si>
  <si>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</si>
  <si>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</si>
  <si>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</si>
  <si>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</si>
  <si>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</si>
  <si>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</si>
  <si>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</si>
  <si>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</si>
  <si>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</si>
  <si>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</si>
  <si>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</si>
  <si>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</si>
  <si>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</si>
  <si>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</si>
  <si>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</si>
  <si>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</si>
  <si>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</si>
  <si>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</si>
  <si>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</si>
  <si>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</si>
  <si>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</si>
  <si>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</si>
  <si>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</si>
  <si>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</si>
  <si>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</si>
  <si>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</si>
  <si>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</si>
  <si>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</si>
  <si>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</si>
  <si>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</si>
  <si>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</si>
  <si>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</si>
  <si>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</si>
  <si>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</si>
  <si>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</si>
  <si>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</si>
  <si>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</si>
  <si>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</si>
  <si>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</si>
  <si>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</si>
  <si>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</si>
  <si>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</si>
  <si>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</si>
  <si>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</si>
  <si>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</si>
  <si>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</si>
  <si>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</si>
  <si>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</si>
  <si>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</si>
  <si>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</si>
  <si>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</si>
  <si>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</si>
  <si>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</si>
  <si>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</si>
  <si>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</si>
  <si>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</si>
  <si>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</si>
  <si>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</si>
  <si>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</si>
  <si>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</si>
  <si>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</si>
  <si>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</si>
  <si>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</si>
  <si>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</si>
  <si>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</si>
  <si>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</si>
  <si>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</si>
  <si>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</si>
  <si>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</si>
  <si>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</si>
  <si>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</si>
  <si>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</si>
  <si>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</si>
  <si>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</si>
  <si>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</si>
  <si>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</si>
  <si>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</si>
  <si>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</si>
  <si>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</si>
  <si>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</si>
  <si>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</si>
  <si>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</si>
  <si>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</si>
  <si>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</si>
  <si>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</si>
  <si>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</si>
  <si>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</si>
  <si>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</si>
  <si>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</si>
  <si>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</si>
  <si>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</si>
  <si>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</si>
  <si>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</si>
  <si>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</si>
  <si>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</si>
  <si>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</si>
  <si>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</si>
  <si>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</si>
  <si>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</si>
  <si>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</si>
  <si>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</si>
  <si>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</si>
  <si>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</si>
  <si>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</si>
  <si>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</si>
  <si>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</si>
  <si>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</si>
  <si>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</si>
  <si>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</si>
  <si>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</si>
  <si>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</si>
  <si>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</si>
  <si>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</si>
  <si>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</si>
  <si>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</si>
  <si>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</si>
  <si>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</si>
  <si>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</si>
  <si>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</si>
  <si>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</si>
  <si>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</si>
  <si>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</si>
  <si>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</si>
  <si>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</si>
  <si>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</si>
  <si>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</si>
  <si>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</si>
  <si>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</si>
  <si>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</si>
  <si>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</si>
  <si>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</si>
  <si>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</si>
  <si>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</si>
  <si>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</si>
  <si>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</si>
  <si>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</si>
  <si>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</si>
  <si>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</si>
  <si>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</si>
  <si>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</si>
  <si>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</si>
  <si>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</si>
  <si>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</si>
  <si>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</si>
  <si>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</si>
  <si>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</si>
  <si>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</si>
  <si>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</si>
  <si>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</si>
  <si>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</si>
  <si>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</si>
  <si>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</si>
  <si>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</si>
  <si>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</si>
  <si>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</si>
  <si>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</si>
  <si>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</si>
  <si>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</si>
  <si>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</si>
  <si>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</si>
  <si>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</si>
  <si>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</si>
  <si>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</si>
  <si>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</si>
  <si>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</si>
  <si>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</si>
  <si>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</si>
  <si>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</si>
  <si>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</si>
  <si>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</si>
  <si>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</si>
  <si>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</si>
  <si>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</si>
  <si>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</si>
  <si>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</si>
  <si>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</si>
  <si>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</si>
  <si>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</si>
  <si>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</si>
  <si>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</si>
  <si>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</si>
  <si>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</si>
  <si>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</si>
  <si>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</si>
  <si>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</si>
  <si>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</si>
  <si>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</si>
  <si>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</si>
  <si>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</si>
  <si>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</si>
  <si>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</si>
  <si>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</si>
  <si>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</si>
  <si>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</si>
  <si>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</si>
  <si>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</si>
  <si>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</si>
  <si>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</si>
  <si>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</si>
  <si>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</si>
  <si>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</si>
  <si>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</si>
  <si>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</si>
  <si>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</si>
  <si>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</si>
  <si>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</si>
  <si>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</si>
  <si>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</si>
  <si>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</si>
  <si>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</si>
  <si>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</si>
  <si>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</si>
  <si>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</si>
  <si>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</si>
  <si>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</si>
  <si>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</si>
  <si>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</si>
  <si>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</si>
  <si>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</si>
  <si>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</si>
  <si>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</si>
  <si>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</si>
  <si>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</si>
  <si>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</si>
  <si>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</si>
  <si>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</si>
  <si>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</si>
  <si>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</si>
  <si>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</si>
  <si>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</si>
  <si>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</si>
  <si>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</si>
  <si>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</si>
  <si>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</si>
  <si>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</si>
  <si>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</si>
  <si>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</si>
  <si>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</si>
  <si>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</si>
  <si>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</si>
  <si>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</si>
  <si>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</si>
  <si>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</si>
  <si>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</si>
  <si>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</si>
  <si>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</si>
  <si>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</si>
  <si>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</si>
  <si>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</si>
  <si>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</si>
  <si>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</si>
  <si>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</si>
  <si>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</si>
  <si>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</si>
  <si>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</si>
  <si>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</si>
  <si>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</si>
  <si>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</si>
  <si>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</si>
  <si>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</si>
  <si>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</si>
  <si>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</si>
  <si>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</si>
  <si>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</si>
  <si>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</si>
  <si>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</si>
  <si>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</si>
  <si>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</si>
  <si>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</si>
  <si>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</si>
  <si>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</si>
  <si>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</si>
  <si>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</si>
  <si>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</si>
  <si>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</si>
  <si>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</si>
  <si>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</si>
  <si>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</si>
  <si>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</si>
  <si>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</si>
  <si>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</si>
  <si>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</si>
  <si>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</si>
  <si>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</si>
  <si>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</si>
  <si>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</si>
  <si>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</si>
  <si>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</si>
  <si>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</si>
  <si>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</si>
  <si>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</si>
  <si>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</si>
  <si>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</si>
  <si>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</si>
  <si>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</si>
  <si>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</si>
  <si>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</si>
  <si>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</si>
  <si>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</si>
  <si>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</si>
  <si>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</si>
  <si>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</si>
  <si>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</si>
  <si>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</si>
  <si>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</si>
  <si>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</si>
  <si>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</si>
  <si>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</si>
  <si>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</si>
  <si>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</si>
  <si>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</si>
  <si>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</si>
  <si>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</si>
  <si>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</si>
  <si>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</si>
  <si>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</si>
  <si>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</si>
  <si>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</si>
  <si>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</si>
  <si>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</si>
  <si>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</si>
  <si>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</si>
  <si>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</si>
  <si>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</si>
  <si>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</si>
  <si>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</si>
  <si>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</si>
  <si>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</si>
  <si>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</si>
  <si>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</si>
  <si>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</si>
  <si>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</si>
  <si>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</si>
  <si>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</si>
  <si>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</si>
  <si>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</si>
  <si>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</si>
  <si>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</si>
  <si>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</si>
  <si>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</si>
  <si>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</si>
  <si>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</si>
  <si>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</si>
  <si>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</si>
  <si>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PREDRAG VASILJEVIC</t>
  </si>
  <si>
    <t>IVANA PRPA</t>
  </si>
  <si>
    <t>BILJANA KOSTRES</t>
  </si>
  <si>
    <t>JOVANA DOJCINOVIC</t>
  </si>
  <si>
    <t>ELOI VERGÉ</t>
  </si>
  <si>
    <t>09:26</t>
  </si>
  <si>
    <t>08:24</t>
  </si>
  <si>
    <t>03:02</t>
  </si>
  <si>
    <t>06:48</t>
  </si>
  <si>
    <t>06:08</t>
  </si>
  <si>
    <t>00:51</t>
  </si>
  <si>
    <t>07:54</t>
  </si>
  <si>
    <t>07:29</t>
  </si>
  <si>
    <t>Very good job as always!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</si>
</sst>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13_130_TEL_MIL_E2025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130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45987.836805555555</v>
      </c>
      <c r="C3" s="157"/>
      <c r="D3" s="39">
        <v>568</v>
      </c>
      <c r="E3" s="29"/>
      <c r="F3" s="26">
        <f>SUBTOTAL(3,I17:I106)</f>
        <v>8</v>
      </c>
      <c r="G3" s="27">
        <f>IF(OR(D3="",D3=0),"",F3/D3)</f>
        <v>1.4084507042253521E-2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Maccabi Rapyd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742</v>
      </c>
      <c r="L4" s="5"/>
      <c r="M4" s="167" t="s">
        <v>763</v>
      </c>
      <c r="N4" s="168"/>
      <c r="O4" s="2"/>
      <c r="P4" s="2"/>
      <c r="Q4" s="84" t="s">
        <v>175</v>
      </c>
      <c r="R4" s="94">
        <f>(IF(G3="",0,G3))</f>
        <v>1.4084507042253521E-2</v>
      </c>
      <c r="S4" s="61">
        <f>SUM(I13:M13)</f>
        <v>0</v>
      </c>
      <c r="T4" s="78"/>
      <c r="U4" s="61">
        <f>AC18</f>
        <v>6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EA7 Emporio Armani Milan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1.4084507042253522</v>
      </c>
      <c r="S5" s="70">
        <f t="shared" ref="S5" si="0">S4*S3</f>
        <v>0</v>
      </c>
      <c r="T5" s="92"/>
      <c r="U5" s="70">
        <f t="shared" ref="U5:AG5" si="1">U4*U3</f>
        <v>3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745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6.408450704225352</v>
      </c>
      <c r="N7" s="58"/>
      <c r="O7" s="2"/>
      <c r="P7" s="2"/>
      <c r="Q7" s="86">
        <f>SUM(R5,S5,AC16)</f>
        <v>6.408450704225352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750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6.408450704225352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751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752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753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130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8</v>
      </c>
      <c r="Z16" s="90" t="s">
        <v>110</v>
      </c>
      <c r="AA16" s="75">
        <f>SUM(AA17:AA24)</f>
        <v>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130</v>
      </c>
      <c r="D17" s="32" t="s">
        <v>755</v>
      </c>
      <c r="E17" s="33">
        <v>2</v>
      </c>
      <c r="F17" s="36">
        <v>27</v>
      </c>
      <c r="G17" s="36">
        <v>28</v>
      </c>
      <c r="H17" s="38" t="str">
        <f>IF(I17="","",$I$14)</f>
        <v>SCOUTING</v>
      </c>
      <c r="I17" s="34">
        <v>134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8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130</v>
      </c>
      <c r="D18" s="32" t="s">
        <v>756</v>
      </c>
      <c r="E18" s="33">
        <v>2</v>
      </c>
      <c r="F18" s="36">
        <v>32</v>
      </c>
      <c r="G18" s="36">
        <v>32</v>
      </c>
      <c r="H18" s="38" t="str">
        <f t="shared" ref="H18:H81" si="8">IF(I18="","",$I$14)</f>
        <v>SCOUTING</v>
      </c>
      <c r="I18" s="34">
        <v>144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6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130</v>
      </c>
      <c r="D19" s="32" t="s">
        <v>757</v>
      </c>
      <c r="E19" s="33">
        <v>2</v>
      </c>
      <c r="F19" s="36">
        <v>44</v>
      </c>
      <c r="G19" s="36">
        <v>42</v>
      </c>
      <c r="H19" s="38" t="str">
        <f t="shared" si="8"/>
        <v>SCOUTING</v>
      </c>
      <c r="I19" s="34">
        <v>213</v>
      </c>
      <c r="J19" s="13" t="s">
        <v>4</v>
      </c>
      <c r="K19" s="13" t="s">
        <v>63</v>
      </c>
      <c r="L19" s="13" t="s">
        <v>6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130</v>
      </c>
      <c r="D20" s="32" t="s">
        <v>758</v>
      </c>
      <c r="E20" s="33">
        <v>3</v>
      </c>
      <c r="F20" s="36">
        <v>57</v>
      </c>
      <c r="G20" s="36">
        <v>56</v>
      </c>
      <c r="H20" s="38" t="str">
        <f t="shared" si="8"/>
        <v>SCOUTING</v>
      </c>
      <c r="I20" s="34">
        <v>329</v>
      </c>
      <c r="J20" s="13" t="s">
        <v>4</v>
      </c>
      <c r="K20" s="13" t="s">
        <v>63</v>
      </c>
      <c r="L20" s="13" t="s">
        <v>6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130</v>
      </c>
      <c r="D21" s="32" t="s">
        <v>759</v>
      </c>
      <c r="E21" s="33">
        <v>3</v>
      </c>
      <c r="F21" s="36">
        <v>57</v>
      </c>
      <c r="G21" s="36">
        <v>61</v>
      </c>
      <c r="H21" s="38" t="str">
        <f t="shared" si="8"/>
        <v>SCOUTING</v>
      </c>
      <c r="I21" s="34">
        <v>341</v>
      </c>
      <c r="J21" s="13" t="s">
        <v>4</v>
      </c>
      <c r="K21" s="13" t="s">
        <v>62</v>
      </c>
      <c r="L21" s="13" t="s">
        <v>5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130</v>
      </c>
      <c r="D22" s="32" t="s">
        <v>760</v>
      </c>
      <c r="E22" s="33">
        <v>3</v>
      </c>
      <c r="F22" s="36">
        <v>62</v>
      </c>
      <c r="G22" s="36">
        <v>74</v>
      </c>
      <c r="H22" s="38" t="str">
        <f t="shared" si="8"/>
        <v>SCOUTING</v>
      </c>
      <c r="I22" s="34">
        <v>429</v>
      </c>
      <c r="J22" s="13" t="s">
        <v>4</v>
      </c>
      <c r="K22" s="13" t="s">
        <v>62</v>
      </c>
      <c r="L22" s="13" t="s">
        <v>5</v>
      </c>
      <c r="M22" s="13" t="s">
        <v>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130</v>
      </c>
      <c r="D23" s="32" t="s">
        <v>761</v>
      </c>
      <c r="E23" s="33">
        <v>4</v>
      </c>
      <c r="F23" s="36">
        <v>68</v>
      </c>
      <c r="G23" s="36">
        <v>87</v>
      </c>
      <c r="H23" s="38" t="str">
        <f t="shared" si="8"/>
        <v>SCOUTING</v>
      </c>
      <c r="I23" s="34">
        <v>465</v>
      </c>
      <c r="J23" s="13" t="s">
        <v>4</v>
      </c>
      <c r="K23" s="13" t="s">
        <v>62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130</v>
      </c>
      <c r="D24" s="32" t="s">
        <v>762</v>
      </c>
      <c r="E24" s="33">
        <v>4</v>
      </c>
      <c r="F24" s="36">
        <v>68</v>
      </c>
      <c r="G24" s="36">
        <v>88</v>
      </c>
      <c r="H24" s="38" t="str">
        <f t="shared" si="8"/>
        <v>SCOUTING</v>
      </c>
      <c r="I24" s="34">
        <v>477</v>
      </c>
      <c r="J24" s="13" t="s">
        <v>4</v>
      </c>
      <c r="K24" s="13" t="s">
        <v>63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REPORT_E2025130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"E2025130"</v>
      </c>
      <c r="F3" s="45" t="str">
        <f t="shared" ref="F3:F16" si="0">""""&amp;B3&amp;"""" &amp; " : " &amp;C3&amp;","</f>
        <v>"name" : "E2025130",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"E130"</v>
      </c>
      <c r="F4" s="45" t="str">
        <f t="shared" si="0"/>
        <v>"cod" : "E130",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130</v>
      </c>
      <c r="F6" s="45" t="str">
        <f t="shared" si="0"/>
        <v>"number" : 130,</v>
      </c>
    </row>
    <row r="7" spans="2:6" x14ac:dyDescent="0.25">
      <c r="B7" s="43" t="s">
        <v>116</v>
      </c>
      <c r="C7" s="43" t="str">
        <f ca="1">""""&amp;TEXT('SCOUT &amp; LOGISTICS'!B3,"dd/mm/aaaa")&amp;""""</f>
        <v>"26/11/2025"</v>
      </c>
      <c r="F7" s="45" t="str">
        <f t="shared" ca="1" si="0"/>
        <v>"date" : "26/11/2025",</v>
      </c>
    </row>
    <row r="8" spans="2:6" x14ac:dyDescent="0.25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"IVANA VASILJEVIC"</v>
      </c>
      <c r="F11" s="45" t="str">
        <f t="shared" si="0"/>
        <v>"Caller_1" : "IVANA VASILJEVIC",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"PREDRAG VASILJEVIC"</v>
      </c>
      <c r="F12" s="45" t="str">
        <f t="shared" si="0"/>
        <v>"Caller_2" : "PREDRAG VASILJEVIC",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"IVANA PRPA"</v>
      </c>
      <c r="F13" s="45" t="str">
        <f t="shared" si="0"/>
        <v>"Timerkeeper" : "IVANA PRPA",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"BILJANA KOSTRES"</v>
      </c>
      <c r="F14" s="45" t="str">
        <f t="shared" si="0"/>
        <v>"Shotclock" : "BILJANA KOSTRES",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DOJCINOVIC"</v>
      </c>
      <c r="F15" s="45" t="str">
        <f t="shared" si="0"/>
        <v>"IRS" : "JOVANA DOJCINOVIC",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568</v>
      </c>
      <c r="F25" s="45" t="str">
        <f t="shared" ref="F25:F48" si="1">""""&amp;C25&amp;"""" &amp; " : " &amp;D25&amp;","</f>
        <v>"total_actions" : 568,</v>
      </c>
    </row>
    <row r="26" spans="2:6" x14ac:dyDescent="0.25">
      <c r="C26" s="43" t="s">
        <v>132</v>
      </c>
      <c r="D26" s="43">
        <f>'SCOUT &amp; LOGISTICS'!F3</f>
        <v>8</v>
      </c>
      <c r="F26" s="45" t="str">
        <f t="shared" si="1"/>
        <v>"total_correcions" : 8,</v>
      </c>
    </row>
    <row r="27" spans="2:6" x14ac:dyDescent="0.25">
      <c r="C27" s="43" t="s">
        <v>133</v>
      </c>
      <c r="D27" s="43" t="str">
        <f>""""&amp;IF(OR(D25="",D25=0),"",TEXT(D26/D25,"0,0%"))&amp;""""</f>
        <v>"1,4%"</v>
      </c>
      <c r="F27" s="45" t="str">
        <f t="shared" si="1"/>
        <v>"%_corrections" : "1,4%",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8</v>
      </c>
      <c r="F37" s="45" t="str">
        <f t="shared" si="1"/>
        <v>"scoresheet_corrections" : 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6</v>
      </c>
      <c r="F39" s="45" t="str">
        <f t="shared" si="1"/>
        <v>"missidentity" : 6,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 as always! Keep it up!"</v>
      </c>
      <c r="F51" s="45" t="str">
        <f>""""&amp;B51&amp;"""" &amp; " : " &amp;C51&amp;","</f>
        <v>"comments" : "Very good job as always! Keep it up!",</v>
      </c>
    </row>
    <row r="52" spans="2:6" x14ac:dyDescent="0.25">
      <c r="B52" s="43" t="s">
        <v>153</v>
      </c>
      <c r="C52" s="43" t="str">
        <f>TEXT('SCOUT &amp; LOGISTICS'!F1,"0,0")</f>
        <v>13_130_TEL_MIL_E2025</v>
      </c>
      <c r="F52" s="45" t="str">
        <f>""""&amp;B52&amp;"""" &amp; " : " &amp;C52</f>
        <v>"result" : 13_130_TEL_MIL_E2025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E130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26/11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Maccabi Rapyd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Ea7 Emporio Armani Milan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PETAR VASILJEVIC</v>
      </c>
      <c r="C8" s="206"/>
      <c r="D8" s="206"/>
      <c r="E8" s="206"/>
      <c r="F8" s="206"/>
      <c r="G8" s="206" t="str">
        <f>IF('SCOUT &amp; LOGISTICS'!D7="","",'SCOUT &amp; LOGISTICS'!D7)</f>
        <v>IVANA VASILJEVIC</v>
      </c>
      <c r="H8" s="206"/>
      <c r="I8" s="206"/>
      <c r="J8" s="206"/>
      <c r="K8" s="206"/>
      <c r="L8" s="206" t="str">
        <f>IF('SCOUT &amp; LOGISTICS'!D8="","",'SCOUT &amp; LOGISTICS'!D8)</f>
        <v>PREDRAG VASILJEVIC</v>
      </c>
      <c r="M8" s="206"/>
      <c r="N8" s="206"/>
      <c r="O8" s="206"/>
      <c r="P8" s="206"/>
      <c r="Q8" s="206" t="str">
        <f>IF('SCOUT &amp; LOGISTICS'!D9="","",'SCOUT &amp; LOGISTICS'!D9)</f>
        <v>IVANA PRPA</v>
      </c>
      <c r="R8" s="206"/>
      <c r="S8" s="206"/>
      <c r="T8" s="206"/>
      <c r="U8" s="206"/>
      <c r="V8" s="206" t="str">
        <f>IF('SCOUT &amp; LOGISTICS'!D10="","",'SCOUT &amp; LOGISTICS'!D10)</f>
        <v>BILJANA KOSTRES</v>
      </c>
      <c r="W8" s="206"/>
      <c r="X8" s="206"/>
      <c r="Y8" s="206"/>
      <c r="Z8" s="206"/>
      <c r="AA8" s="206" t="str">
        <f>IF('SCOUT &amp; LOGISTICS'!D11="","",'SCOUT &amp; LOGISTICS'!D11)</f>
        <v>JOVANA DOJCINOVIC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568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8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1.4084507042253521E-2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8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6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Very good job as always!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6.408450704225352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69D3D1-2DA9-4461-9590-4B00E713AD5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2025-11-26T19:22:15Z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