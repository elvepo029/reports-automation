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4" documentId="8_{74AC766D-1292-49DE-A8FB-9D717CC60FF7}" xr6:coauthVersionLast="47" xr6:coauthVersionMax="47" xr10:uidLastSave="{4D6FA6A5-C9FB-4EB6-B123-7ADF6C5A97E5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<sst xmlns="http://schemas.openxmlformats.org/spreadsheetml/2006/main" count="3413" uniqueCount="867">
  <si>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</si>
  <si>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</si>
  <si>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</si>
  <si>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</si>
  <si>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</si>
  <si>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</si>
  <si>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</si>
  <si>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</si>
  <si>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</si>
  <si>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</si>
  <si>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</si>
  <si>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</si>
  <si>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</si>
  <si>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</si>
  <si>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</si>
  <si>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</si>
  <si>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</si>
  <si>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</si>
  <si>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</si>
  <si>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</si>
  <si>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</si>
  <si>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</si>
  <si>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</si>
  <si>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</si>
  <si>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</si>
  <si>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</si>
  <si>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</si>
  <si>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</si>
  <si>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</si>
  <si>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</si>
  <si>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</si>
  <si>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</si>
  <si>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</si>
  <si>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</si>
  <si>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</si>
  <si>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</si>
  <si>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</si>
  <si>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</si>
  <si>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</si>
  <si>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</si>
  <si>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</si>
  <si>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</si>
  <si>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</si>
  <si>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</si>
  <si>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</si>
  <si>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</si>
  <si>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</si>
  <si>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</si>
  <si>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</si>
  <si>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</si>
  <si>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</si>
  <si>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</si>
  <si>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</si>
  <si>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</si>
  <si>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</si>
  <si>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</si>
  <si>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</si>
  <si>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</si>
  <si>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</si>
  <si>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</si>
  <si>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</si>
  <si>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</si>
  <si>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</si>
  <si>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</si>
  <si>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</si>
  <si>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</si>
  <si>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</si>
  <si>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</si>
  <si>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</si>
  <si>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</si>
  <si>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</si>
  <si>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</si>
  <si>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</si>
  <si>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</si>
  <si>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</si>
  <si>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</si>
  <si>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</si>
  <si>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</si>
  <si>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</si>
  <si>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</si>
  <si>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</si>
  <si>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</si>
  <si>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</si>
  <si>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</si>
  <si>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</si>
  <si>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</si>
  <si>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</si>
  <si>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</si>
  <si>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</si>
  <si>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</si>
  <si>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</si>
  <si>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</si>
  <si>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</si>
  <si>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</si>
  <si>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</si>
  <si>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</si>
  <si>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</si>
  <si>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</si>
  <si>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</si>
  <si>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</si>
  <si>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</si>
  <si>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</si>
  <si>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</si>
  <si>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</si>
  <si>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</si>
  <si>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</si>
  <si>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</si>
  <si>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</si>
  <si>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</si>
  <si>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</si>
  <si>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</si>
  <si>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</si>
  <si>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</si>
  <si>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</si>
  <si>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</si>
  <si>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</si>
  <si>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</si>
  <si>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</si>
  <si>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</si>
  <si>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</si>
  <si>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</si>
  <si>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</si>
  <si>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</si>
  <si>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</si>
  <si>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</si>
  <si>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</si>
  <si>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</si>
  <si>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</si>
  <si>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</si>
  <si>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</si>
  <si>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</si>
  <si>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</si>
  <si>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</si>
  <si>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</si>
  <si>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</si>
  <si>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</si>
  <si>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</si>
  <si>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</si>
  <si>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</si>
  <si>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</si>
  <si>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</si>
  <si>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</si>
  <si>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</si>
  <si>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</si>
  <si>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</si>
  <si>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</si>
  <si>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</si>
  <si>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</si>
  <si>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</si>
  <si>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</si>
  <si>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</si>
  <si>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</si>
  <si>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</si>
  <si>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</si>
  <si>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</si>
  <si>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</si>
  <si>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</si>
  <si>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</si>
  <si>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</si>
  <si>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</si>
  <si>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</si>
  <si>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</si>
  <si>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</si>
  <si>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</si>
  <si>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</si>
  <si>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</si>
  <si>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</si>
  <si>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</si>
  <si>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</si>
  <si>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</si>
  <si>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</si>
  <si>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</si>
  <si>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</si>
  <si>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</si>
  <si>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</si>
  <si>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</si>
  <si>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</si>
  <si>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</si>
  <si>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</si>
  <si>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</si>
  <si>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</si>
  <si>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</si>
  <si>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</si>
  <si>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</si>
  <si>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</si>
  <si>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</si>
  <si>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</si>
  <si>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</si>
  <si>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</si>
  <si>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</si>
  <si>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</si>
  <si>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</si>
  <si>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</si>
  <si>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</si>
  <si>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</si>
  <si>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</si>
  <si>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</si>
  <si>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</si>
  <si>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</si>
  <si>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</si>
  <si>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</si>
  <si>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</si>
  <si>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</si>
  <si>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</si>
  <si>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</si>
  <si>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</si>
  <si>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</si>
  <si>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</si>
  <si>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</si>
  <si>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</si>
  <si>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</si>
  <si>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</si>
  <si>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</si>
  <si>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</si>
  <si>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</si>
  <si>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</si>
  <si>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</si>
  <si>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</si>
  <si>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</si>
  <si>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</si>
  <si>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</si>
  <si>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</si>
  <si>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</si>
  <si>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</si>
  <si>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</si>
  <si>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</si>
  <si>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</si>
  <si>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</si>
  <si>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</si>
  <si>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</si>
  <si>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</si>
  <si>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</si>
  <si>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</si>
  <si>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</si>
  <si>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</si>
  <si>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</si>
  <si>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</si>
  <si>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</si>
  <si>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</si>
  <si>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</si>
  <si>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</si>
  <si>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</si>
  <si>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</si>
  <si>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</si>
  <si>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</si>
  <si>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</si>
  <si>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</si>
  <si>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</si>
  <si>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</si>
  <si>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</si>
  <si>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</si>
  <si>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</si>
  <si>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</si>
  <si>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</si>
  <si>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</si>
  <si>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</si>
  <si>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</si>
  <si>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</si>
  <si>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</si>
  <si>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</si>
  <si>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</si>
  <si>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</si>
  <si>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</si>
  <si>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</si>
  <si>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</si>
  <si>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</si>
  <si>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</si>
  <si>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</si>
  <si>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</si>
  <si>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</si>
  <si>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</si>
  <si>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</si>
  <si>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</si>
  <si>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</si>
  <si>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</si>
  <si>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</si>
  <si>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</si>
  <si>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</si>
  <si>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</si>
  <si>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</si>
  <si>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</si>
  <si>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</si>
  <si>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</si>
  <si>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</si>
  <si>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</si>
  <si>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</si>
  <si>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</si>
  <si>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</si>
  <si>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</si>
  <si>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</si>
  <si>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</si>
  <si>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</si>
  <si>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</si>
  <si>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</si>
  <si>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</si>
  <si>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</si>
  <si>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</si>
  <si>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</si>
  <si>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</si>
  <si>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</si>
  <si>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</si>
  <si>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</si>
  <si>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</si>
  <si>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</si>
  <si>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</si>
  <si>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</si>
  <si>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</si>
  <si>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</si>
  <si>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</si>
  <si>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</si>
  <si>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</si>
  <si>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</si>
  <si>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</si>
  <si>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</si>
  <si>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</si>
  <si>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</si>
  <si>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</si>
  <si>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</si>
  <si>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</si>
  <si>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</si>
  <si>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</si>
  <si>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</si>
  <si>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</si>
  <si>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</si>
  <si>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</si>
  <si>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</si>
  <si>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</si>
  <si>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</si>
  <si>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</si>
  <si>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</si>
  <si>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</si>
  <si>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</si>
  <si>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</si>
  <si>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</si>
  <si>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</si>
  <si>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</si>
  <si>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</si>
  <si>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</si>
  <si>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</si>
  <si>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</si>
  <si>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</si>
  <si>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</si>
  <si>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</si>
  <si>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</si>
  <si>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</si>
  <si>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</si>
  <si>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</si>
  <si>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</si>
  <si>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</si>
  <si>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</si>
  <si>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</si>
  <si>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</si>
  <si>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</si>
  <si>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</si>
  <si>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</si>
  <si>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</si>
  <si>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</si>
  <si>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</si>
  <si>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</si>
  <si>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</si>
  <si>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</si>
  <si>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</si>
  <si>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</si>
  <si>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</si>
  <si>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</si>
  <si>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</si>
  <si>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</si>
  <si>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</si>
  <si>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</si>
  <si>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</si>
  <si>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</si>
  <si>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</si>
  <si>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</si>
  <si>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</si>
  <si>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</si>
  <si>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</si>
  <si>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</si>
  <si>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</si>
  <si>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</si>
  <si>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</si>
  <si>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</si>
  <si>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</si>
  <si>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</si>
  <si>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</si>
  <si>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</si>
  <si>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</si>
  <si>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</si>
  <si>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</si>
  <si>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</si>
  <si>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</si>
  <si>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</si>
  <si>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</si>
  <si>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</si>
  <si>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</si>
  <si>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</si>
  <si>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</si>
  <si>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</si>
  <si>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</si>
  <si>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</si>
  <si>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</si>
  <si>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</si>
  <si>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</si>
  <si>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</si>
  <si>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</si>
  <si>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</si>
  <si>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</si>
  <si>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</si>
  <si>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</si>
  <si>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</si>
  <si>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</si>
  <si>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</si>
  <si>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</si>
  <si>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</si>
  <si>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</si>
  <si>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</si>
  <si>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</si>
  <si>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</si>
  <si>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</si>
  <si>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</si>
  <si>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</si>
  <si>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</si>
  <si>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</si>
  <si>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</si>
  <si>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</si>
  <si>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</si>
  <si>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</si>
  <si>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</si>
  <si>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</si>
  <si>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</si>
  <si>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</si>
  <si>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</si>
  <si>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</si>
  <si>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</si>
  <si>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</si>
  <si>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</si>
  <si>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</si>
  <si>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</si>
  <si>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</si>
  <si>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</si>
  <si>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</si>
  <si>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</si>
  <si>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</si>
  <si>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</si>
  <si>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</si>
  <si>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</si>
  <si>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</si>
  <si>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</si>
  <si>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</si>
  <si>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</si>
  <si>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</si>
  <si>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</si>
  <si>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</si>
  <si>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</si>
  <si>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</si>
  <si>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</si>
  <si>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</si>
  <si>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</si>
  <si>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</si>
  <si>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</si>
  <si>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</si>
  <si>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</si>
  <si>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</si>
  <si>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</si>
  <si>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</si>
  <si>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</si>
  <si>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</si>
  <si>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</si>
  <si>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</si>
  <si>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</si>
  <si>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</si>
  <si>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</si>
  <si>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</si>
  <si>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</si>
  <si>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</si>
  <si>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</si>
  <si>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</si>
  <si>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</si>
  <si>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</si>
  <si>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</si>
  <si>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</si>
  <si>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</si>
  <si>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</si>
  <si>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</si>
  <si>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</si>
  <si>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</si>
  <si>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</si>
  <si>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</si>
  <si>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</si>
  <si>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</si>
  <si>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</si>
  <si>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</si>
  <si>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</si>
  <si>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</si>
  <si>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</si>
  <si>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</si>
  <si>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</si>
  <si>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</si>
  <si>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</si>
  <si>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</si>
  <si>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</si>
  <si>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</si>
  <si>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</si>
  <si>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</si>
  <si>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</si>
  <si>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</si>
  <si>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</si>
  <si>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</si>
  <si>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</si>
  <si>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</si>
  <si>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</si>
  <si>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</si>
  <si>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</si>
  <si>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</si>
  <si>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</si>
  <si>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</si>
  <si>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</si>
  <si>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</si>
  <si>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</si>
  <si>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</si>
  <si>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</si>
  <si>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</si>
  <si>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</si>
  <si>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</si>
  <si>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</si>
  <si>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</si>
  <si>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</si>
  <si>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</si>
  <si>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</si>
  <si>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</si>
  <si>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</si>
  <si>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</si>
  <si>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</si>
  <si>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</si>
  <si>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</si>
  <si>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</si>
  <si>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</si>
  <si>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</si>
  <si>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</si>
  <si>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</si>
  <si>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</si>
  <si>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</si>
  <si>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</si>
  <si>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</si>
  <si>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</si>
  <si>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</si>
  <si>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</si>
  <si>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</si>
  <si>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</si>
  <si>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</si>
  <si>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</si>
  <si>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</si>
  <si>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</si>
  <si>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</si>
  <si>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</si>
  <si>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</si>
  <si>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</si>
  <si>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</si>
  <si>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</si>
  <si>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</si>
  <si>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</si>
  <si>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</si>
  <si>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</si>
  <si>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</si>
  <si>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</si>
  <si>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</si>
  <si>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</si>
  <si>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</si>
  <si>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</si>
  <si>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</si>
  <si>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</si>
  <si>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</si>
  <si>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</si>
  <si>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</si>
  <si>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</si>
  <si>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</si>
  <si>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</si>
  <si>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</si>
  <si>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</si>
  <si>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</si>
  <si>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</si>
  <si>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</si>
  <si>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</si>
  <si>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</si>
  <si>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</si>
  <si>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</si>
  <si>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</si>
  <si>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</si>
  <si>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</si>
  <si>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</si>
  <si>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</si>
  <si>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</si>
  <si>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</si>
  <si>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</si>
  <si>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</si>
  <si>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</si>
  <si>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</si>
  <si>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</si>
  <si>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</si>
  <si>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</si>
  <si>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</si>
  <si>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</si>
  <si>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</si>
  <si>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</si>
  <si>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</si>
  <si>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</si>
  <si>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</si>
  <si>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</si>
  <si>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</si>
  <si>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</si>
  <si>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</si>
  <si>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</si>
  <si>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</si>
  <si>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</si>
  <si>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</si>
  <si>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</si>
  <si>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</si>
  <si>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</si>
  <si>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</si>
  <si>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</si>
  <si>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</si>
  <si>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</si>
  <si>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</si>
  <si>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</si>
  <si>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</si>
  <si>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</si>
  <si>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</si>
  <si>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</si>
  <si>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</si>
  <si>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</si>
  <si>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</si>
  <si>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</si>
  <si>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</si>
  <si>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</si>
  <si>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</si>
  <si>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</si>
  <si>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</si>
  <si>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</si>
  <si>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</si>
  <si>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</si>
  <si>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</si>
  <si>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</si>
  <si>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</si>
  <si>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</si>
  <si>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</si>
  <si>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</si>
  <si>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</si>
  <si>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</si>
  <si>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</si>
  <si>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</si>
  <si>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</si>
  <si>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</si>
  <si>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</si>
  <si>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</si>
  <si>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</si>
  <si>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</si>
  <si>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</si>
  <si>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</si>
  <si>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</si>
  <si>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</si>
  <si>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</si>
  <si>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</si>
  <si>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</si>
  <si>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</si>
  <si>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</si>
  <si>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</si>
  <si>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</si>
  <si>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</si>
  <si>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</si>
  <si>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</si>
  <si>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</si>
  <si>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</si>
  <si>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</si>
  <si>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</si>
  <si>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</si>
  <si>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</si>
  <si>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</si>
  <si>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</si>
  <si>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</si>
  <si>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</si>
  <si>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</si>
  <si>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</si>
  <si>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</si>
  <si>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</si>
  <si>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</si>
  <si>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</si>
  <si>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</si>
  <si>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</si>
  <si>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</si>
  <si>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</si>
  <si>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</si>
  <si>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</si>
  <si>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</si>
  <si>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</si>
  <si>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</si>
  <si>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</si>
  <si>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</si>
  <si>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</si>
  <si>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</si>
  <si>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</si>
  <si>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</si>
  <si>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</si>
  <si>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</si>
  <si>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</si>
  <si>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</si>
  <si>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</si>
  <si>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</si>
  <si>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</si>
  <si>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</si>
  <si>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</si>
  <si>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</si>
  <si>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</si>
  <si>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</si>
  <si>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</si>
  <si>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</si>
  <si>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</si>
  <si>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</si>
  <si>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</si>
  <si>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</si>
  <si>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</si>
  <si>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</si>
  <si>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</si>
  <si>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</si>
  <si>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</si>
  <si>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</si>
  <si>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</si>
  <si>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</si>
  <si>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</si>
  <si>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</si>
  <si>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</si>
  <si>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</si>
  <si>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</si>
  <si>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</si>
  <si>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</si>
  <si>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</si>
  <si>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</si>
  <si>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</si>
  <si>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</si>
  <si>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</si>
  <si>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</si>
  <si>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</si>
  <si>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</si>
  <si>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</si>
  <si>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</si>
  <si>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</si>
  <si>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</si>
  <si>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</si>
  <si>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</si>
  <si>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</si>
  <si>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</si>
  <si>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</si>
  <si>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</si>
  <si>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</si>
  <si>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</si>
  <si>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</si>
  <si>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</si>
  <si>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</si>
  <si>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</si>
  <si>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</si>
  <si>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</si>
  <si>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</si>
  <si>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</si>
  <si>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</si>
  <si>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</si>
  <si>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</si>
  <si>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</si>
  <si>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</si>
  <si>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</si>
  <si>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</si>
  <si>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</si>
  <si>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</si>
  <si>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</si>
  <si>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</si>
  <si>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</si>
  <si>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</si>
  <si>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</si>
  <si>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</si>
  <si>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</si>
  <si>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</si>
  <si>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</si>
  <si>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</si>
  <si>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</si>
  <si>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</si>
  <si>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</si>
  <si>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</si>
  <si>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</si>
  <si>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</si>
  <si>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</si>
  <si>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</si>
  <si>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</si>
  <si>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</si>
  <si>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</si>
  <si>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</si>
  <si>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</si>
  <si>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</si>
  <si>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</si>
  <si>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</si>
  <si>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</si>
  <si>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</si>
  <si>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</si>
  <si>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</si>
  <si>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</si>
  <si>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</si>
  <si>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</si>
  <si>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</si>
  <si>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</si>
  <si>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</si>
  <si>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</si>
  <si>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</si>
  <si>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</si>
  <si>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</si>
  <si>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</si>
  <si>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</si>
  <si>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</si>
  <si>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</si>
  <si>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</si>
  <si>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</si>
  <si>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</si>
  <si>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</si>
  <si>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</si>
  <si>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</si>
  <si>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</si>
  <si>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</si>
  <si>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</si>
  <si>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</si>
  <si>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</si>
  <si>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00:29</t>
  </si>
  <si>
    <t>4</t>
  </si>
  <si>
    <t>87</t>
  </si>
  <si>
    <t>81</t>
  </si>
  <si>
    <t>03:11</t>
  </si>
  <si>
    <t>3</t>
  </si>
  <si>
    <t>60</t>
  </si>
  <si>
    <t>55</t>
  </si>
  <si>
    <t>09:41</t>
  </si>
  <si>
    <t>47</t>
  </si>
  <si>
    <t>43</t>
  </si>
  <si>
    <t>07:28</t>
  </si>
  <si>
    <t>1</t>
  </si>
  <si>
    <t>5</t>
  </si>
  <si>
    <t>00:28</t>
  </si>
  <si>
    <t>2</t>
  </si>
  <si>
    <t>45</t>
  </si>
  <si>
    <t>05:38</t>
  </si>
  <si>
    <t>32</t>
  </si>
  <si>
    <t>34</t>
  </si>
  <si>
    <t>07:31</t>
  </si>
  <si>
    <t>30</t>
  </si>
  <si>
    <t>01:48</t>
  </si>
  <si>
    <t>23</t>
  </si>
  <si>
    <t>22</t>
  </si>
  <si>
    <t>09:59</t>
  </si>
  <si>
    <t>0</t>
  </si>
  <si>
    <t>586</t>
  </si>
  <si>
    <t>408</t>
  </si>
  <si>
    <t>322</t>
  </si>
  <si>
    <t>36</t>
  </si>
  <si>
    <t>300</t>
  </si>
  <si>
    <t>217</t>
  </si>
  <si>
    <t>188</t>
  </si>
  <si>
    <t>125</t>
  </si>
  <si>
    <t>C:\Users\eloi.verge\OneDrive - EUROLEAGUE\Desktop\GAME REPORTS\25-26</t>
  </si>
  <si>
    <t>MERIC AKAR</t>
  </si>
  <si>
    <t>FATIH ASLAN</t>
  </si>
  <si>
    <t>FATIH DEMIRCI</t>
  </si>
  <si>
    <t>FATIH SEN</t>
  </si>
  <si>
    <t>ELOI VERGE</t>
  </si>
  <si>
    <t>Clear "from worse to better performance" starting the game with an important missing such as a jump ball but ending in the last quarter with just 1 correction.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</si>
</sst>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13_130_TTK_TRN_U2025</v>
      </c>
      <c r="G1" s="5"/>
      <c r="H1" s="5"/>
      <c r="I1" s="5"/>
      <c r="J1" s="8" t="s">
        <v>707</v>
      </c>
      <c r="K1" s="121" t="s">
        <v>860</v>
      </c>
      <c r="L1" s="121"/>
      <c r="M1" s="122" t="s">
        <v>239</v>
      </c>
      <c r="N1" s="121" t="s">
        <v>860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130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46029.791666666664</v>
      </c>
      <c r="C3" s="157"/>
      <c r="D3" s="39">
        <v>600</v>
      </c>
      <c r="E3" s="29"/>
      <c r="F3" s="26">
        <f>SUBTOTAL(3,I17:I106)</f>
        <v>9</v>
      </c>
      <c r="G3" s="27">
        <f>IF(OR(D3="",D3=0),"",F3/D3)</f>
        <v>1.4999999999999999E-2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Turk Telekom Ankara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TTK</v>
      </c>
      <c r="I4" s="5"/>
      <c r="J4" s="119" t="s">
        <v>714</v>
      </c>
      <c r="K4" s="54" t="s">
        <v>742</v>
      </c>
      <c r="L4" s="5"/>
      <c r="M4" s="167" t="s">
        <v>866</v>
      </c>
      <c r="N4" s="168"/>
      <c r="O4" s="2"/>
      <c r="P4" s="2"/>
      <c r="Q4" s="84" t="s">
        <v>175</v>
      </c>
      <c r="R4" s="94">
        <f>(IF(G3="",0,G3))</f>
        <v>1.4999999999999999E-2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1</v>
      </c>
      <c r="X4" s="61">
        <f>AC29</f>
        <v>1</v>
      </c>
      <c r="Y4" s="61">
        <f>AC25</f>
        <v>1</v>
      </c>
      <c r="Z4" s="84">
        <f>AC23</f>
        <v>1</v>
      </c>
      <c r="AA4" s="61">
        <f>AC21</f>
        <v>1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Dolomiti Energia Trento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TRN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1.5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1</v>
      </c>
      <c r="X5" s="70">
        <f t="shared" si="1"/>
        <v>1</v>
      </c>
      <c r="Y5" s="70">
        <f t="shared" si="1"/>
        <v>2</v>
      </c>
      <c r="Z5" s="89">
        <f t="shared" si="1"/>
        <v>2.5</v>
      </c>
      <c r="AA5" s="70">
        <f t="shared" si="1"/>
        <v>5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861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15</v>
      </c>
      <c r="N7" s="58"/>
      <c r="O7" s="2"/>
      <c r="P7" s="2"/>
      <c r="Q7" s="86">
        <f>SUM(R5,S5,AC16)</f>
        <v>15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862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863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864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865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13.5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130</v>
      </c>
      <c r="D17" s="32" t="s">
        <v>825</v>
      </c>
      <c r="E17" s="33" t="s">
        <v>826</v>
      </c>
      <c r="F17" s="36" t="s">
        <v>827</v>
      </c>
      <c r="G17" s="36" t="s">
        <v>828</v>
      </c>
      <c r="H17" s="38" t="str">
        <f>IF(I17="","",$I$14)</f>
        <v>SCOUTING</v>
      </c>
      <c r="I17" s="34" t="s">
        <v>852</v>
      </c>
      <c r="J17" s="13" t="s">
        <v>3</v>
      </c>
      <c r="K17" s="13" t="s">
        <v>63</v>
      </c>
      <c r="L17" s="13" t="s">
        <v>7</v>
      </c>
      <c r="M17" s="13" t="s">
        <v>167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130</v>
      </c>
      <c r="D18" s="32" t="s">
        <v>829</v>
      </c>
      <c r="E18" s="33" t="s">
        <v>830</v>
      </c>
      <c r="F18" s="36" t="s">
        <v>831</v>
      </c>
      <c r="G18" s="36" t="s">
        <v>832</v>
      </c>
      <c r="H18" s="38" t="str">
        <f t="shared" ref="H18:H81" si="8">IF(I18="","",$I$14)</f>
        <v>SCOUTING</v>
      </c>
      <c r="I18" s="34" t="s">
        <v>853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130</v>
      </c>
      <c r="D19" s="32" t="s">
        <v>833</v>
      </c>
      <c r="E19" s="33" t="s">
        <v>830</v>
      </c>
      <c r="F19" s="36" t="s">
        <v>834</v>
      </c>
      <c r="G19" s="36" t="s">
        <v>835</v>
      </c>
      <c r="H19" s="38" t="str">
        <f t="shared" si="8"/>
        <v>SCOUTING</v>
      </c>
      <c r="I19" s="34" t="s">
        <v>854</v>
      </c>
      <c r="J19" s="13" t="s">
        <v>4</v>
      </c>
      <c r="K19" s="13" t="s">
        <v>63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130</v>
      </c>
      <c r="D20" s="32" t="s">
        <v>836</v>
      </c>
      <c r="E20" s="33" t="s">
        <v>837</v>
      </c>
      <c r="F20" s="36" t="s">
        <v>838</v>
      </c>
      <c r="G20" s="36" t="s">
        <v>838</v>
      </c>
      <c r="H20" s="38" t="str">
        <f t="shared" si="8"/>
        <v>SCOUTING</v>
      </c>
      <c r="I20" s="34" t="s">
        <v>855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130</v>
      </c>
      <c r="D21" s="32" t="s">
        <v>839</v>
      </c>
      <c r="E21" s="33" t="s">
        <v>840</v>
      </c>
      <c r="F21" s="36" t="s">
        <v>841</v>
      </c>
      <c r="G21" s="36" t="s">
        <v>835</v>
      </c>
      <c r="H21" s="38" t="str">
        <f t="shared" si="8"/>
        <v>SCOUTING</v>
      </c>
      <c r="I21" s="34" t="s">
        <v>856</v>
      </c>
      <c r="J21" s="13" t="s">
        <v>4</v>
      </c>
      <c r="K21" s="13" t="s">
        <v>62</v>
      </c>
      <c r="L21" s="13" t="s">
        <v>48</v>
      </c>
      <c r="M21" s="13" t="s">
        <v>12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1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130</v>
      </c>
      <c r="D22" s="32" t="s">
        <v>842</v>
      </c>
      <c r="E22" s="33" t="s">
        <v>840</v>
      </c>
      <c r="F22" s="36" t="s">
        <v>843</v>
      </c>
      <c r="G22" s="36" t="s">
        <v>844</v>
      </c>
      <c r="H22" s="38" t="str">
        <f t="shared" si="8"/>
        <v>SCOUTING</v>
      </c>
      <c r="I22" s="34" t="s">
        <v>857</v>
      </c>
      <c r="J22" s="13" t="s">
        <v>4</v>
      </c>
      <c r="K22" s="13" t="s">
        <v>62</v>
      </c>
      <c r="L22" s="13" t="s">
        <v>75</v>
      </c>
      <c r="M22" s="13" t="s">
        <v>78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1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130</v>
      </c>
      <c r="D23" s="32" t="s">
        <v>845</v>
      </c>
      <c r="E23" s="33" t="s">
        <v>840</v>
      </c>
      <c r="F23" s="36" t="s">
        <v>846</v>
      </c>
      <c r="G23" s="36" t="s">
        <v>843</v>
      </c>
      <c r="H23" s="38" t="str">
        <f t="shared" si="8"/>
        <v>SCOUTING</v>
      </c>
      <c r="I23" s="34" t="s">
        <v>858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130</v>
      </c>
      <c r="D24" s="32" t="s">
        <v>847</v>
      </c>
      <c r="E24" s="33" t="s">
        <v>837</v>
      </c>
      <c r="F24" s="36" t="s">
        <v>848</v>
      </c>
      <c r="G24" s="36" t="s">
        <v>849</v>
      </c>
      <c r="H24" s="38" t="str">
        <f t="shared" si="8"/>
        <v>SCOUTING</v>
      </c>
      <c r="I24" s="34" t="s">
        <v>859</v>
      </c>
      <c r="J24" s="13" t="s">
        <v>4</v>
      </c>
      <c r="K24" s="13" t="s">
        <v>62</v>
      </c>
      <c r="L24" s="13" t="s">
        <v>47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130</v>
      </c>
      <c r="D25" s="32" t="s">
        <v>850</v>
      </c>
      <c r="E25" s="33" t="s">
        <v>837</v>
      </c>
      <c r="F25" s="36" t="s">
        <v>851</v>
      </c>
      <c r="G25" s="36" t="s">
        <v>851</v>
      </c>
      <c r="H25" s="38" t="str">
        <f t="shared" si="8"/>
        <v>SCOUTING</v>
      </c>
      <c r="I25" s="34" t="s">
        <v>840</v>
      </c>
      <c r="J25" s="13" t="s">
        <v>3</v>
      </c>
      <c r="K25" s="13" t="s">
        <v>62</v>
      </c>
      <c r="L25" s="13" t="s">
        <v>46</v>
      </c>
      <c r="M25" s="13" t="s">
        <v>46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1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REPORT_U2025130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"U2025130"</v>
      </c>
      <c r="F3" s="45" t="str">
        <f t="shared" ref="F3:F16" si="0">""""&amp;B3&amp;"""" &amp; " : " &amp;C3&amp;","</f>
        <v>"name" : "U2025130",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"U130"</v>
      </c>
      <c r="F4" s="45" t="str">
        <f t="shared" si="0"/>
        <v>"cod" : "U130",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130</v>
      </c>
      <c r="F6" s="45" t="str">
        <f t="shared" si="0"/>
        <v>"number" : 130,</v>
      </c>
    </row>
    <row r="7" spans="2:6" x14ac:dyDescent="0.25">
      <c r="B7" s="43" t="s">
        <v>116</v>
      </c>
      <c r="C7" s="43" t="str">
        <f ca="1">""""&amp;TEXT('SCOUT &amp; LOGISTICS'!B3,"dd/mm/aaaa")&amp;""""</f>
        <v>"07/01/2026"</v>
      </c>
      <c r="F7" s="45" t="str">
        <f t="shared" ca="1" si="0"/>
        <v>"date" : "07/01/2026",</v>
      </c>
    </row>
    <row r="8" spans="2:6" x14ac:dyDescent="0.25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"MERIC AKAR"</v>
      </c>
      <c r="F11" s="45" t="str">
        <f t="shared" si="0"/>
        <v>"Caller_1" : "MERIC AKAR",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"FATIH ASLAN"</v>
      </c>
      <c r="F12" s="45" t="str">
        <f t="shared" si="0"/>
        <v>"Caller_2" : "FATIH ASLAN",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"FATIH DEMIRCI"</v>
      </c>
      <c r="F13" s="45" t="str">
        <f t="shared" si="0"/>
        <v>"Timerkeeper" : "FATIH DEMIRCI",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"FATIH SEN"</v>
      </c>
      <c r="F14" s="45" t="str">
        <f t="shared" si="0"/>
        <v>"Shotclock" : "FATIH SEN",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600</v>
      </c>
      <c r="F25" s="45" t="str">
        <f t="shared" ref="F25:F48" si="1">""""&amp;C25&amp;"""" &amp; " : " &amp;D25&amp;","</f>
        <v>"total_actions" : 600,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"1,5%"</v>
      </c>
      <c r="F27" s="45" t="str">
        <f t="shared" si="1"/>
        <v>"%_corrections" : "1,5%",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1</v>
      </c>
      <c r="F45" s="45" t="str">
        <f t="shared" si="1"/>
        <v>"missplaced" : 1,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"Clear "from worse to better performance" starting the game with an important missing such as a jump ball but ending in the last quarter with just 1 correction. Keep it up!"</v>
      </c>
      <c r="F51" s="45" t="str">
        <f>""""&amp;B51&amp;"""" &amp; " : " &amp;C51&amp;","</f>
        <v>"comments" : "Clear "from worse to better performance" starting the game with an important missing such as a jump ball but ending in the last quarter with just 1 correction. Keep it up!",</v>
      </c>
    </row>
    <row r="52" spans="2:6" x14ac:dyDescent="0.25">
      <c r="B52" s="43" t="s">
        <v>153</v>
      </c>
      <c r="C52" s="43" t="str">
        <f>TEXT('SCOUT &amp; LOGISTICS'!F1,"0,0")</f>
        <v>13_130_TTK_TRN_U2025</v>
      </c>
      <c r="F52" s="45" t="str">
        <f>""""&amp;B52&amp;"""" &amp; " : " &amp;C52</f>
        <v>"result" : 13_130_TTK_TRN_U2025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U130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Turk Telekom Ankara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Dolomiti Energia Trento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MERIC AKAR</v>
      </c>
      <c r="H8" s="206"/>
      <c r="I8" s="206"/>
      <c r="J8" s="206"/>
      <c r="K8" s="206"/>
      <c r="L8" s="206" t="str">
        <f>IF('SCOUT &amp; LOGISTICS'!D8="","",'SCOUT &amp; LOGISTICS'!D8)</f>
        <v>FATIH ASLAN</v>
      </c>
      <c r="M8" s="206"/>
      <c r="N8" s="206"/>
      <c r="O8" s="206"/>
      <c r="P8" s="206"/>
      <c r="Q8" s="206" t="str">
        <f>IF('SCOUT &amp; LOGISTICS'!D9="","",'SCOUT &amp; LOGISTICS'!D9)</f>
        <v>FATIH DEMIRCI</v>
      </c>
      <c r="R8" s="206"/>
      <c r="S8" s="206"/>
      <c r="T8" s="206"/>
      <c r="U8" s="206"/>
      <c r="V8" s="206" t="str">
        <f>IF('SCOUT &amp; LOGISTICS'!D10="","",'SCOUT &amp; LOGISTICS'!D10)</f>
        <v>FATIH SEN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600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1.4999999999999999E-2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2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1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Clear "from worse to better performance" starting the game with an important missing such as a jump ball but ending in the last quarter with just 1 correction.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15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4FB323-1586-42D4-989B-42ECAAE08B40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2026-01-06T20:36:35Z</cp:lastPrinted>
  <dcterms:created xsi:type="dcterms:W3CDTF">2023-09-19T19:50:35Z</dcterms:created>
  <dcterms:modified xsi:type="dcterms:W3CDTF">2026-01-08T21:14:38Z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