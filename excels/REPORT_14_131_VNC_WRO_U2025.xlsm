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94" documentId="8_{0C578B04-44C2-4297-B429-782B1733A2FB}" xr6:coauthVersionLast="47" xr6:coauthVersionMax="47" xr10:uidLastSave="{F19F1FB6-CE7C-44F0-8A1A-943379A0C98E}"/>
  <bookViews>
    <workbookView minimized="1" xWindow="42825" yWindow="6960" windowWidth="14400" windowHeight="7275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<sst xmlns="http://schemas.openxmlformats.org/spreadsheetml/2006/main" count="3372" uniqueCount="842">
  <si>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</si>
  <si>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</si>
  <si>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</si>
  <si>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</si>
  <si>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</si>
  <si>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</si>
  <si>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</si>
  <si>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</si>
  <si>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</si>
  <si>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</si>
  <si>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</si>
  <si>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</si>
  <si>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</si>
  <si>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</si>
  <si>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</si>
  <si>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</si>
  <si>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</si>
  <si>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</si>
  <si>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</si>
  <si>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</si>
  <si>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</si>
  <si>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</si>
  <si>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</si>
  <si>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</si>
  <si>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</si>
  <si>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</si>
  <si>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</si>
  <si>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</si>
  <si>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</si>
  <si>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</si>
  <si>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</si>
  <si>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</si>
  <si>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</si>
  <si>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</si>
  <si>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</si>
  <si>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</si>
  <si>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</si>
  <si>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</si>
  <si>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</si>
  <si>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</si>
  <si>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</si>
  <si>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</si>
  <si>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</si>
  <si>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</si>
  <si>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</si>
  <si>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</si>
  <si>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</si>
  <si>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</si>
  <si>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</si>
  <si>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</si>
  <si>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</si>
  <si>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</si>
  <si>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</si>
  <si>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</si>
  <si>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</si>
  <si>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</si>
  <si>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</si>
  <si>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</si>
  <si>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</si>
  <si>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</si>
  <si>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</si>
  <si>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</si>
  <si>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</si>
  <si>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</si>
  <si>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</si>
  <si>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</si>
  <si>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</si>
  <si>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</si>
  <si>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</si>
  <si>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</si>
  <si>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</si>
  <si>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</si>
  <si>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</si>
  <si>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</si>
  <si>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</si>
  <si>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</si>
  <si>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</si>
  <si>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</si>
  <si>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</si>
  <si>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</si>
  <si>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</si>
  <si>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</si>
  <si>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</si>
  <si>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</si>
  <si>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</si>
  <si>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</si>
  <si>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</si>
  <si>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</si>
  <si>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</si>
  <si>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</si>
  <si>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</si>
  <si>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</si>
  <si>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</si>
  <si>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</si>
  <si>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</si>
  <si>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</si>
  <si>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</si>
  <si>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</si>
  <si>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</si>
  <si>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</si>
  <si>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</si>
  <si>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</si>
  <si>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</si>
  <si>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</si>
  <si>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</si>
  <si>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</si>
  <si>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</si>
  <si>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</si>
  <si>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</si>
  <si>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</si>
  <si>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</si>
  <si>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</si>
  <si>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</si>
  <si>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</si>
  <si>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</si>
  <si>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</si>
  <si>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</si>
  <si>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</si>
  <si>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</si>
  <si>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</si>
  <si>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</si>
  <si>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</si>
  <si>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</si>
  <si>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</si>
  <si>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</si>
  <si>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</si>
  <si>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</si>
  <si>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</si>
  <si>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</si>
  <si>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</si>
  <si>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</si>
  <si>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</si>
  <si>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</si>
  <si>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</si>
  <si>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</si>
  <si>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</si>
  <si>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</si>
  <si>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</si>
  <si>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</si>
  <si>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</si>
  <si>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</si>
  <si>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</si>
  <si>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</si>
  <si>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</si>
  <si>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</si>
  <si>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</si>
  <si>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</si>
  <si>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</si>
  <si>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</si>
  <si>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</si>
  <si>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</si>
  <si>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</si>
  <si>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</si>
  <si>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</si>
  <si>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</si>
  <si>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</si>
  <si>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</si>
  <si>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</si>
  <si>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</si>
  <si>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</si>
  <si>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</si>
  <si>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</si>
  <si>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</si>
  <si>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</si>
  <si>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</si>
  <si>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</si>
  <si>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</si>
  <si>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</si>
  <si>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</si>
  <si>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</si>
  <si>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</si>
  <si>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</si>
  <si>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</si>
  <si>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</si>
  <si>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</si>
  <si>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</si>
  <si>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</si>
  <si>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</si>
  <si>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</si>
  <si>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</si>
  <si>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</si>
  <si>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</si>
  <si>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</si>
  <si>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</si>
  <si>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</si>
  <si>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</si>
  <si>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</si>
  <si>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</si>
  <si>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</si>
  <si>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</si>
  <si>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</si>
  <si>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</si>
  <si>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</si>
  <si>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</si>
  <si>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</si>
  <si>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</si>
  <si>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</si>
  <si>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</si>
  <si>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</si>
  <si>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</si>
  <si>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</si>
  <si>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</si>
  <si>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</si>
  <si>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</si>
  <si>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</si>
  <si>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</si>
  <si>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</si>
  <si>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</si>
  <si>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</si>
  <si>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</si>
  <si>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</si>
  <si>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</si>
  <si>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</si>
  <si>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</si>
  <si>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</si>
  <si>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</si>
  <si>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</si>
  <si>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</si>
  <si>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</si>
  <si>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</si>
  <si>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</si>
  <si>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</si>
  <si>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</si>
  <si>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</si>
  <si>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</si>
  <si>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</si>
  <si>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</si>
  <si>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</si>
  <si>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</si>
  <si>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</si>
  <si>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</si>
  <si>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</si>
  <si>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</si>
  <si>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</si>
  <si>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</si>
  <si>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</si>
  <si>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</si>
  <si>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</si>
  <si>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</si>
  <si>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</si>
  <si>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</si>
  <si>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</si>
  <si>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</si>
  <si>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</si>
  <si>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</si>
  <si>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</si>
  <si>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</si>
  <si>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</si>
  <si>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</si>
  <si>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</si>
  <si>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</si>
  <si>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</si>
  <si>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</si>
  <si>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</si>
  <si>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</si>
  <si>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</si>
  <si>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</si>
  <si>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</si>
  <si>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</si>
  <si>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</si>
  <si>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</si>
  <si>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</si>
  <si>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</si>
  <si>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</si>
  <si>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</si>
  <si>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</si>
  <si>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</si>
  <si>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</si>
  <si>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</si>
  <si>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</si>
  <si>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</si>
  <si>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</si>
  <si>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</si>
  <si>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</si>
  <si>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</si>
  <si>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</si>
  <si>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</si>
  <si>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</si>
  <si>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</si>
  <si>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</si>
  <si>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</si>
  <si>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</si>
  <si>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</si>
  <si>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</si>
  <si>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</si>
  <si>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</si>
  <si>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</si>
  <si>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</si>
  <si>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</si>
  <si>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</si>
  <si>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</si>
  <si>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</si>
  <si>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</si>
  <si>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</si>
  <si>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</si>
  <si>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</si>
  <si>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</si>
  <si>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</si>
  <si>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</si>
  <si>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</si>
  <si>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</si>
  <si>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</si>
  <si>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</si>
  <si>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</si>
  <si>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</si>
  <si>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</si>
  <si>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</si>
  <si>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</si>
  <si>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</si>
  <si>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</si>
  <si>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</si>
  <si>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</si>
  <si>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</si>
  <si>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</si>
  <si>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</si>
  <si>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</si>
  <si>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</si>
  <si>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</si>
  <si>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</si>
  <si>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</si>
  <si>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</si>
  <si>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</si>
  <si>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</si>
  <si>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</si>
  <si>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</si>
  <si>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</si>
  <si>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</si>
  <si>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</si>
  <si>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</si>
  <si>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</si>
  <si>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</si>
  <si>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</si>
  <si>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</si>
  <si>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</si>
  <si>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</si>
  <si>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</si>
  <si>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</si>
  <si>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</si>
  <si>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</si>
  <si>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</si>
  <si>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</si>
  <si>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</si>
  <si>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</si>
  <si>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</si>
  <si>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</si>
  <si>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</si>
  <si>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</si>
  <si>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</si>
  <si>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</si>
  <si>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</si>
  <si>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</si>
  <si>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</si>
  <si>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</si>
  <si>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</si>
  <si>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</si>
  <si>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</si>
  <si>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</si>
  <si>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</si>
  <si>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</si>
  <si>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</si>
  <si>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</si>
  <si>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</si>
  <si>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</si>
  <si>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</si>
  <si>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</si>
  <si>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</si>
  <si>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</si>
  <si>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</si>
  <si>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</si>
  <si>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</si>
  <si>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</si>
  <si>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</si>
  <si>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</si>
  <si>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</si>
  <si>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</si>
  <si>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</si>
  <si>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</si>
  <si>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</si>
  <si>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</si>
  <si>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</si>
  <si>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</si>
  <si>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</si>
  <si>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</si>
  <si>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</si>
  <si>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</si>
  <si>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</si>
  <si>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</si>
  <si>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</si>
  <si>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</si>
  <si>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</si>
  <si>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</si>
  <si>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</si>
  <si>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</si>
  <si>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</si>
  <si>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</si>
  <si>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</si>
  <si>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</si>
  <si>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</si>
  <si>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</si>
  <si>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</si>
  <si>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</si>
  <si>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</si>
  <si>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</si>
  <si>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</si>
  <si>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</si>
  <si>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</si>
  <si>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</si>
  <si>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</si>
  <si>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</si>
  <si>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</si>
  <si>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</si>
  <si>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</si>
  <si>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</si>
  <si>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</si>
  <si>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</si>
  <si>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</si>
  <si>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</si>
  <si>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</si>
  <si>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</si>
  <si>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</si>
  <si>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</si>
  <si>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</si>
  <si>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</si>
  <si>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</si>
  <si>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</si>
  <si>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</si>
  <si>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</si>
  <si>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</si>
  <si>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</si>
  <si>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</si>
  <si>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</si>
  <si>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</si>
  <si>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</si>
  <si>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</si>
  <si>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</si>
  <si>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</si>
  <si>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</si>
  <si>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</si>
  <si>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</si>
  <si>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</si>
  <si>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</si>
  <si>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</si>
  <si>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</si>
  <si>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</si>
  <si>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</si>
  <si>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</si>
  <si>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</si>
  <si>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</si>
  <si>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</si>
  <si>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</si>
  <si>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</si>
  <si>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</si>
  <si>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</si>
  <si>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</si>
  <si>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</si>
  <si>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</si>
  <si>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</si>
  <si>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</si>
  <si>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</si>
  <si>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</si>
  <si>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</si>
  <si>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</si>
  <si>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</si>
  <si>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</si>
  <si>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</si>
  <si>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</si>
  <si>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</si>
  <si>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</si>
  <si>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</si>
  <si>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</si>
  <si>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</si>
  <si>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</si>
  <si>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</si>
  <si>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</si>
  <si>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</si>
  <si>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</si>
  <si>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</si>
  <si>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</si>
  <si>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</si>
  <si>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</si>
  <si>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</si>
  <si>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</si>
  <si>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</si>
  <si>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</si>
  <si>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</si>
  <si>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</si>
  <si>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</si>
  <si>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</si>
  <si>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</si>
  <si>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</si>
  <si>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</si>
  <si>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</si>
  <si>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</si>
  <si>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</si>
  <si>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</si>
  <si>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</si>
  <si>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</si>
  <si>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</si>
  <si>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</si>
  <si>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</si>
  <si>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</si>
  <si>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</si>
  <si>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</si>
  <si>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</si>
  <si>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</si>
  <si>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</si>
  <si>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</si>
  <si>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</si>
  <si>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</si>
  <si>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</si>
  <si>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</si>
  <si>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</si>
  <si>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</si>
  <si>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</si>
  <si>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</si>
  <si>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</si>
  <si>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</si>
  <si>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</si>
  <si>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</si>
  <si>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</si>
  <si>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</si>
  <si>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</si>
  <si>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</si>
  <si>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</si>
  <si>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</si>
  <si>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</si>
  <si>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</si>
  <si>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</si>
  <si>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</si>
  <si>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</si>
  <si>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</si>
  <si>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</si>
  <si>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</si>
  <si>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</si>
  <si>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</si>
  <si>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</si>
  <si>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</si>
  <si>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</si>
  <si>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</si>
  <si>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</si>
  <si>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</si>
  <si>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</si>
  <si>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</si>
  <si>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</si>
  <si>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</si>
  <si>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</si>
  <si>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</si>
  <si>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</si>
  <si>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</si>
  <si>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</si>
  <si>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</si>
  <si>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</si>
  <si>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</si>
  <si>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</si>
  <si>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</si>
  <si>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</si>
  <si>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</si>
  <si>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</si>
  <si>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</si>
  <si>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</si>
  <si>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</si>
  <si>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</si>
  <si>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</si>
  <si>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</si>
  <si>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</si>
  <si>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</si>
  <si>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</si>
  <si>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</si>
  <si>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</si>
  <si>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</si>
  <si>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</si>
  <si>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</si>
  <si>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</si>
  <si>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</si>
  <si>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</si>
  <si>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</si>
  <si>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</si>
  <si>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</si>
  <si>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</si>
  <si>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</si>
  <si>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</si>
  <si>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</si>
  <si>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</si>
  <si>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</si>
  <si>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</si>
  <si>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</si>
  <si>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</si>
  <si>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</si>
  <si>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</si>
  <si>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</si>
  <si>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</si>
  <si>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</si>
  <si>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</si>
  <si>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</si>
  <si>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</si>
  <si>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</si>
  <si>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</si>
  <si>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</si>
  <si>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</si>
  <si>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</si>
  <si>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</si>
  <si>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</si>
  <si>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</si>
  <si>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</si>
  <si>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</si>
  <si>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</si>
  <si>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</si>
  <si>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</si>
  <si>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</si>
  <si>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</si>
  <si>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</si>
  <si>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</si>
  <si>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</si>
  <si>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</si>
  <si>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</si>
  <si>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</si>
  <si>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</si>
  <si>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</si>
  <si>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</si>
  <si>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</si>
  <si>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</si>
  <si>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</si>
  <si>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</si>
  <si>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</si>
  <si>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</si>
  <si>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</si>
  <si>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</si>
  <si>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</si>
  <si>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</si>
  <si>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</si>
  <si>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</si>
  <si>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</si>
  <si>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</si>
  <si>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</si>
  <si>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</si>
  <si>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</si>
  <si>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</si>
  <si>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</si>
  <si>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</si>
  <si>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</si>
  <si>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</si>
  <si>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</si>
  <si>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</si>
  <si>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</si>
  <si>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</si>
  <si>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</si>
  <si>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</si>
  <si>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</si>
  <si>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</si>
  <si>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</si>
  <si>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</si>
  <si>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</si>
  <si>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</si>
  <si>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</si>
  <si>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</si>
  <si>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</si>
  <si>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</si>
  <si>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</si>
  <si>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</si>
  <si>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</si>
  <si>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</si>
  <si>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</si>
  <si>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</si>
  <si>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</si>
  <si>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</si>
  <si>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</si>
  <si>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</si>
  <si>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</si>
  <si>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</si>
  <si>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</si>
  <si>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</si>
  <si>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</si>
  <si>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</si>
  <si>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</si>
  <si>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</si>
  <si>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</si>
  <si>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</si>
  <si>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</si>
  <si>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</si>
  <si>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</si>
  <si>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</si>
  <si>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</si>
  <si>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</si>
  <si>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</si>
  <si>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</si>
  <si>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</si>
  <si>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</si>
  <si>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</si>
  <si>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</si>
  <si>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</si>
  <si>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</si>
  <si>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</si>
  <si>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</si>
  <si>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</si>
  <si>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</si>
  <si>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</si>
  <si>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</si>
  <si>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</si>
  <si>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</si>
  <si>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</si>
  <si>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</si>
  <si>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</si>
  <si>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</si>
  <si>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</si>
  <si>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</si>
  <si>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</si>
  <si>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</si>
  <si>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</si>
  <si>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</si>
  <si>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</si>
  <si>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</si>
  <si>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</si>
  <si>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</si>
  <si>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</si>
  <si>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</si>
  <si>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</si>
  <si>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</si>
  <si>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</si>
  <si>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</si>
  <si>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</si>
  <si>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</si>
  <si>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</si>
  <si>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</si>
  <si>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</si>
  <si>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</si>
  <si>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</si>
  <si>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</si>
  <si>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</si>
  <si>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</si>
  <si>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</si>
  <si>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</si>
  <si>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</si>
  <si>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</si>
  <si>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</si>
  <si>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</si>
  <si>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</si>
  <si>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</si>
  <si>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</si>
  <si>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</si>
  <si>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</si>
  <si>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</si>
  <si>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</si>
  <si>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</si>
  <si>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</si>
  <si>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</si>
  <si>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</si>
  <si>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</si>
  <si>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</si>
  <si>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</si>
  <si>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</si>
  <si>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</si>
  <si>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</si>
  <si>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</si>
  <si>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</si>
  <si>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</si>
  <si>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</si>
  <si>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</si>
  <si>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</si>
  <si>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</si>
  <si>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</si>
  <si>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</si>
  <si>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</si>
  <si>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</si>
  <si>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</si>
  <si>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</si>
  <si>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</si>
  <si>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</si>
  <si>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</si>
  <si>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</si>
  <si>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</si>
  <si>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</si>
  <si>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</si>
  <si>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</si>
  <si>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</si>
  <si>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</si>
  <si>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</si>
  <si>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</si>
  <si>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</si>
  <si>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</si>
  <si>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</si>
  <si>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</si>
  <si>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</si>
  <si>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</si>
  <si>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</si>
  <si>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</si>
  <si>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</si>
  <si>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</si>
  <si>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</si>
  <si>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</si>
  <si>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</si>
  <si>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</si>
  <si>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</si>
  <si>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</si>
  <si>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</si>
  <si>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</si>
  <si>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</si>
  <si>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</si>
  <si>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</si>
  <si>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</si>
  <si>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</si>
  <si>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</si>
  <si>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</si>
  <si>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</si>
  <si>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</si>
  <si>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</si>
  <si>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</si>
  <si>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</si>
  <si>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</si>
  <si>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</si>
  <si>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</si>
  <si>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</si>
  <si>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</si>
  <si>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</si>
  <si>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</si>
  <si>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</si>
  <si>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</si>
  <si>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</si>
  <si>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</si>
  <si>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</si>
  <si>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</si>
  <si>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</si>
  <si>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</si>
  <si>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</si>
  <si>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</si>
  <si>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</si>
  <si>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MARCO CONCINA</t>
  </si>
  <si>
    <t>LEONARDO BOSCARATO</t>
  </si>
  <si>
    <t>RICCARDO PILUTTI</t>
  </si>
  <si>
    <t>MARCO DAL CIN</t>
  </si>
  <si>
    <t>ANDRE COPPO</t>
  </si>
  <si>
    <t>HECTOR GUILLEN</t>
  </si>
  <si>
    <t>C:\Users\hector.guillen\EUROLEAGUE\EB STATS - Documents\General\SEASON 2025-26\Reports\Eurocup</t>
  </si>
  <si>
    <t>C:\Users\hector.guillen\EUROLEAGUE\EB STATS - Documents\General\SEASON 2025-26\Reports\Eurocup\PDF</t>
  </si>
  <si>
    <t>7:44</t>
  </si>
  <si>
    <t>7:05</t>
  </si>
  <si>
    <t>5:17</t>
  </si>
  <si>
    <t>2:44</t>
  </si>
  <si>
    <t>0:56</t>
  </si>
  <si>
    <t>5:05</t>
  </si>
  <si>
    <t>1:17</t>
  </si>
  <si>
    <t>5:53</t>
  </si>
  <si>
    <t>emember that the steal is credited to the player who deflects the ball, not the one who recovers it. Other than that, you did a good job.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</si>
</sst>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14_131_VNC_WRO_U2025</v>
      </c>
      <c r="G1" s="5"/>
      <c r="H1" s="5"/>
      <c r="I1" s="5"/>
      <c r="J1" s="8" t="s">
        <v>707</v>
      </c>
      <c r="K1" s="121" t="s">
        <v>831</v>
      </c>
      <c r="L1" s="121"/>
      <c r="M1" s="122" t="s">
        <v>239</v>
      </c>
      <c r="N1" s="121" t="s">
        <v>832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131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46036.833333333336</v>
      </c>
      <c r="C3" s="178"/>
      <c r="D3" s="39">
        <v>590</v>
      </c>
      <c r="E3" s="29"/>
      <c r="F3" s="26">
        <f>SUBTOTAL(3,I17:I106)</f>
        <v>8</v>
      </c>
      <c r="G3" s="27">
        <f>IF(OR(D3="",D3=0),"",F3/D3)</f>
        <v>1.3559322033898305E-2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Umana Reyer Venice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VNC</v>
      </c>
      <c r="I4" s="5"/>
      <c r="J4" s="119" t="s">
        <v>714</v>
      </c>
      <c r="K4" s="54" t="s">
        <v>742</v>
      </c>
      <c r="L4" s="5"/>
      <c r="M4" s="185" t="s">
        <v>841</v>
      </c>
      <c r="N4" s="186"/>
      <c r="O4" s="2"/>
      <c r="P4" s="2"/>
      <c r="Q4" s="84" t="s">
        <v>175</v>
      </c>
      <c r="R4" s="94">
        <f>(IF(G3="",0,G3))</f>
        <v>1.3559322033898305E-2</v>
      </c>
      <c r="S4" s="61">
        <f>SUM(I13:M13)</f>
        <v>2</v>
      </c>
      <c r="T4" s="78"/>
      <c r="U4" s="61">
        <f>AC18</f>
        <v>7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Slask Wroclaw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WRO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1.3559322033898304</v>
      </c>
      <c r="S5" s="70">
        <f t="shared" ref="S5" si="0">S4*S3</f>
        <v>2</v>
      </c>
      <c r="T5" s="92"/>
      <c r="U5" s="70">
        <f t="shared" ref="U5:AG5" si="1">U4*U3</f>
        <v>3.5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11.85593220338983</v>
      </c>
      <c r="N7" s="58"/>
      <c r="O7" s="2"/>
      <c r="P7" s="2"/>
      <c r="Q7" s="86">
        <f>SUM(R5,S5,AC16)</f>
        <v>11.85593220338983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827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11.85593220338983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828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829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131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16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2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131</v>
      </c>
      <c r="D17" s="32" t="s">
        <v>833</v>
      </c>
      <c r="E17" s="33">
        <v>2</v>
      </c>
      <c r="F17" s="36">
        <v>36</v>
      </c>
      <c r="G17" s="36">
        <v>24</v>
      </c>
      <c r="H17" s="38" t="str">
        <f>IF(I17="","",$I$14)</f>
        <v>SCOUTING</v>
      </c>
      <c r="I17" s="34">
        <v>175</v>
      </c>
      <c r="J17" s="13" t="s">
        <v>4</v>
      </c>
      <c r="K17" s="13" t="s">
        <v>63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131</v>
      </c>
      <c r="D18" s="32" t="s">
        <v>834</v>
      </c>
      <c r="E18" s="33">
        <v>2</v>
      </c>
      <c r="F18" s="36">
        <v>38</v>
      </c>
      <c r="G18" s="36">
        <v>27</v>
      </c>
      <c r="H18" s="38" t="str">
        <f t="shared" ref="H18:H81" si="8">IF(I18="","",$I$14)</f>
        <v>SCOUTING</v>
      </c>
      <c r="I18" s="34">
        <v>183</v>
      </c>
      <c r="J18" s="13" t="s">
        <v>4</v>
      </c>
      <c r="K18" s="13" t="s">
        <v>63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7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131</v>
      </c>
      <c r="D19" s="32" t="s">
        <v>835</v>
      </c>
      <c r="E19" s="33">
        <v>2</v>
      </c>
      <c r="F19" s="36">
        <v>40</v>
      </c>
      <c r="G19" s="36">
        <v>31</v>
      </c>
      <c r="H19" s="38" t="str">
        <f t="shared" si="8"/>
        <v>SCOUTING</v>
      </c>
      <c r="I19" s="34">
        <v>205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131</v>
      </c>
      <c r="D20" s="32" t="s">
        <v>836</v>
      </c>
      <c r="E20" s="33">
        <v>2</v>
      </c>
      <c r="F20" s="36">
        <v>48</v>
      </c>
      <c r="G20" s="36">
        <v>39</v>
      </c>
      <c r="H20" s="38" t="str">
        <f t="shared" si="8"/>
        <v>SCOUTING</v>
      </c>
      <c r="I20" s="34">
        <v>242</v>
      </c>
      <c r="J20" s="13" t="s">
        <v>4</v>
      </c>
      <c r="K20" s="13" t="s">
        <v>63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131</v>
      </c>
      <c r="D21" s="32" t="s">
        <v>837</v>
      </c>
      <c r="E21" s="33">
        <v>2</v>
      </c>
      <c r="F21" s="36">
        <v>55</v>
      </c>
      <c r="G21" s="36">
        <v>44</v>
      </c>
      <c r="H21" s="38" t="str">
        <f t="shared" si="8"/>
        <v>SCOUTING</v>
      </c>
      <c r="I21" s="34">
        <v>270</v>
      </c>
      <c r="J21" s="13" t="s">
        <v>4</v>
      </c>
      <c r="K21" s="13" t="s">
        <v>62</v>
      </c>
      <c r="L21" s="13" t="s">
        <v>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131</v>
      </c>
      <c r="D22" s="32" t="s">
        <v>838</v>
      </c>
      <c r="E22" s="33">
        <v>3</v>
      </c>
      <c r="F22" s="36">
        <v>67</v>
      </c>
      <c r="G22" s="36">
        <v>49</v>
      </c>
      <c r="H22" s="38" t="str">
        <f t="shared" si="8"/>
        <v>SCOUTING</v>
      </c>
      <c r="I22" s="34">
        <v>341</v>
      </c>
      <c r="J22" s="13" t="s">
        <v>4</v>
      </c>
      <c r="K22" s="13" t="s">
        <v>63</v>
      </c>
      <c r="L22" s="13" t="s">
        <v>5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131</v>
      </c>
      <c r="D23" s="32" t="s">
        <v>839</v>
      </c>
      <c r="E23" s="33">
        <v>3</v>
      </c>
      <c r="F23" s="36">
        <v>74</v>
      </c>
      <c r="G23" s="36">
        <v>60</v>
      </c>
      <c r="H23" s="38" t="str">
        <f t="shared" si="8"/>
        <v>SCOUTING</v>
      </c>
      <c r="I23" s="34">
        <v>422</v>
      </c>
      <c r="J23" s="13" t="s">
        <v>4</v>
      </c>
      <c r="K23" s="13" t="s">
        <v>63</v>
      </c>
      <c r="L23" s="13" t="s">
        <v>5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131</v>
      </c>
      <c r="D24" s="32" t="s">
        <v>840</v>
      </c>
      <c r="E24" s="33">
        <v>3</v>
      </c>
      <c r="F24" s="36">
        <v>65</v>
      </c>
      <c r="G24" s="36">
        <v>46</v>
      </c>
      <c r="H24" s="38" t="str">
        <f t="shared" si="8"/>
        <v>SCOUTING</v>
      </c>
      <c r="I24" s="34">
        <v>235</v>
      </c>
      <c r="J24" s="13" t="s">
        <v>4</v>
      </c>
      <c r="K24" s="13" t="s">
        <v>63</v>
      </c>
      <c r="L24" s="13" t="s">
        <v>78</v>
      </c>
      <c r="M24" s="13" t="s">
        <v>78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5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REPORT_U2025131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"U2025131"</v>
      </c>
      <c r="F3" s="45" t="str">
        <f t="shared" ref="F3:F16" si="0">""""&amp;B3&amp;"""" &amp; " : " &amp;C3&amp;","</f>
        <v>"name" : "U2025131",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"U131"</v>
      </c>
      <c r="F4" s="45" t="str">
        <f t="shared" si="0"/>
        <v>"cod" : "U131",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131</v>
      </c>
      <c r="F6" s="45" t="str">
        <f t="shared" si="0"/>
        <v>"number" : 131,</v>
      </c>
    </row>
    <row r="7" spans="2:6" x14ac:dyDescent="0.25">
      <c r="B7" s="43" t="s">
        <v>116</v>
      </c>
      <c r="C7" s="43" t="str">
        <f ca="1">""""&amp;TEXT('SCOUT &amp; LOGISTICS'!B3,"dd/mm/aaaa")&amp;""""</f>
        <v>"14/01/Wednesday"</v>
      </c>
      <c r="F7" s="45" t="str">
        <f t="shared" ca="1" si="0"/>
        <v>"date" : "14/01/Wednesday",</v>
      </c>
    </row>
    <row r="8" spans="2:6" x14ac:dyDescent="0.25">
      <c r="B8" s="43" t="s">
        <v>125</v>
      </c>
      <c r="C8" s="43" t="str">
        <f>""""&amp;'SCOUT &amp; LOGISTICS'!D4 &amp;""""</f>
        <v>"Umana Reyer Venice"</v>
      </c>
      <c r="F8" s="45" t="str">
        <f t="shared" si="0"/>
        <v>"home_team" : "Umana Reyer Venice",</v>
      </c>
    </row>
    <row r="9" spans="2:6" x14ac:dyDescent="0.25">
      <c r="B9" s="43" t="s">
        <v>126</v>
      </c>
      <c r="C9" s="43" t="str">
        <f>""""&amp;'SCOUT &amp; LOGISTICS'!D5&amp;""""</f>
        <v>"Slask Wroclaw"</v>
      </c>
      <c r="F9" s="45" t="str">
        <f t="shared" si="0"/>
        <v>"away_team" : "Slask Wroclaw",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"MARCO CONCINA"</v>
      </c>
      <c r="F10" s="45" t="str">
        <f t="shared" si="0"/>
        <v>"Data_entry" : "MARCO CONCINA",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"LEONARDO BOSCARATO"</v>
      </c>
      <c r="F11" s="45" t="str">
        <f t="shared" si="0"/>
        <v>"Caller_1" : "LEONARDO BOSCARATO",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"RICCARDO PILUTTI"</v>
      </c>
      <c r="F12" s="45" t="str">
        <f t="shared" si="0"/>
        <v>"Caller_2" : "RICCARDO PILUTTI",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"MARCO DAL CIN"</v>
      </c>
      <c r="F13" s="45" t="str">
        <f t="shared" si="0"/>
        <v>"Timerkeeper" : "MARCO DAL CIN",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"ANDRE COPPO"</v>
      </c>
      <c r="F14" s="45" t="str">
        <f t="shared" si="0"/>
        <v>"Shotclock" : "ANDRE COPPO",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"SLOW"</v>
      </c>
      <c r="F21" s="45" t="str">
        <f>""""&amp;C21&amp;"""" &amp; " : " &amp;D21&amp;","</f>
        <v>"corrections" : "SLOW",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590</v>
      </c>
      <c r="F25" s="45" t="str">
        <f t="shared" ref="F25:F48" si="1">""""&amp;C25&amp;"""" &amp; " : " &amp;D25&amp;","</f>
        <v>"total_actions" : 590,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7</v>
      </c>
      <c r="F39" s="45" t="str">
        <f t="shared" si="1"/>
        <v>"missidentity" : 7,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"emember that the steal is credited to the player who deflects the ball, not the one who recovers it. Other than that, you did a good job. Keep it up!"</v>
      </c>
      <c r="F51" s="45" t="str">
        <f>""""&amp;B51&amp;"""" &amp; " : " &amp;C51&amp;","</f>
        <v>"comments" : "emember that the steal is credited to the player who deflects the ball, not the one who recovers it. Other than that, you did a good job. Keep it up!",</v>
      </c>
    </row>
    <row r="52" spans="2:6" x14ac:dyDescent="0.25">
      <c r="B52" s="43" t="s">
        <v>153</v>
      </c>
      <c r="C52" s="43" t="str">
        <f>TEXT('SCOUT &amp; LOGISTICS'!F1,"0,0")</f>
        <v>14_131_VNC_WRO_U2025</v>
      </c>
      <c r="F52" s="45" t="str">
        <f>""""&amp;B52&amp;"""" &amp; " : " &amp;C52</f>
        <v>"result" : 14_131_VNC_WRO_U2025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U131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14/01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Umana Reyer Venice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Slask Wroclaw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MARCO CONCINA</v>
      </c>
      <c r="C8" s="201"/>
      <c r="D8" s="201"/>
      <c r="E8" s="201"/>
      <c r="F8" s="201"/>
      <c r="G8" s="201" t="str">
        <f>IF('SCOUT &amp; LOGISTICS'!D7="","",'SCOUT &amp; LOGISTICS'!D7)</f>
        <v>LEONARDO BOSCARATO</v>
      </c>
      <c r="H8" s="201"/>
      <c r="I8" s="201"/>
      <c r="J8" s="201"/>
      <c r="K8" s="201"/>
      <c r="L8" s="201" t="str">
        <f>IF('SCOUT &amp; LOGISTICS'!D8="","",'SCOUT &amp; LOGISTICS'!D8)</f>
        <v>RICCARDO PILUTTI</v>
      </c>
      <c r="M8" s="201"/>
      <c r="N8" s="201"/>
      <c r="O8" s="201"/>
      <c r="P8" s="201"/>
      <c r="Q8" s="201" t="str">
        <f>IF('SCOUT &amp; LOGISTICS'!D9="","",'SCOUT &amp; LOGISTICS'!D9)</f>
        <v>MARCO DAL CIN</v>
      </c>
      <c r="R8" s="201"/>
      <c r="S8" s="201"/>
      <c r="T8" s="201"/>
      <c r="U8" s="201"/>
      <c r="V8" s="201" t="str">
        <f>IF('SCOUT &amp; LOGISTICS'!D10="","",'SCOUT &amp; LOGISTICS'!D10)</f>
        <v>ANDRE COPPO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SLOW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590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8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1.3559322033898305E-2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6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5</v>
      </c>
      <c r="I22" s="199"/>
      <c r="J22" s="199"/>
      <c r="K22" s="199"/>
      <c r="L22" s="199"/>
      <c r="M22" s="199"/>
      <c r="N22" s="199">
        <f>'SCOUT &amp; LOGISTICS'!AG19</f>
        <v>3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8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7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1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emember that the steal is credited to the player who deflects the ball, not the one who recovers it. Other than that, you did a good job.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11.85593220338983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680BA5A5-6ED9-40F8-B6C5-9EAAB3893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2026-01-20T16:15:33Z</cp:lastPrinted>
  <dcterms:created xsi:type="dcterms:W3CDTF">2023-09-19T19:50:35Z</dcterms:created>
  <dcterms:modified xsi:type="dcterms:W3CDTF">2026-01-20T16:15:44Z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