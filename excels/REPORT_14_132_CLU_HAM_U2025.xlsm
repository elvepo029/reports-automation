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A25550C5-7255-4000-AB70-63878AE29A87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<sst xmlns="http://schemas.openxmlformats.org/spreadsheetml/2006/main" count="3352" uniqueCount="837">
  <si>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</si>
  <si>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</si>
  <si>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</si>
  <si>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</si>
  <si>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</si>
  <si>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</si>
  <si>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</si>
  <si>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</si>
  <si>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</si>
  <si>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</si>
  <si>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</si>
  <si>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</si>
  <si>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</si>
  <si>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</si>
  <si>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</si>
  <si>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</si>
  <si>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</si>
  <si>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</si>
  <si>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</si>
  <si>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</si>
  <si>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</si>
  <si>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</si>
  <si>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</si>
  <si>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</si>
  <si>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</si>
  <si>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</si>
  <si>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</si>
  <si>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</si>
  <si>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</si>
  <si>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</si>
  <si>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</si>
  <si>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</si>
  <si>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</si>
  <si>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</si>
  <si>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</si>
  <si>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</si>
  <si>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</si>
  <si>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</si>
  <si>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</si>
  <si>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</si>
  <si>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</si>
  <si>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</si>
  <si>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</si>
  <si>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</si>
  <si>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</si>
  <si>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</si>
  <si>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</si>
  <si>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</si>
  <si>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</si>
  <si>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</si>
  <si>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</si>
  <si>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</si>
  <si>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</si>
  <si>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</si>
  <si>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</si>
  <si>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</si>
  <si>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</si>
  <si>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</si>
  <si>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</si>
  <si>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</si>
  <si>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</si>
  <si>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</si>
  <si>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</si>
  <si>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</si>
  <si>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</si>
  <si>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</si>
  <si>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</si>
  <si>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</si>
  <si>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</si>
  <si>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</si>
  <si>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</si>
  <si>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</si>
  <si>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</si>
  <si>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</si>
  <si>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</si>
  <si>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</si>
  <si>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</si>
  <si>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</si>
  <si>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</si>
  <si>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</si>
  <si>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</si>
  <si>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</si>
  <si>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</si>
  <si>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</si>
  <si>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</si>
  <si>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</si>
  <si>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</si>
  <si>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</si>
  <si>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</si>
  <si>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</si>
  <si>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</si>
  <si>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</si>
  <si>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</si>
  <si>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</si>
  <si>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</si>
  <si>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</si>
  <si>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</si>
  <si>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</si>
  <si>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</si>
  <si>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</si>
  <si>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</si>
  <si>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</si>
  <si>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</si>
  <si>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</si>
  <si>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</si>
  <si>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</si>
  <si>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</si>
  <si>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</si>
  <si>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</si>
  <si>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</si>
  <si>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</si>
  <si>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</si>
  <si>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</si>
  <si>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</si>
  <si>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</si>
  <si>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</si>
  <si>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</si>
  <si>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</si>
  <si>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</si>
  <si>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</si>
  <si>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</si>
  <si>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</si>
  <si>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</si>
  <si>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</si>
  <si>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</si>
  <si>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</si>
  <si>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</si>
  <si>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</si>
  <si>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</si>
  <si>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</si>
  <si>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</si>
  <si>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</si>
  <si>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</si>
  <si>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</si>
  <si>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</si>
  <si>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</si>
  <si>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</si>
  <si>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</si>
  <si>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</si>
  <si>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</si>
  <si>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</si>
  <si>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</si>
  <si>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</si>
  <si>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</si>
  <si>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</si>
  <si>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</si>
  <si>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</si>
  <si>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</si>
  <si>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</si>
  <si>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</si>
  <si>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</si>
  <si>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</si>
  <si>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</si>
  <si>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</si>
  <si>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</si>
  <si>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</si>
  <si>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</si>
  <si>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</si>
  <si>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</si>
  <si>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</si>
  <si>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</si>
  <si>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</si>
  <si>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</si>
  <si>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</si>
  <si>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</si>
  <si>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</si>
  <si>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</si>
  <si>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</si>
  <si>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</si>
  <si>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</si>
  <si>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</si>
  <si>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</si>
  <si>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</si>
  <si>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</si>
  <si>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</si>
  <si>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</si>
  <si>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</si>
  <si>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</si>
  <si>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</si>
  <si>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</si>
  <si>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</si>
  <si>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</si>
  <si>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</si>
  <si>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</si>
  <si>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</si>
  <si>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</si>
  <si>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</si>
  <si>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</si>
  <si>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</si>
  <si>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</si>
  <si>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</si>
  <si>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</si>
  <si>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</si>
  <si>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</si>
  <si>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</si>
  <si>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</si>
  <si>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</si>
  <si>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</si>
  <si>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</si>
  <si>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</si>
  <si>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</si>
  <si>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</si>
  <si>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</si>
  <si>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</si>
  <si>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</si>
  <si>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</si>
  <si>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</si>
  <si>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</si>
  <si>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</si>
  <si>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</si>
  <si>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</si>
  <si>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</si>
  <si>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</si>
  <si>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</si>
  <si>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</si>
  <si>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</si>
  <si>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</si>
  <si>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</si>
  <si>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</si>
  <si>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</si>
  <si>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</si>
  <si>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</si>
  <si>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</si>
  <si>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</si>
  <si>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</si>
  <si>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</si>
  <si>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</si>
  <si>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</si>
  <si>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</si>
  <si>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</si>
  <si>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</si>
  <si>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</si>
  <si>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</si>
  <si>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</si>
  <si>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</si>
  <si>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</si>
  <si>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</si>
  <si>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</si>
  <si>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</si>
  <si>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</si>
  <si>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</si>
  <si>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</si>
  <si>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</si>
  <si>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</si>
  <si>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</si>
  <si>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</si>
  <si>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</si>
  <si>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</si>
  <si>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</si>
  <si>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</si>
  <si>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</si>
  <si>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</si>
  <si>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</si>
  <si>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</si>
  <si>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</si>
  <si>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</si>
  <si>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</si>
  <si>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</si>
  <si>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</si>
  <si>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</si>
  <si>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</si>
  <si>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</si>
  <si>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</si>
  <si>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</si>
  <si>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</si>
  <si>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</si>
  <si>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</si>
  <si>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</si>
  <si>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</si>
  <si>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</si>
  <si>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</si>
  <si>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</si>
  <si>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</si>
  <si>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</si>
  <si>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</si>
  <si>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</si>
  <si>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</si>
  <si>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</si>
  <si>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</si>
  <si>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</si>
  <si>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</si>
  <si>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</si>
  <si>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</si>
  <si>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</si>
  <si>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</si>
  <si>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</si>
  <si>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</si>
  <si>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</si>
  <si>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</si>
  <si>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</si>
  <si>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</si>
  <si>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</si>
  <si>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</si>
  <si>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</si>
  <si>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</si>
  <si>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</si>
  <si>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</si>
  <si>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</si>
  <si>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</si>
  <si>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</si>
  <si>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</si>
  <si>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</si>
  <si>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</si>
  <si>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</si>
  <si>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</si>
  <si>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</si>
  <si>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</si>
  <si>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</si>
  <si>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</si>
  <si>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</si>
  <si>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</si>
  <si>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</si>
  <si>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</si>
  <si>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</si>
  <si>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</si>
  <si>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</si>
  <si>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</si>
  <si>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</si>
  <si>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</si>
  <si>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</si>
  <si>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</si>
  <si>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</si>
  <si>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</si>
  <si>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</si>
  <si>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</si>
  <si>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</si>
  <si>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</si>
  <si>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</si>
  <si>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</si>
  <si>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</si>
  <si>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</si>
  <si>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</si>
  <si>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</si>
  <si>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</si>
  <si>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</si>
  <si>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</si>
  <si>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</si>
  <si>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</si>
  <si>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</si>
  <si>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</si>
  <si>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</si>
  <si>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</si>
  <si>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</si>
  <si>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</si>
  <si>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</si>
  <si>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</si>
  <si>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</si>
  <si>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</si>
  <si>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</si>
  <si>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</si>
  <si>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</si>
  <si>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</si>
  <si>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</si>
  <si>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</si>
  <si>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</si>
  <si>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</si>
  <si>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</si>
  <si>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</si>
  <si>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</si>
  <si>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</si>
  <si>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</si>
  <si>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</si>
  <si>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</si>
  <si>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</si>
  <si>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</si>
  <si>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</si>
  <si>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</si>
  <si>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</si>
  <si>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</si>
  <si>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</si>
  <si>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</si>
  <si>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</si>
  <si>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</si>
  <si>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</si>
  <si>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</si>
  <si>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</si>
  <si>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</si>
  <si>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</si>
  <si>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</si>
  <si>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</si>
  <si>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</si>
  <si>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</si>
  <si>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</si>
  <si>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</si>
  <si>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</si>
  <si>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</si>
  <si>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</si>
  <si>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</si>
  <si>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</si>
  <si>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</si>
  <si>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</si>
  <si>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</si>
  <si>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</si>
  <si>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</si>
  <si>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</si>
  <si>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</si>
  <si>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</si>
  <si>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</si>
  <si>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</si>
  <si>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</si>
  <si>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</si>
  <si>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</si>
  <si>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</si>
  <si>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</si>
  <si>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</si>
  <si>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</si>
  <si>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</si>
  <si>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</si>
  <si>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</si>
  <si>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</si>
  <si>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</si>
  <si>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</si>
  <si>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</si>
  <si>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</si>
  <si>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</si>
  <si>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</si>
  <si>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</si>
  <si>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</si>
  <si>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</si>
  <si>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</si>
  <si>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</si>
  <si>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</si>
  <si>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</si>
  <si>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</si>
  <si>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</si>
  <si>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</si>
  <si>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</si>
  <si>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</si>
  <si>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</si>
  <si>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</si>
  <si>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</si>
  <si>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</si>
  <si>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</si>
  <si>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</si>
  <si>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</si>
  <si>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</si>
  <si>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</si>
  <si>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</si>
  <si>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</si>
  <si>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</si>
  <si>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</si>
  <si>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</si>
  <si>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</si>
  <si>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</si>
  <si>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</si>
  <si>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</si>
  <si>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</si>
  <si>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</si>
  <si>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</si>
  <si>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</si>
  <si>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</si>
  <si>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</si>
  <si>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</si>
  <si>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</si>
  <si>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</si>
  <si>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</si>
  <si>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</si>
  <si>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</si>
  <si>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</si>
  <si>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</si>
  <si>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</si>
  <si>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</si>
  <si>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</si>
  <si>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</si>
  <si>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</si>
  <si>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</si>
  <si>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</si>
  <si>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</si>
  <si>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</si>
  <si>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</si>
  <si>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</si>
  <si>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</si>
  <si>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</si>
  <si>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</si>
  <si>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</si>
  <si>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</si>
  <si>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</si>
  <si>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</si>
  <si>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</si>
  <si>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</si>
  <si>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</si>
  <si>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</si>
  <si>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</si>
  <si>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</si>
  <si>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</si>
  <si>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</si>
  <si>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</si>
  <si>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</si>
  <si>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</si>
  <si>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</si>
  <si>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</si>
  <si>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</si>
  <si>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</si>
  <si>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</si>
  <si>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</si>
  <si>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</si>
  <si>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</si>
  <si>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</si>
  <si>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</si>
  <si>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</si>
  <si>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</si>
  <si>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</si>
  <si>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</si>
  <si>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</si>
  <si>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</si>
  <si>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</si>
  <si>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</si>
  <si>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</si>
  <si>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</si>
  <si>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</si>
  <si>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</si>
  <si>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</si>
  <si>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</si>
  <si>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</si>
  <si>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</si>
  <si>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</si>
  <si>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</si>
  <si>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</si>
  <si>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</si>
  <si>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</si>
  <si>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</si>
  <si>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</si>
  <si>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</si>
  <si>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</si>
  <si>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</si>
  <si>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</si>
  <si>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</si>
  <si>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</si>
  <si>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</si>
  <si>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</si>
  <si>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</si>
  <si>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</si>
  <si>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</si>
  <si>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</si>
  <si>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</si>
  <si>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</si>
  <si>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</si>
  <si>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</si>
  <si>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</si>
  <si>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</si>
  <si>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</si>
  <si>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</si>
  <si>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</si>
  <si>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</si>
  <si>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</si>
  <si>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</si>
  <si>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</si>
  <si>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</si>
  <si>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</si>
  <si>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</si>
  <si>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</si>
  <si>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</si>
  <si>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</si>
  <si>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</si>
  <si>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</si>
  <si>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</si>
  <si>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</si>
  <si>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</si>
  <si>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</si>
  <si>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</si>
  <si>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</si>
  <si>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</si>
  <si>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</si>
  <si>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</si>
  <si>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</si>
  <si>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</si>
  <si>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</si>
  <si>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</si>
  <si>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</si>
  <si>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</si>
  <si>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</si>
  <si>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</si>
  <si>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</si>
  <si>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</si>
  <si>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</si>
  <si>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</si>
  <si>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</si>
  <si>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</si>
  <si>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</si>
  <si>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</si>
  <si>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</si>
  <si>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</si>
  <si>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</si>
  <si>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</si>
  <si>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</si>
  <si>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</si>
  <si>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</si>
  <si>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</si>
  <si>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</si>
  <si>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</si>
  <si>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</si>
  <si>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</si>
  <si>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</si>
  <si>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</si>
  <si>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</si>
  <si>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</si>
  <si>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</si>
  <si>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</si>
  <si>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</si>
  <si>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</si>
  <si>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</si>
  <si>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</si>
  <si>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</si>
  <si>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</si>
  <si>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</si>
  <si>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</si>
  <si>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</si>
  <si>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</si>
  <si>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</si>
  <si>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</si>
  <si>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</si>
  <si>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</si>
  <si>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</si>
  <si>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</si>
  <si>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</si>
  <si>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</si>
  <si>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</si>
  <si>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</si>
  <si>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</si>
  <si>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</si>
  <si>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</si>
  <si>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</si>
  <si>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</si>
  <si>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</si>
  <si>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</si>
  <si>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</si>
  <si>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</si>
  <si>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</si>
  <si>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</si>
  <si>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</si>
  <si>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</si>
  <si>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</si>
  <si>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</si>
  <si>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</si>
  <si>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</si>
  <si>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</si>
  <si>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</si>
  <si>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</si>
  <si>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</si>
  <si>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</si>
  <si>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</si>
  <si>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</si>
  <si>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</si>
  <si>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</si>
  <si>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</si>
  <si>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</si>
  <si>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</si>
  <si>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</si>
  <si>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</si>
  <si>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</si>
  <si>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</si>
  <si>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</si>
  <si>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</si>
  <si>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</si>
  <si>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</si>
  <si>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</si>
  <si>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</si>
  <si>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</si>
  <si>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</si>
  <si>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</si>
  <si>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</si>
  <si>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</si>
  <si>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</si>
  <si>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</si>
  <si>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</si>
  <si>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</si>
  <si>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</si>
  <si>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</si>
  <si>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</si>
  <si>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</si>
  <si>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</si>
  <si>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</si>
  <si>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</si>
  <si>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</si>
  <si>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</si>
  <si>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</si>
  <si>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</si>
  <si>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</si>
  <si>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</si>
  <si>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</si>
  <si>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</si>
  <si>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</si>
  <si>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</si>
  <si>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</si>
  <si>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</si>
  <si>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</si>
  <si>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</si>
  <si>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</si>
  <si>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</si>
  <si>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</si>
  <si>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</si>
  <si>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</si>
  <si>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</si>
  <si>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</si>
  <si>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</si>
  <si>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</si>
  <si>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</si>
  <si>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</si>
  <si>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</si>
  <si>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</si>
  <si>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</si>
  <si>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</si>
  <si>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</si>
  <si>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</si>
  <si>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</si>
  <si>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</si>
  <si>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</si>
  <si>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</si>
  <si>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</si>
  <si>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</si>
  <si>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</si>
  <si>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</si>
  <si>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</si>
  <si>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</si>
  <si>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</si>
  <si>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</si>
  <si>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</si>
  <si>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</si>
  <si>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</si>
  <si>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</si>
  <si>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</si>
  <si>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</si>
  <si>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</si>
  <si>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</si>
  <si>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</si>
  <si>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</si>
  <si>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</si>
  <si>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</si>
  <si>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</si>
  <si>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</si>
  <si>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</si>
  <si>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</si>
  <si>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</si>
  <si>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</si>
  <si>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</si>
  <si>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</si>
  <si>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</si>
  <si>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</si>
  <si>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</si>
  <si>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</si>
  <si>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</si>
  <si>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</si>
  <si>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</si>
  <si>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</si>
  <si>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</si>
  <si>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</si>
  <si>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</si>
  <si>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</si>
  <si>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</si>
  <si>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</si>
  <si>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</si>
  <si>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</si>
  <si>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</si>
  <si>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</si>
  <si>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</si>
  <si>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</si>
  <si>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</si>
  <si>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</si>
  <si>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</si>
  <si>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</si>
  <si>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</si>
  <si>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</si>
  <si>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</si>
  <si>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</si>
  <si>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</si>
  <si>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</si>
  <si>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</si>
  <si>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</si>
  <si>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</si>
  <si>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</si>
  <si>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</si>
  <si>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</si>
  <si>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</si>
  <si>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</si>
  <si>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</si>
  <si>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</si>
  <si>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</si>
  <si>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</si>
  <si>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</si>
  <si>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</si>
  <si>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</si>
  <si>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</si>
  <si>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</si>
  <si>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</si>
  <si>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</si>
  <si>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</si>
  <si>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</si>
  <si>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</si>
  <si>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</si>
  <si>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</si>
  <si>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</si>
  <si>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</si>
  <si>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</si>
  <si>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</si>
  <si>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</si>
  <si>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</si>
  <si>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</si>
  <si>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</si>
  <si>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</si>
  <si>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</si>
  <si>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</si>
  <si>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</si>
  <si>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</si>
  <si>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</si>
  <si>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</si>
  <si>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</si>
  <si>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</si>
  <si>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</si>
  <si>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</si>
  <si>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</si>
  <si>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</si>
  <si>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</si>
  <si>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</si>
  <si>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</si>
  <si>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</si>
  <si>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</si>
  <si>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</si>
  <si>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</si>
  <si>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</si>
  <si>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</si>
  <si>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</si>
  <si>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</si>
  <si>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</si>
  <si>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</si>
  <si>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</si>
  <si>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</si>
  <si>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DALIA UTIU</t>
  </si>
  <si>
    <t>ZSOLT CSIKI</t>
  </si>
  <si>
    <t>GEORGE PRIDEA</t>
  </si>
  <si>
    <t>DENISA ROSCA</t>
  </si>
  <si>
    <t>ANGEL CRISAN</t>
  </si>
  <si>
    <t>OSCAR CUESTA</t>
  </si>
  <si>
    <t>Great performance, specially on tricky and complex plays. Keep on this way!</t>
  </si>
  <si>
    <t>2:08</t>
  </si>
  <si>
    <t>2:02</t>
  </si>
  <si>
    <t>4:14</t>
  </si>
  <si>
    <t>2:06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</si>
</sst>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14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14_132_CLU_HAM_U2025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U2025</v>
      </c>
      <c r="C2" s="123">
        <v>132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46035.791666666664</v>
      </c>
      <c r="C3" s="157"/>
      <c r="D3" s="39">
        <v>663</v>
      </c>
      <c r="E3" s="29"/>
      <c r="F3" s="26">
        <f>SUBTOTAL(3,I17:I106)</f>
        <v>4</v>
      </c>
      <c r="G3" s="27">
        <f>IF(OR(D3="",D3=0),"",F3/D3)</f>
        <v>6.0331825037707393E-3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U-BT Cluj-Napoca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CLU</v>
      </c>
      <c r="I4" s="5"/>
      <c r="J4" s="119" t="s">
        <v>714</v>
      </c>
      <c r="K4" s="54" t="s">
        <v>743</v>
      </c>
      <c r="L4" s="5"/>
      <c r="M4" s="167" t="s">
        <v>832</v>
      </c>
      <c r="N4" s="168"/>
      <c r="O4" s="2"/>
      <c r="P4" s="2"/>
      <c r="Q4" s="84" t="s">
        <v>175</v>
      </c>
      <c r="R4" s="94">
        <f>(IF(G3="",0,G3))</f>
        <v>6.0331825037707393E-3</v>
      </c>
      <c r="S4" s="61">
        <f>SUM(I13:M13)</f>
        <v>0</v>
      </c>
      <c r="T4" s="78"/>
      <c r="U4" s="61">
        <f>AC18</f>
        <v>2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Veolia Towers Hamburg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HAM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0.60331825037707398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826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827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5.1033182503770735</v>
      </c>
      <c r="N7" s="58"/>
      <c r="O7" s="2"/>
      <c r="P7" s="2"/>
      <c r="Q7" s="86">
        <f>SUM(R5,S5,AC16)</f>
        <v>5.1033182503770735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828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5.1033182503770735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829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830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132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831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U2025</v>
      </c>
      <c r="C17" s="31">
        <f t="shared" ref="C17:C48" si="3">IF(I17="","",$C$2)</f>
        <v>132</v>
      </c>
      <c r="D17" s="32" t="s">
        <v>833</v>
      </c>
      <c r="E17" s="33">
        <v>1</v>
      </c>
      <c r="F17" s="36">
        <v>25</v>
      </c>
      <c r="G17" s="36">
        <v>11</v>
      </c>
      <c r="H17" s="38" t="str">
        <f>IF(I17="","",$I$14)</f>
        <v>SCOUTING</v>
      </c>
      <c r="I17" s="34">
        <v>128</v>
      </c>
      <c r="J17" s="13" t="s">
        <v>4</v>
      </c>
      <c r="K17" s="13" t="s">
        <v>62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U2025</v>
      </c>
      <c r="C18" s="31">
        <f t="shared" si="3"/>
        <v>132</v>
      </c>
      <c r="D18" s="32" t="s">
        <v>834</v>
      </c>
      <c r="E18" s="33">
        <v>2</v>
      </c>
      <c r="F18" s="36">
        <v>40</v>
      </c>
      <c r="G18" s="36">
        <v>34</v>
      </c>
      <c r="H18" s="38" t="str">
        <f t="shared" ref="H18:H81" si="8">IF(I18="","",$I$14)</f>
        <v>SCOUTING</v>
      </c>
      <c r="I18" s="34">
        <v>286</v>
      </c>
      <c r="J18" s="13" t="s">
        <v>4</v>
      </c>
      <c r="K18" s="13" t="s">
        <v>63</v>
      </c>
      <c r="L18" s="13" t="s">
        <v>5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U2025</v>
      </c>
      <c r="C19" s="31">
        <f t="shared" si="3"/>
        <v>132</v>
      </c>
      <c r="D19" s="32" t="s">
        <v>835</v>
      </c>
      <c r="E19" s="33">
        <v>3</v>
      </c>
      <c r="F19" s="36">
        <v>66</v>
      </c>
      <c r="G19" s="36">
        <v>49</v>
      </c>
      <c r="H19" s="38" t="str">
        <f t="shared" si="8"/>
        <v>SCOUTING</v>
      </c>
      <c r="I19" s="34">
        <v>401</v>
      </c>
      <c r="J19" s="13" t="s">
        <v>4</v>
      </c>
      <c r="K19" s="13" t="s">
        <v>62</v>
      </c>
      <c r="L19" s="13" t="s">
        <v>7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U2025</v>
      </c>
      <c r="C20" s="31">
        <f t="shared" si="3"/>
        <v>132</v>
      </c>
      <c r="D20" s="32" t="s">
        <v>836</v>
      </c>
      <c r="E20" s="33">
        <v>3</v>
      </c>
      <c r="F20" s="36">
        <v>68</v>
      </c>
      <c r="G20" s="36">
        <v>51</v>
      </c>
      <c r="H20" s="38" t="str">
        <f t="shared" si="8"/>
        <v>SCOUTING</v>
      </c>
      <c r="I20" s="34">
        <v>438</v>
      </c>
      <c r="J20" s="13" t="s">
        <v>4</v>
      </c>
      <c r="K20" s="13" t="s">
        <v>62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REPORT_U2025132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"U2025132"</v>
      </c>
      <c r="F3" s="45" t="str">
        <f t="shared" ref="F3:F16" si="0">""""&amp;B3&amp;"""" &amp; " : " &amp;C3&amp;","</f>
        <v>"name" : "U2025132",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"U132"</v>
      </c>
      <c r="F4" s="45" t="str">
        <f t="shared" si="0"/>
        <v>"cod" : "U132",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132</v>
      </c>
      <c r="F6" s="45" t="str">
        <f t="shared" si="0"/>
        <v>"number" : 132,</v>
      </c>
    </row>
    <row r="7" spans="2:6" x14ac:dyDescent="0.25">
      <c r="B7" s="43" t="s">
        <v>116</v>
      </c>
      <c r="C7" s="43" t="str">
        <f ca="1">""""&amp;TEXT('SCOUT &amp; LOGISTICS'!B3,"dd/mm/aaaa")&amp;""""</f>
        <v>"13/01/2026"</v>
      </c>
      <c r="F7" s="45" t="str">
        <f t="shared" ca="1" si="0"/>
        <v>"date" : "13/01/2026",</v>
      </c>
    </row>
    <row r="8" spans="2:6" x14ac:dyDescent="0.25">
      <c r="B8" s="43" t="s">
        <v>125</v>
      </c>
      <c r="C8" s="43" t="str">
        <f>""""&amp;'SCOUT &amp; LOGISTICS'!D4 &amp;""""</f>
        <v>"U-BT Cluj-Napoca"</v>
      </c>
      <c r="F8" s="45" t="str">
        <f t="shared" si="0"/>
        <v>"home_team" : "U-BT Cluj-Napoca",</v>
      </c>
    </row>
    <row r="9" spans="2:6" x14ac:dyDescent="0.25">
      <c r="B9" s="43" t="s">
        <v>126</v>
      </c>
      <c r="C9" s="43" t="str">
        <f>""""&amp;'SCOUT &amp; LOGISTICS'!D5&amp;""""</f>
        <v>"Veolia Towers Hamburg"</v>
      </c>
      <c r="F9" s="45" t="str">
        <f t="shared" si="0"/>
        <v>"away_team" : "Veolia Towers Hamburg",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"DALIA UTIU"</v>
      </c>
      <c r="F10" s="45" t="str">
        <f t="shared" si="0"/>
        <v>"Data_entry" : "DALIA UTIU",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"ZSOLT CSIKI"</v>
      </c>
      <c r="F11" s="45" t="str">
        <f t="shared" si="0"/>
        <v>"Caller_1" : "ZSOLT CSIKI",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"GEORGE PRIDEA"</v>
      </c>
      <c r="F12" s="45" t="str">
        <f t="shared" si="0"/>
        <v>"Caller_2" : "GEORGE PRIDEA",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"DENISA ROSCA"</v>
      </c>
      <c r="F13" s="45" t="str">
        <f t="shared" si="0"/>
        <v>"Timerkeeper" : "DENISA ROSCA",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"ANGEL CRISAN"</v>
      </c>
      <c r="F14" s="45" t="str">
        <f t="shared" si="0"/>
        <v>"Shotclock" : "ANGEL CRISAN",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663</v>
      </c>
      <c r="F25" s="45" t="str">
        <f t="shared" ref="F25:F48" si="1">""""&amp;C25&amp;"""" &amp; " : " &amp;D25&amp;","</f>
        <v>"total_actions" : 663,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"0,6%"</v>
      </c>
      <c r="F27" s="45" t="str">
        <f t="shared" si="1"/>
        <v>"%_corrections" : "0,6%",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"Great performance, specially on tricky and complex plays. Keep on this way!"</v>
      </c>
      <c r="F51" s="45" t="str">
        <f>""""&amp;B51&amp;"""" &amp; " : " &amp;C51&amp;","</f>
        <v>"comments" : "Great performance, specially on tricky and complex plays. Keep on this way!",</v>
      </c>
    </row>
    <row r="52" spans="2:6" x14ac:dyDescent="0.25">
      <c r="B52" s="43" t="s">
        <v>153</v>
      </c>
      <c r="C52" s="43" t="str">
        <f>TEXT('SCOUT &amp; LOGISTICS'!F1,"0,0")</f>
        <v>14_132_CLU_HAM_U2025</v>
      </c>
      <c r="F52" s="45" t="str">
        <f>""""&amp;B52&amp;"""" &amp; " : " &amp;C52</f>
        <v>"result" : 14_132_CLU_HAM_U2025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U132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13/01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U-Bt Cluj-Napoca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Veolia Towers Hamburg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DALIA UTIU</v>
      </c>
      <c r="C8" s="206"/>
      <c r="D8" s="206"/>
      <c r="E8" s="206"/>
      <c r="F8" s="206"/>
      <c r="G8" s="206" t="str">
        <f>IF('SCOUT &amp; LOGISTICS'!D7="","",'SCOUT &amp; LOGISTICS'!D7)</f>
        <v>ZSOLT CSIKI</v>
      </c>
      <c r="H8" s="206"/>
      <c r="I8" s="206"/>
      <c r="J8" s="206"/>
      <c r="K8" s="206"/>
      <c r="L8" s="206" t="str">
        <f>IF('SCOUT &amp; LOGISTICS'!D8="","",'SCOUT &amp; LOGISTICS'!D8)</f>
        <v>GEORGE PRIDEA</v>
      </c>
      <c r="M8" s="206"/>
      <c r="N8" s="206"/>
      <c r="O8" s="206"/>
      <c r="P8" s="206"/>
      <c r="Q8" s="206" t="str">
        <f>IF('SCOUT &amp; LOGISTICS'!D9="","",'SCOUT &amp; LOGISTICS'!D9)</f>
        <v>DENISA ROSCA</v>
      </c>
      <c r="R8" s="206"/>
      <c r="S8" s="206"/>
      <c r="T8" s="206"/>
      <c r="U8" s="206"/>
      <c r="V8" s="206" t="str">
        <f>IF('SCOUT &amp; LOGISTICS'!D10="","",'SCOUT &amp; LOGISTICS'!D10)</f>
        <v>ANGEL CRISAN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663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6.0331825037707393E-3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Great performance, specially on tricky and complex plays. Keep on this way!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5.1033182503770735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CCF6E03-5DDA-43F5-9EA3-D1CB8E4D8B0E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2026-01-13T20:09:30Z</cp:lastPrinted>
  <dcterms:created xsi:type="dcterms:W3CDTF">2023-09-19T19:50:35Z</dcterms:created>
  <dcterms:modified xsi:type="dcterms:W3CDTF">2026-01-13T20:10:24Z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