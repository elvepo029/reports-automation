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DFEEFFDB-46B8-42A4-AAE8-CD7C8B67371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<sst xmlns="http://schemas.openxmlformats.org/spreadsheetml/2006/main" count="3321" uniqueCount="826">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</sst>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14_132_CLU_HAM_U2025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132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46035.791666666664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U-BT Cluj-Napoca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CLU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Veolia Towers Hamburg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REPORT_U2025132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"U2025132"</v>
      </c>
      <c r="F3" s="45" t="str">
        <f t="shared" ref="F3:F16" si="0">""""&amp;B3&amp;"""" &amp; " : " &amp;C3&amp;","</f>
        <v>"name" : "U2025132",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"U132"</v>
      </c>
      <c r="F4" s="45" t="str">
        <f t="shared" si="0"/>
        <v>"cod" : "U132",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132</v>
      </c>
      <c r="F6" s="45" t="str">
        <f t="shared" si="0"/>
        <v>"number" : 132,</v>
      </c>
    </row>
    <row r="7" spans="2:6" x14ac:dyDescent="0.2">
      <c r="B7" s="43" t="s">
        <v>116</v>
      </c>
      <c r="C7" s="43" t="str">
        <f ca="1">""""&amp;TEXT('SCOUT &amp; LOGISTICS'!B3,"dd/mm/aaaa")&amp;""""</f>
        <v>"13/01/Tuesday"</v>
      </c>
      <c r="F7" s="45" t="str">
        <f t="shared" ca="1" si="0"/>
        <v>"date" : "13/01/Tuesday",</v>
      </c>
    </row>
    <row r="8" spans="2:6" x14ac:dyDescent="0.2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">
      <c r="B9" s="43" t="s">
        <v>126</v>
      </c>
      <c r="C9" s="43" t="str">
        <f>""""&amp;'SCOUT &amp; LOGISTICS'!D5&amp;""""</f>
        <v>"Veolia Towers Hamburg"</v>
      </c>
      <c r="F9" s="45" t="str">
        <f t="shared" si="0"/>
        <v>"away_team" : "Veolia Towers Hamburg",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14_132_CLU_HAM_U2025</v>
      </c>
      <c r="F52" s="45" t="str">
        <f>""""&amp;B52&amp;"""" &amp; " : " &amp;C52</f>
        <v>"result" : 14_132_CLU_HAM_U2025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U132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13/01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U-Bt Cluj-Napoca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Veolia Towers Hamburg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33CF63B-BCFC-4257-A600-197AF5DE24E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2026-01-07T21:10:16Z</cp:lastPrinted>
  <dcterms:created xsi:type="dcterms:W3CDTF">2023-09-19T19:50:35Z</dcterms:created>
  <dcterms:modified xsi:type="dcterms:W3CDTF">2026-01-07T21:10:25Z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