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5" documentId="8_{C6CC414A-6F7A-42E2-8F85-448D50B8FCA3}" xr6:coauthVersionLast="47" xr6:coauthVersionMax="47" xr10:uidLastSave="{1441AD49-6344-4A07-B789-B3B506C234D9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<sst xmlns="http://schemas.openxmlformats.org/spreadsheetml/2006/main" count="3245" uniqueCount="756">
  <si>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</si>
  <si>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</si>
  <si>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</si>
  <si>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</si>
  <si>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</si>
  <si>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</si>
  <si>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</si>
  <si>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</si>
  <si>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</si>
  <si>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</si>
  <si>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</si>
  <si>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</si>
  <si>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</si>
  <si>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</si>
  <si>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</si>
  <si>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</si>
  <si>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</si>
  <si>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</si>
  <si>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</si>
  <si>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</si>
  <si>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</si>
  <si>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</si>
  <si>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</si>
  <si>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</si>
  <si>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</si>
  <si>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</si>
  <si>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</si>
  <si>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</si>
  <si>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</si>
  <si>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</si>
  <si>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</si>
  <si>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</si>
  <si>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</si>
  <si>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</si>
  <si>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</si>
  <si>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</si>
  <si>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</si>
  <si>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</si>
  <si>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</si>
  <si>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</si>
  <si>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</si>
  <si>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</si>
  <si>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</si>
  <si>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</si>
  <si>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</si>
  <si>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</si>
  <si>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</si>
  <si>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</si>
  <si>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</si>
  <si>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</si>
  <si>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</si>
  <si>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</si>
  <si>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</si>
  <si>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</si>
  <si>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</si>
  <si>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</si>
  <si>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</si>
  <si>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</si>
  <si>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</si>
  <si>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</si>
  <si>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</si>
  <si>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</si>
  <si>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</si>
  <si>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</si>
  <si>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</si>
  <si>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</si>
  <si>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</si>
  <si>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</si>
  <si>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</si>
  <si>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</si>
  <si>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</si>
  <si>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</si>
  <si>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</si>
  <si>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</si>
  <si>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</si>
  <si>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</si>
  <si>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</si>
  <si>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</si>
  <si>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</si>
  <si>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</si>
  <si>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</si>
  <si>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</si>
  <si>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</si>
  <si>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</si>
  <si>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</si>
  <si>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</si>
  <si>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</si>
  <si>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</si>
  <si>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</si>
  <si>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</si>
  <si>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</si>
  <si>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</si>
  <si>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</si>
  <si>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</si>
  <si>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</si>
  <si>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</si>
  <si>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</si>
  <si>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</si>
  <si>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</si>
  <si>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</si>
  <si>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</si>
  <si>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</si>
  <si>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</si>
  <si>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</si>
  <si>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</si>
  <si>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</si>
  <si>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</si>
  <si>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</si>
  <si>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</si>
  <si>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</si>
  <si>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</si>
  <si>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</si>
  <si>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</si>
  <si>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</si>
  <si>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</si>
  <si>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</si>
  <si>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</si>
  <si>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</si>
  <si>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</si>
  <si>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</si>
  <si>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</si>
  <si>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</si>
  <si>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</si>
  <si>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</si>
  <si>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</si>
  <si>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</si>
  <si>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</si>
  <si>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</si>
  <si>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</si>
  <si>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</si>
  <si>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</si>
  <si>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</si>
  <si>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</si>
  <si>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</si>
  <si>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</si>
  <si>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</si>
  <si>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</si>
  <si>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</si>
  <si>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</si>
  <si>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</si>
  <si>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</si>
  <si>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</si>
  <si>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</si>
  <si>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</si>
  <si>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</si>
  <si>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</si>
  <si>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</si>
  <si>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</si>
  <si>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</si>
  <si>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</si>
  <si>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</si>
  <si>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</si>
  <si>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</si>
  <si>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</si>
  <si>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</si>
  <si>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</si>
  <si>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</si>
  <si>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</si>
  <si>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</si>
  <si>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</si>
  <si>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</si>
  <si>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</si>
  <si>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</si>
  <si>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</si>
  <si>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</si>
  <si>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</si>
  <si>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</si>
  <si>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</si>
  <si>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</si>
  <si>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</si>
  <si>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</si>
  <si>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</si>
  <si>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</si>
  <si>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</si>
  <si>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</si>
  <si>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</si>
  <si>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</si>
  <si>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</si>
  <si>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</si>
  <si>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</si>
  <si>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</si>
  <si>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</si>
  <si>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</si>
  <si>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</si>
  <si>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</si>
  <si>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</si>
  <si>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</si>
  <si>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</si>
  <si>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</si>
  <si>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</si>
  <si>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</si>
  <si>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</si>
  <si>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</si>
  <si>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</si>
  <si>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</si>
  <si>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</si>
  <si>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</si>
  <si>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</si>
  <si>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</si>
  <si>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</si>
  <si>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</si>
  <si>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</si>
  <si>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</si>
  <si>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</si>
  <si>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</si>
  <si>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</si>
  <si>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</si>
  <si>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</si>
  <si>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</si>
  <si>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</si>
  <si>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</si>
  <si>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</si>
  <si>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</si>
  <si>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</si>
  <si>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</si>
  <si>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</si>
  <si>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</si>
  <si>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</si>
  <si>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</si>
  <si>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</si>
  <si>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</si>
  <si>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</si>
  <si>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</si>
  <si>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</si>
  <si>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</si>
  <si>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</si>
  <si>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</si>
  <si>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</si>
  <si>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</si>
  <si>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</si>
  <si>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</si>
  <si>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</si>
  <si>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</si>
  <si>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</si>
  <si>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</si>
  <si>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</si>
  <si>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</si>
  <si>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</si>
  <si>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</si>
  <si>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</si>
  <si>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</si>
  <si>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</si>
  <si>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</si>
  <si>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</si>
  <si>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</si>
  <si>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</si>
  <si>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</si>
  <si>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</si>
  <si>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</si>
  <si>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</si>
  <si>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</si>
  <si>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</si>
  <si>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</si>
  <si>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</si>
  <si>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</si>
  <si>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</si>
  <si>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</si>
  <si>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</si>
  <si>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</si>
  <si>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</si>
  <si>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</si>
  <si>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</si>
  <si>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</si>
  <si>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</si>
  <si>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</si>
  <si>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</si>
  <si>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</si>
  <si>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</si>
  <si>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</si>
  <si>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</si>
  <si>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</si>
  <si>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</si>
  <si>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</si>
  <si>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</si>
  <si>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</si>
  <si>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</si>
  <si>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</si>
  <si>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</si>
  <si>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</si>
  <si>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</si>
  <si>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</si>
  <si>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</si>
  <si>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</si>
  <si>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</si>
  <si>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</si>
  <si>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</si>
  <si>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</si>
  <si>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</si>
  <si>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</si>
  <si>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</si>
  <si>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</si>
  <si>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</si>
  <si>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</si>
  <si>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</si>
  <si>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</si>
  <si>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</si>
  <si>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</si>
  <si>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</si>
  <si>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</si>
  <si>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</si>
  <si>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</si>
  <si>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</si>
  <si>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</si>
  <si>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</si>
  <si>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</si>
  <si>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</si>
  <si>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</si>
  <si>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</si>
  <si>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</si>
  <si>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</si>
  <si>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</si>
  <si>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</si>
  <si>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</si>
  <si>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</si>
  <si>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</si>
  <si>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</si>
  <si>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</si>
  <si>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</si>
  <si>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</si>
  <si>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</si>
  <si>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</si>
  <si>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</si>
  <si>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</si>
  <si>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</si>
  <si>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</si>
  <si>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</si>
  <si>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</si>
  <si>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</si>
  <si>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</si>
  <si>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</si>
  <si>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</si>
  <si>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</si>
  <si>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</si>
  <si>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</si>
  <si>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</si>
  <si>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</si>
  <si>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</si>
  <si>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</si>
  <si>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</si>
  <si>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</si>
  <si>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</si>
  <si>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</si>
  <si>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</si>
  <si>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</si>
  <si>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</si>
  <si>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</si>
  <si>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</si>
  <si>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</si>
  <si>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</si>
  <si>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</si>
  <si>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</si>
  <si>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</si>
  <si>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</si>
  <si>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</si>
  <si>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</si>
  <si>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</si>
  <si>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</si>
  <si>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</si>
  <si>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</si>
  <si>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</si>
  <si>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</si>
  <si>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</si>
  <si>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</si>
  <si>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</si>
  <si>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</si>
  <si>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</si>
  <si>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</si>
  <si>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</si>
  <si>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</si>
  <si>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</si>
  <si>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</si>
  <si>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</si>
  <si>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</si>
  <si>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</si>
  <si>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</si>
  <si>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</si>
  <si>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</si>
  <si>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</si>
  <si>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</si>
  <si>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</si>
  <si>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</si>
  <si>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</si>
  <si>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</si>
  <si>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</si>
  <si>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</si>
  <si>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</si>
  <si>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</si>
  <si>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</si>
  <si>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</si>
  <si>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</si>
  <si>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</si>
  <si>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</si>
  <si>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</si>
  <si>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</si>
  <si>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</si>
  <si>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</si>
  <si>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</si>
  <si>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</si>
  <si>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</si>
  <si>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</si>
  <si>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</si>
  <si>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</si>
  <si>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</si>
  <si>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</si>
  <si>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</si>
  <si>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</si>
  <si>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</si>
  <si>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</si>
  <si>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</si>
  <si>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</si>
  <si>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</si>
  <si>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</si>
  <si>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</si>
  <si>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</si>
  <si>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</si>
  <si>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</si>
  <si>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</si>
  <si>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</si>
  <si>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</si>
  <si>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</si>
  <si>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</si>
  <si>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</si>
  <si>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</si>
  <si>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</si>
  <si>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</si>
  <si>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</si>
  <si>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</si>
  <si>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</si>
  <si>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</si>
  <si>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</si>
  <si>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</si>
  <si>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</si>
  <si>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</si>
  <si>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</si>
  <si>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</si>
  <si>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</si>
  <si>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</si>
  <si>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</si>
  <si>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</si>
  <si>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</si>
  <si>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</si>
  <si>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</si>
  <si>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</si>
  <si>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</si>
  <si>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</si>
  <si>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</si>
  <si>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</si>
  <si>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</si>
  <si>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</si>
  <si>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</si>
  <si>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</si>
  <si>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</si>
  <si>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</si>
  <si>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</si>
  <si>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</si>
  <si>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</si>
  <si>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</si>
  <si>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</si>
  <si>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</si>
  <si>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</si>
  <si>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</si>
  <si>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</si>
  <si>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</si>
  <si>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</si>
  <si>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</si>
  <si>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</si>
  <si>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</si>
  <si>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</si>
  <si>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</si>
  <si>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</si>
  <si>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</si>
  <si>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</si>
  <si>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</si>
  <si>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</si>
  <si>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</si>
  <si>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</si>
  <si>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</si>
  <si>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</si>
  <si>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</si>
  <si>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</si>
  <si>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</si>
  <si>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</si>
  <si>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</si>
  <si>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</si>
  <si>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</si>
  <si>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</si>
  <si>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</si>
  <si>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</si>
  <si>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</si>
  <si>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</si>
  <si>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</si>
  <si>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</si>
  <si>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</si>
  <si>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</si>
  <si>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</si>
  <si>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</si>
  <si>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</si>
  <si>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</si>
  <si>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</si>
  <si>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</si>
  <si>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</si>
  <si>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</si>
  <si>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</si>
  <si>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</si>
  <si>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</si>
  <si>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</si>
  <si>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</si>
  <si>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</si>
  <si>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</si>
  <si>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</si>
  <si>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</si>
  <si>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</si>
  <si>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</si>
  <si>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</si>
  <si>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</si>
  <si>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</si>
  <si>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</si>
  <si>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</si>
  <si>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</si>
  <si>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</si>
  <si>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</si>
  <si>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</si>
  <si>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</si>
  <si>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</si>
  <si>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</si>
  <si>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</si>
  <si>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</si>
  <si>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</si>
  <si>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</si>
  <si>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</si>
  <si>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</si>
  <si>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</si>
  <si>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</si>
  <si>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</si>
  <si>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</si>
  <si>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</si>
  <si>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</si>
  <si>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</si>
  <si>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</si>
  <si>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</si>
  <si>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</si>
  <si>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</si>
  <si>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</si>
  <si>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</si>
  <si>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</si>
  <si>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</si>
  <si>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</si>
  <si>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</si>
  <si>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</si>
  <si>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</si>
  <si>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</si>
  <si>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</si>
  <si>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</si>
  <si>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</si>
  <si>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</si>
  <si>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</si>
  <si>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</si>
  <si>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</si>
  <si>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</si>
  <si>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</si>
  <si>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</si>
  <si>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</si>
  <si>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</si>
  <si>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</si>
  <si>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</si>
  <si>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</si>
  <si>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</si>
  <si>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</si>
  <si>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</si>
  <si>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</si>
  <si>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</si>
  <si>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</si>
  <si>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</si>
  <si>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</si>
  <si>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</si>
  <si>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</si>
  <si>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</si>
  <si>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</si>
  <si>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</si>
  <si>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</si>
  <si>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</si>
  <si>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</si>
  <si>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</si>
  <si>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</si>
  <si>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</si>
  <si>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</si>
  <si>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</si>
  <si>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</si>
  <si>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</si>
  <si>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</si>
  <si>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</si>
  <si>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</si>
  <si>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</si>
  <si>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</si>
  <si>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</si>
  <si>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</si>
  <si>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</si>
  <si>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</si>
  <si>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</si>
  <si>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</si>
  <si>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</si>
  <si>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</si>
  <si>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</si>
  <si>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</si>
  <si>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</si>
  <si>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</si>
  <si>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</si>
  <si>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</si>
  <si>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</si>
  <si>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</si>
  <si>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</si>
  <si>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</si>
  <si>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</si>
  <si>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</si>
  <si>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</si>
  <si>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</si>
  <si>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</si>
  <si>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</si>
  <si>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</si>
  <si>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</si>
  <si>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</si>
  <si>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</si>
  <si>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</si>
  <si>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</si>
  <si>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</si>
  <si>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</si>
  <si>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</si>
  <si>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</si>
  <si>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</si>
  <si>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</si>
  <si>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</si>
  <si>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</si>
  <si>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</si>
  <si>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</si>
  <si>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</si>
  <si>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</si>
  <si>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</si>
  <si>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</si>
  <si>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</si>
  <si>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</si>
  <si>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</si>
  <si>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</si>
  <si>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</si>
  <si>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</si>
  <si>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</si>
  <si>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</si>
  <si>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</si>
  <si>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</si>
  <si>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</si>
  <si>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</si>
  <si>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</si>
  <si>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</si>
  <si>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</si>
  <si>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</si>
  <si>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</si>
  <si>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</si>
  <si>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</si>
  <si>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</si>
  <si>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</si>
  <si>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</si>
  <si>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</si>
  <si>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</si>
  <si>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</si>
  <si>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</si>
  <si>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</si>
  <si>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</si>
  <si>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</si>
  <si>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</si>
  <si>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</si>
  <si>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</si>
  <si>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</si>
  <si>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</si>
  <si>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</si>
  <si>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</si>
  <si>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</si>
  <si>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</si>
  <si>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</si>
  <si>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</si>
  <si>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</si>
  <si>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</si>
  <si>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</si>
  <si>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</si>
  <si>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</si>
  <si>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</si>
  <si>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</si>
  <si>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</si>
  <si>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</si>
  <si>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</si>
  <si>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</si>
  <si>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</si>
  <si>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</si>
  <si>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</si>
  <si>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</si>
  <si>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</si>
  <si>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</si>
  <si>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</si>
  <si>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</si>
  <si>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</si>
  <si>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</si>
  <si>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</si>
  <si>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</si>
  <si>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</si>
  <si>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</si>
  <si>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</si>
  <si>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</si>
  <si>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</si>
  <si>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</si>
  <si>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</si>
  <si>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</si>
  <si>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</si>
  <si>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</si>
  <si>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</si>
  <si>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</si>
  <si>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</si>
  <si>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</si>
  <si>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</si>
  <si>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</si>
  <si>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</si>
  <si>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</si>
  <si>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</si>
  <si>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</si>
  <si>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</si>
  <si>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</si>
  <si>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</si>
  <si>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</si>
  <si>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</si>
  <si>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</si>
  <si>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</si>
  <si>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</si>
  <si>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</si>
  <si>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</si>
  <si>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</si>
  <si>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</si>
  <si>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</si>
  <si>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</si>
  <si>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</si>
  <si>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</si>
  <si>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</si>
  <si>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</si>
  <si>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</si>
  <si>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</si>
  <si>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</si>
  <si>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</si>
  <si>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</si>
  <si>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</si>
  <si>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</si>
  <si>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</si>
  <si>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</si>
  <si>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</si>
  <si>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</si>
  <si>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MARKO KRSTIC</t>
  </si>
  <si>
    <t>SANJA RSOVAC</t>
  </si>
  <si>
    <t>IVANA PRPA</t>
  </si>
  <si>
    <t>JOVANA KRIVOKUCA-MILOVANOVIC</t>
  </si>
  <si>
    <t>ELOI VERGÉ</t>
  </si>
  <si>
    <t xml:space="preserve">Amazing job (as always) and very good communication.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</si>
</sst>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14_132_PAR_MUN_E2025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132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45995.864583333336</v>
      </c>
      <c r="C3" s="157"/>
      <c r="D3" s="39">
        <v>567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742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745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REPORT_E2025132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"E2025132"</v>
      </c>
      <c r="F3" s="45" t="str">
        <f t="shared" ref="F3:F16" si="0">""""&amp;B3&amp;"""" &amp; " : " &amp;C3&amp;","</f>
        <v>"name" : "E2025132",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"E132"</v>
      </c>
      <c r="F4" s="45" t="str">
        <f t="shared" si="0"/>
        <v>"cod" : "E132",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132</v>
      </c>
      <c r="F6" s="45" t="str">
        <f t="shared" si="0"/>
        <v>"number" : 132,</v>
      </c>
    </row>
    <row r="7" spans="2:6" x14ac:dyDescent="0.25">
      <c r="B7" s="43" t="s">
        <v>116</v>
      </c>
      <c r="C7" s="43" t="str">
        <f ca="1">""""&amp;TEXT('SCOUT &amp; LOGISTICS'!B3,"dd/mm/aaaa")&amp;""""</f>
        <v>"04/12/2025"</v>
      </c>
      <c r="F7" s="45" t="str">
        <f t="shared" ca="1" si="0"/>
        <v>"date" : "04/12/2025",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KRSTIC"</v>
      </c>
      <c r="F11" s="45" t="str">
        <f t="shared" si="0"/>
        <v>"Caller_1" : "MARKO KRSTIC",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"IVANA VASILJEVIC"</v>
      </c>
      <c r="F12" s="45" t="str">
        <f t="shared" si="0"/>
        <v>"Caller_2" : "IVANA VASILJEVIC",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"SANJA RSOVAC"</v>
      </c>
      <c r="F13" s="45" t="str">
        <f t="shared" si="0"/>
        <v>"Timerkeeper" : "SANJA RSOVAC",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"IVANA PRPA"</v>
      </c>
      <c r="F14" s="45" t="str">
        <f t="shared" si="0"/>
        <v>"Shotclock" : "IVANA PRPA",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KRIVOKUCA-MILOVANOVIC"</v>
      </c>
      <c r="F15" s="45" t="str">
        <f t="shared" si="0"/>
        <v>"IRS" : "JOVANA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567</v>
      </c>
      <c r="F25" s="45" t="str">
        <f t="shared" ref="F25:F48" si="1">""""&amp;C25&amp;"""" &amp; " : " &amp;D25&amp;","</f>
        <v>"total_actions" : 567,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"0,0%"</v>
      </c>
      <c r="F27" s="45" t="str">
        <f t="shared" si="1"/>
        <v>"%_corrections" : "0,0%",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"Amazing job (as always) and very good communication. "</v>
      </c>
      <c r="F51" s="45" t="str">
        <f>""""&amp;B51&amp;"""" &amp; " : " &amp;C51&amp;","</f>
        <v>"comments" : "Amazing job (as always) and very good communication. ",</v>
      </c>
    </row>
    <row r="52" spans="2:6" x14ac:dyDescent="0.25">
      <c r="B52" s="43" t="s">
        <v>153</v>
      </c>
      <c r="C52" s="43" t="str">
        <f>TEXT('SCOUT &amp; LOGISTICS'!F1,"0,0")</f>
        <v>14_132_PAR_MUN_E2025</v>
      </c>
      <c r="F52" s="45" t="str">
        <f>""""&amp;B52&amp;"""" &amp; " : " &amp;C52</f>
        <v>"result" : 14_132_PAR_MUN_E2025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E132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MARKO KRSTIC</v>
      </c>
      <c r="H8" s="206"/>
      <c r="I8" s="206"/>
      <c r="J8" s="206"/>
      <c r="K8" s="206"/>
      <c r="L8" s="206" t="str">
        <f>IF('SCOUT &amp; LOGISTICS'!D8="","",'SCOUT &amp; LOGISTICS'!D8)</f>
        <v>IVANA VASILJEVIC</v>
      </c>
      <c r="M8" s="206"/>
      <c r="N8" s="206"/>
      <c r="O8" s="206"/>
      <c r="P8" s="206"/>
      <c r="Q8" s="206" t="str">
        <f>IF('SCOUT &amp; LOGISTICS'!D9="","",'SCOUT &amp; LOGISTICS'!D9)</f>
        <v>SANJA RSOVAC</v>
      </c>
      <c r="R8" s="206"/>
      <c r="S8" s="206"/>
      <c r="T8" s="206"/>
      <c r="U8" s="206"/>
      <c r="V8" s="206" t="str">
        <f>IF('SCOUT &amp; LOGISTICS'!D10="","",'SCOUT &amp; LOGISTICS'!D10)</f>
        <v>IVANA PRPA</v>
      </c>
      <c r="W8" s="206"/>
      <c r="X8" s="206"/>
      <c r="Y8" s="206"/>
      <c r="Z8" s="206"/>
      <c r="AA8" s="206" t="str">
        <f>IF('SCOUT &amp; LOGISTICS'!D11="","",'SCOUT &amp; LOGISTICS'!D11)</f>
        <v>JOVANA KRIVOKUCA-MILOVANOVIC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567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 xml:space="preserve">Amazing job (as always) and very good communication.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FF5400-38CB-43EE-816A-37A03FC86A7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2025-12-05T16:52:37Z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