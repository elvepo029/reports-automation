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12" documentId="8_{CBBBF342-8367-4340-9930-4BF9F519C136}" xr6:coauthVersionLast="47" xr6:coauthVersionMax="47" xr10:uidLastSave="{B1F9B99A-C767-476B-B83A-0001E91C647F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<sst xmlns="http://schemas.openxmlformats.org/spreadsheetml/2006/main" count="3244" uniqueCount="759">
  <si>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</si>
  <si>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</si>
  <si>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</si>
  <si>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</si>
  <si>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</si>
  <si>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</si>
  <si>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</si>
  <si>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</si>
  <si>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</si>
  <si>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</si>
  <si>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</si>
  <si>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</si>
  <si>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</si>
  <si>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</si>
  <si>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</si>
  <si>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</si>
  <si>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</si>
  <si>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</si>
  <si>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</si>
  <si>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</si>
  <si>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</si>
  <si>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</si>
  <si>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</si>
  <si>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</si>
  <si>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</si>
  <si>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</si>
  <si>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</si>
  <si>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</si>
  <si>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</si>
  <si>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</si>
  <si>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</si>
  <si>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</si>
  <si>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</si>
  <si>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</si>
  <si>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</si>
  <si>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</si>
  <si>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</si>
  <si>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</si>
  <si>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</si>
  <si>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</si>
  <si>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</si>
  <si>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</si>
  <si>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</si>
  <si>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</si>
  <si>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</si>
  <si>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</si>
  <si>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</si>
  <si>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</si>
  <si>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</si>
  <si>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</si>
  <si>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</si>
  <si>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</si>
  <si>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</si>
  <si>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</si>
  <si>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</si>
  <si>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</si>
  <si>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</si>
  <si>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</si>
  <si>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</si>
  <si>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</si>
  <si>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</si>
  <si>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</si>
  <si>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</si>
  <si>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</si>
  <si>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</si>
  <si>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</si>
  <si>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</si>
  <si>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</si>
  <si>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</si>
  <si>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</si>
  <si>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</si>
  <si>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</si>
  <si>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</si>
  <si>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</si>
  <si>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</si>
  <si>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</si>
  <si>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</si>
  <si>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</si>
  <si>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</si>
  <si>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</si>
  <si>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</si>
  <si>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</si>
  <si>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</si>
  <si>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</si>
  <si>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</si>
  <si>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</si>
  <si>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</si>
  <si>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</si>
  <si>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</si>
  <si>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</si>
  <si>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</si>
  <si>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</si>
  <si>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</si>
  <si>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</si>
  <si>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</si>
  <si>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</si>
  <si>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</si>
  <si>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</si>
  <si>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</si>
  <si>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</si>
  <si>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</si>
  <si>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</si>
  <si>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</si>
  <si>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</si>
  <si>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</si>
  <si>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</si>
  <si>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</si>
  <si>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</si>
  <si>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</si>
  <si>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</si>
  <si>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</si>
  <si>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</si>
  <si>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</si>
  <si>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</si>
  <si>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</si>
  <si>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</si>
  <si>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</si>
  <si>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</si>
  <si>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</si>
  <si>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</si>
  <si>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</si>
  <si>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</si>
  <si>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</si>
  <si>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</si>
  <si>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</si>
  <si>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</si>
  <si>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</si>
  <si>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</si>
  <si>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</si>
  <si>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</si>
  <si>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</si>
  <si>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</si>
  <si>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</si>
  <si>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</si>
  <si>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</si>
  <si>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</si>
  <si>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</si>
  <si>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</si>
  <si>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</si>
  <si>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</si>
  <si>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</si>
  <si>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</si>
  <si>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</si>
  <si>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</si>
  <si>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</si>
  <si>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</si>
  <si>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</si>
  <si>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</si>
  <si>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</si>
  <si>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</si>
  <si>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</si>
  <si>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</si>
  <si>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</si>
  <si>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</si>
  <si>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</si>
  <si>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</si>
  <si>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</si>
  <si>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</si>
  <si>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</si>
  <si>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</si>
  <si>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</si>
  <si>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</si>
  <si>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</si>
  <si>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</si>
  <si>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</si>
  <si>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</si>
  <si>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</si>
  <si>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</si>
  <si>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</si>
  <si>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</si>
  <si>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</si>
  <si>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</si>
  <si>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</si>
  <si>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</si>
  <si>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</si>
  <si>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</si>
  <si>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</si>
  <si>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</si>
  <si>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</si>
  <si>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</si>
  <si>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</si>
  <si>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</si>
  <si>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</si>
  <si>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</si>
  <si>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</si>
  <si>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</si>
  <si>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</si>
  <si>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</si>
  <si>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</si>
  <si>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</si>
  <si>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</si>
  <si>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</si>
  <si>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</si>
  <si>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</si>
  <si>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</si>
  <si>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</si>
  <si>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</si>
  <si>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</si>
  <si>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</si>
  <si>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</si>
  <si>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</si>
  <si>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</si>
  <si>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</si>
  <si>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</si>
  <si>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</si>
  <si>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</si>
  <si>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</si>
  <si>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</si>
  <si>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</si>
  <si>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</si>
  <si>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</si>
  <si>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</si>
  <si>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</si>
  <si>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</si>
  <si>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</si>
  <si>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</si>
  <si>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</si>
  <si>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</si>
  <si>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</si>
  <si>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</si>
  <si>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</si>
  <si>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</si>
  <si>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</si>
  <si>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</si>
  <si>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</si>
  <si>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</si>
  <si>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</si>
  <si>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</si>
  <si>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</si>
  <si>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</si>
  <si>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</si>
  <si>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</si>
  <si>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</si>
  <si>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</si>
  <si>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</si>
  <si>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</si>
  <si>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</si>
  <si>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</si>
  <si>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</si>
  <si>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</si>
  <si>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</si>
  <si>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</si>
  <si>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</si>
  <si>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</si>
  <si>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</si>
  <si>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</si>
  <si>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</si>
  <si>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</si>
  <si>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</si>
  <si>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</si>
  <si>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</si>
  <si>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</si>
  <si>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</si>
  <si>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</si>
  <si>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</si>
  <si>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</si>
  <si>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</si>
  <si>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</si>
  <si>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</si>
  <si>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</si>
  <si>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</si>
  <si>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</si>
  <si>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</si>
  <si>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</si>
  <si>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</si>
  <si>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</si>
  <si>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</si>
  <si>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</si>
  <si>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</si>
  <si>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</si>
  <si>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</si>
  <si>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</si>
  <si>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</si>
  <si>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</si>
  <si>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</si>
  <si>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</si>
  <si>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</si>
  <si>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</si>
  <si>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</si>
  <si>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</si>
  <si>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</si>
  <si>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</si>
  <si>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</si>
  <si>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</si>
  <si>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</si>
  <si>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</si>
  <si>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</si>
  <si>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</si>
  <si>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</si>
  <si>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</si>
  <si>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</si>
  <si>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</si>
  <si>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</si>
  <si>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</si>
  <si>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</si>
  <si>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</si>
  <si>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</si>
  <si>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</si>
  <si>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</si>
  <si>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</si>
  <si>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</si>
  <si>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</si>
  <si>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</si>
  <si>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</si>
  <si>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</si>
  <si>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</si>
  <si>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</si>
  <si>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</si>
  <si>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</si>
  <si>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</si>
  <si>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</si>
  <si>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</si>
  <si>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</si>
  <si>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</si>
  <si>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</si>
  <si>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</si>
  <si>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</si>
  <si>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</si>
  <si>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</si>
  <si>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</si>
  <si>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</si>
  <si>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</si>
  <si>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</si>
  <si>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</si>
  <si>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</si>
  <si>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</si>
  <si>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</si>
  <si>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</si>
  <si>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</si>
  <si>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</si>
  <si>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</si>
  <si>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</si>
  <si>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</si>
  <si>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</si>
  <si>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</si>
  <si>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</si>
  <si>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</si>
  <si>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</si>
  <si>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</si>
  <si>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</si>
  <si>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</si>
  <si>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</si>
  <si>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</si>
  <si>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</si>
  <si>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</si>
  <si>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</si>
  <si>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</si>
  <si>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</si>
  <si>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</si>
  <si>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</si>
  <si>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</si>
  <si>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</si>
  <si>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</si>
  <si>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</si>
  <si>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</si>
  <si>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</si>
  <si>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</si>
  <si>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</si>
  <si>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</si>
  <si>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</si>
  <si>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</si>
  <si>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</si>
  <si>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</si>
  <si>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</si>
  <si>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</si>
  <si>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</si>
  <si>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</si>
  <si>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</si>
  <si>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</si>
  <si>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</si>
  <si>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</si>
  <si>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</si>
  <si>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</si>
  <si>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</si>
  <si>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</si>
  <si>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</si>
  <si>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</si>
  <si>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</si>
  <si>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</si>
  <si>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</si>
  <si>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</si>
  <si>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</si>
  <si>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</si>
  <si>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</si>
  <si>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</si>
  <si>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</si>
  <si>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</si>
  <si>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</si>
  <si>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</si>
  <si>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</si>
  <si>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</si>
  <si>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</si>
  <si>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</si>
  <si>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</si>
  <si>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</si>
  <si>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</si>
  <si>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</si>
  <si>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</si>
  <si>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</si>
  <si>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</si>
  <si>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</si>
  <si>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</si>
  <si>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</si>
  <si>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</si>
  <si>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</si>
  <si>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</si>
  <si>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</si>
  <si>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</si>
  <si>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</si>
  <si>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</si>
  <si>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</si>
  <si>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</si>
  <si>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</si>
  <si>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</si>
  <si>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</si>
  <si>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</si>
  <si>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</si>
  <si>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</si>
  <si>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</si>
  <si>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</si>
  <si>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</si>
  <si>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</si>
  <si>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</si>
  <si>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</si>
  <si>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</si>
  <si>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</si>
  <si>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</si>
  <si>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</si>
  <si>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</si>
  <si>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</si>
  <si>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</si>
  <si>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</si>
  <si>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</si>
  <si>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</si>
  <si>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</si>
  <si>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</si>
  <si>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</si>
  <si>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</si>
  <si>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</si>
  <si>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</si>
  <si>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</si>
  <si>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</si>
  <si>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</si>
  <si>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</si>
  <si>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</si>
  <si>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</si>
  <si>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</si>
  <si>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</si>
  <si>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</si>
  <si>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</si>
  <si>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</si>
  <si>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</si>
  <si>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</si>
  <si>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</si>
  <si>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</si>
  <si>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</si>
  <si>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</si>
  <si>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</si>
  <si>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</si>
  <si>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</si>
  <si>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</si>
  <si>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</si>
  <si>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</si>
  <si>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</si>
  <si>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</si>
  <si>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</si>
  <si>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</si>
  <si>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</si>
  <si>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</si>
  <si>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</si>
  <si>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</si>
  <si>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</si>
  <si>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</si>
  <si>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</si>
  <si>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</si>
  <si>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</si>
  <si>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</si>
  <si>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</si>
  <si>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</si>
  <si>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</si>
  <si>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</si>
  <si>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</si>
  <si>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</si>
  <si>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</si>
  <si>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</si>
  <si>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</si>
  <si>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</si>
  <si>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</si>
  <si>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</si>
  <si>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</si>
  <si>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</si>
  <si>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</si>
  <si>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</si>
  <si>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</si>
  <si>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</si>
  <si>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</si>
  <si>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</si>
  <si>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</si>
  <si>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</si>
  <si>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</si>
  <si>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</si>
  <si>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</si>
  <si>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</si>
  <si>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</si>
  <si>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</si>
  <si>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</si>
  <si>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</si>
  <si>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</si>
  <si>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</si>
  <si>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</si>
  <si>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</si>
  <si>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</si>
  <si>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</si>
  <si>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</si>
  <si>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</si>
  <si>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</si>
  <si>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</si>
  <si>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</si>
  <si>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</si>
  <si>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</si>
  <si>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</si>
  <si>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</si>
  <si>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</si>
  <si>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</si>
  <si>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</si>
  <si>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</si>
  <si>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</si>
  <si>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</si>
  <si>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</si>
  <si>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</si>
  <si>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</si>
  <si>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</si>
  <si>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</si>
  <si>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</si>
  <si>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</si>
  <si>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</si>
  <si>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</si>
  <si>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</si>
  <si>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</si>
  <si>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</si>
  <si>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</si>
  <si>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</si>
  <si>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</si>
  <si>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</si>
  <si>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</si>
  <si>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</si>
  <si>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</si>
  <si>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</si>
  <si>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</si>
  <si>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</si>
  <si>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</si>
  <si>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</si>
  <si>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</si>
  <si>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</si>
  <si>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</si>
  <si>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</si>
  <si>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</si>
  <si>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</si>
  <si>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</si>
  <si>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</si>
  <si>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</si>
  <si>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</si>
  <si>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</si>
  <si>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</si>
  <si>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</si>
  <si>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</si>
  <si>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</si>
  <si>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</si>
  <si>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</si>
  <si>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</si>
  <si>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</si>
  <si>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</si>
  <si>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</si>
  <si>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</si>
  <si>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</si>
  <si>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</si>
  <si>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</si>
  <si>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</si>
  <si>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</si>
  <si>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</si>
  <si>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</si>
  <si>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</si>
  <si>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</si>
  <si>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</si>
  <si>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</si>
  <si>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</si>
  <si>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</si>
  <si>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</si>
  <si>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</si>
  <si>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</si>
  <si>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</si>
  <si>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</si>
  <si>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</si>
  <si>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</si>
  <si>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</si>
  <si>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</si>
  <si>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</si>
  <si>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</si>
  <si>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</si>
  <si>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</si>
  <si>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</si>
  <si>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</si>
  <si>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</si>
  <si>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</si>
  <si>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</si>
  <si>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</si>
  <si>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</si>
  <si>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</si>
  <si>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</si>
  <si>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</si>
  <si>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</si>
  <si>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</si>
  <si>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</si>
  <si>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</si>
  <si>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</si>
  <si>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</si>
  <si>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</si>
  <si>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</si>
  <si>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</si>
  <si>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</si>
  <si>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</si>
  <si>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</si>
  <si>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</si>
  <si>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</si>
  <si>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</si>
  <si>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</si>
  <si>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</si>
  <si>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</si>
  <si>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</si>
  <si>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</si>
  <si>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</si>
  <si>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</si>
  <si>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</si>
  <si>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</si>
  <si>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</si>
  <si>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</si>
  <si>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</si>
  <si>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</si>
  <si>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</si>
  <si>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</si>
  <si>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</si>
  <si>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</si>
  <si>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</si>
  <si>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</si>
  <si>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</si>
  <si>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</si>
  <si>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</si>
  <si>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</si>
  <si>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</si>
  <si>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</si>
  <si>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</si>
  <si>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</si>
  <si>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</si>
  <si>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</si>
  <si>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</si>
  <si>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</si>
  <si>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</si>
  <si>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</si>
  <si>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</si>
  <si>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</si>
  <si>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</si>
  <si>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</si>
  <si>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</si>
  <si>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</si>
  <si>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</si>
  <si>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</si>
  <si>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</si>
  <si>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</si>
  <si>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</si>
  <si>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</si>
  <si>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</si>
  <si>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</si>
  <si>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</si>
  <si>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</si>
  <si>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</si>
  <si>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</si>
  <si>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</si>
  <si>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</si>
  <si>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</si>
  <si>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</si>
  <si>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</si>
  <si>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</si>
  <si>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</si>
  <si>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</si>
  <si>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</si>
  <si>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</si>
  <si>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</si>
  <si>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</si>
  <si>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</si>
  <si>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</si>
  <si>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</si>
  <si>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</si>
  <si>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</si>
  <si>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</si>
  <si>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</si>
  <si>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</si>
  <si>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</si>
  <si>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</si>
  <si>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</si>
  <si>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</si>
  <si>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</si>
  <si>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</si>
  <si>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</si>
  <si>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</si>
  <si>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</si>
  <si>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</si>
  <si>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</si>
  <si>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</si>
  <si>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</si>
  <si>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</si>
  <si>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</si>
  <si>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</si>
  <si>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</si>
  <si>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</si>
  <si>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</si>
  <si>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</si>
  <si>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</si>
  <si>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</si>
  <si>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</si>
  <si>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</si>
  <si>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</si>
  <si>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</si>
  <si>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</si>
  <si>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</si>
  <si>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</si>
  <si>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</si>
  <si>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</si>
  <si>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</si>
  <si>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</si>
  <si>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</si>
  <si>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</si>
  <si>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</si>
  <si>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</si>
  <si>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</si>
  <si>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</si>
  <si>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</si>
  <si>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</si>
  <si>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</si>
  <si>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</si>
  <si>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</si>
  <si>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</si>
  <si>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</si>
  <si>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</si>
  <si>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</si>
  <si>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</si>
  <si>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</si>
  <si>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</si>
  <si>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</si>
  <si>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</si>
  <si>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</si>
  <si>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</si>
  <si>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KONSTANTINOS KRANIOTIS</t>
  </si>
  <si>
    <t>ISKREN IVANOV</t>
  </si>
  <si>
    <t>MONIKA NEDYALKOVA</t>
  </si>
  <si>
    <t>EVGENIA MALLOUCHOU</t>
  </si>
  <si>
    <t>VASILEIOS KARAGKIOULES</t>
  </si>
  <si>
    <t>KONSTANTINOS KROUPIS</t>
  </si>
  <si>
    <t>C:\Users\pablo.campoy\EUROLEAGUE\EB STATS - General\SEASON 2025-26\Reports\Euroleague\Reports fets</t>
  </si>
  <si>
    <t>C:\Users\pablo.campoy\EUROLEAGUE\EB STATS - 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</si>
</sst>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25" activePane="bottomRight" state="frozen"/>
      <selection pane="topRight" activeCell="H1" sqref="H1"/>
      <selection pane="bottomLeft" activeCell="A17" sqref="A17"/>
      <selection pane="bottomRight" activeCell="K12" sqref="K1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14_133_HTA_ASV_E2025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45995.878472222219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67" t="s">
        <v>749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"E2025133"</v>
      </c>
      <c r="F3" s="45" t="str">
        <f t="shared" ref="F3:F16" si="0">""""&amp;B3&amp;"""" &amp; " : " &amp;C3&amp;","</f>
        <v>"name" : "E2025133",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"E133"</v>
      </c>
      <c r="F4" s="45" t="str">
        <f t="shared" si="0"/>
        <v>"cod" : "E133",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133</v>
      </c>
      <c r="F6" s="45" t="str">
        <f t="shared" si="0"/>
        <v>"number" : 133,</v>
      </c>
    </row>
    <row r="7" spans="2:6" x14ac:dyDescent="0.25">
      <c r="B7" s="43" t="s">
        <v>116</v>
      </c>
      <c r="C7" s="43" t="str">
        <f ca="1">""""&amp;TEXT('SCOUT &amp; LOGISTICS'!B3,"dd/mm/aaaa")&amp;""""</f>
        <v>"04/12/2025"</v>
      </c>
      <c r="F7" s="45" t="str">
        <f t="shared" ca="1" si="0"/>
        <v>"date" : "04/12/2025",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"MONIKA NEDYALKOVA"</v>
      </c>
      <c r="F12" s="45" t="str">
        <f t="shared" si="0"/>
        <v>"Caller_2" : "MONIKA NEDYALKOVA",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KROUPIS"</v>
      </c>
      <c r="F15" s="45" t="str">
        <f t="shared" si="0"/>
        <v>"IRS" : "KONSTANTINOS KROUPIS",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14_133_HTA_ASV_E2025</v>
      </c>
      <c r="F52" s="45" t="str">
        <f>""""&amp;B52&amp;"""" &amp; " : " &amp;C52</f>
        <v>"result" : 14_133_HTA_ASV_E2025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E133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ISKREN IVANOV</v>
      </c>
      <c r="H8" s="206"/>
      <c r="I8" s="206"/>
      <c r="J8" s="206"/>
      <c r="K8" s="206"/>
      <c r="L8" s="206" t="str">
        <f>IF('SCOUT &amp; LOGISTICS'!D8="","",'SCOUT &amp; LOGISTICS'!D8)</f>
        <v>MONIKA NEDYALKOVA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KONSTANTINOS KROUPIS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A77B2E-6D24-4B3D-8B6D-B3BECBC1B9F3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2025-10-09T17:11:09Z</cp:lastPrinted>
  <dcterms:created xsi:type="dcterms:W3CDTF">2023-09-19T19:50:35Z</dcterms:created>
  <dcterms:modified xsi:type="dcterms:W3CDTF">2025-12-04T17:15:27Z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