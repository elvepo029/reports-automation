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1" documentId="8_{028A2493-687F-4891-A35C-EB9B04824EAE}" xr6:coauthVersionLast="47" xr6:coauthVersionMax="47" xr10:uidLastSave="{AD528124-14AB-4472-90D8-40704D6B473F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<sst xmlns="http://schemas.openxmlformats.org/spreadsheetml/2006/main" count="3372" uniqueCount="840">
  <si>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</si>
  <si>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</si>
  <si>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</si>
  <si>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</si>
  <si>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</si>
  <si>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</si>
  <si>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</si>
  <si>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</si>
  <si>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</si>
  <si>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</si>
  <si>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</si>
  <si>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</si>
  <si>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</si>
  <si>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</si>
  <si>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</si>
  <si>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</si>
  <si>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</si>
  <si>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</si>
  <si>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</si>
  <si>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</si>
  <si>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</si>
  <si>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</si>
  <si>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</si>
  <si>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</si>
  <si>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</si>
  <si>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</si>
  <si>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</si>
  <si>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</si>
  <si>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</si>
  <si>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</si>
  <si>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</si>
  <si>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</si>
  <si>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</si>
  <si>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</si>
  <si>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</si>
  <si>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</si>
  <si>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</si>
  <si>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</si>
  <si>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</si>
  <si>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</si>
  <si>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</si>
  <si>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</si>
  <si>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</si>
  <si>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</si>
  <si>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</si>
  <si>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</si>
  <si>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</si>
  <si>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</si>
  <si>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</si>
  <si>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</si>
  <si>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</si>
  <si>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</si>
  <si>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</si>
  <si>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</si>
  <si>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</si>
  <si>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</si>
  <si>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</si>
  <si>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</si>
  <si>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</si>
  <si>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</si>
  <si>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</si>
  <si>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</si>
  <si>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</si>
  <si>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</si>
  <si>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</si>
  <si>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</si>
  <si>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</si>
  <si>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</si>
  <si>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</si>
  <si>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</si>
  <si>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</si>
  <si>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</si>
  <si>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</si>
  <si>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</si>
  <si>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</si>
  <si>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</si>
  <si>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</si>
  <si>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</si>
  <si>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</si>
  <si>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</si>
  <si>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</si>
  <si>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</si>
  <si>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</si>
  <si>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</si>
  <si>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</si>
  <si>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</si>
  <si>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</si>
  <si>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</si>
  <si>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</si>
  <si>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</si>
  <si>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</si>
  <si>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</si>
  <si>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</si>
  <si>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</si>
  <si>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</si>
  <si>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</si>
  <si>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</si>
  <si>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</si>
  <si>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</si>
  <si>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</si>
  <si>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</si>
  <si>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</si>
  <si>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</si>
  <si>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</si>
  <si>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</si>
  <si>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</si>
  <si>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</si>
  <si>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</si>
  <si>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</si>
  <si>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</si>
  <si>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</si>
  <si>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</si>
  <si>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</si>
  <si>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</si>
  <si>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</si>
  <si>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</si>
  <si>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</si>
  <si>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</si>
  <si>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</si>
  <si>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</si>
  <si>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</si>
  <si>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</si>
  <si>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</si>
  <si>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</si>
  <si>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</si>
  <si>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</si>
  <si>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</si>
  <si>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</si>
  <si>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</si>
  <si>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</si>
  <si>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</si>
  <si>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</si>
  <si>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</si>
  <si>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</si>
  <si>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</si>
  <si>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</si>
  <si>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</si>
  <si>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</si>
  <si>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</si>
  <si>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</si>
  <si>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</si>
  <si>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</si>
  <si>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</si>
  <si>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</si>
  <si>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</si>
  <si>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</si>
  <si>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</si>
  <si>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</si>
  <si>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</si>
  <si>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</si>
  <si>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</si>
  <si>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</si>
  <si>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</si>
  <si>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</si>
  <si>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</si>
  <si>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</si>
  <si>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</si>
  <si>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</si>
  <si>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</si>
  <si>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</si>
  <si>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</si>
  <si>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</si>
  <si>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</si>
  <si>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</si>
  <si>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</si>
  <si>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</si>
  <si>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</si>
  <si>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</si>
  <si>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</si>
  <si>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</si>
  <si>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</si>
  <si>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</si>
  <si>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</si>
  <si>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</si>
  <si>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</si>
  <si>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</si>
  <si>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</si>
  <si>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</si>
  <si>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</si>
  <si>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</si>
  <si>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</si>
  <si>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</si>
  <si>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</si>
  <si>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</si>
  <si>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</si>
  <si>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</si>
  <si>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</si>
  <si>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</si>
  <si>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</si>
  <si>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</si>
  <si>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</si>
  <si>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</si>
  <si>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</si>
  <si>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</si>
  <si>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</si>
  <si>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</si>
  <si>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</si>
  <si>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</si>
  <si>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</si>
  <si>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</si>
  <si>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</si>
  <si>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</si>
  <si>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</si>
  <si>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</si>
  <si>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</si>
  <si>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</si>
  <si>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</si>
  <si>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</si>
  <si>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</si>
  <si>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</si>
  <si>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</si>
  <si>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</si>
  <si>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</si>
  <si>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</si>
  <si>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</si>
  <si>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</si>
  <si>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</si>
  <si>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</si>
  <si>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</si>
  <si>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</si>
  <si>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</si>
  <si>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</si>
  <si>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</si>
  <si>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</si>
  <si>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</si>
  <si>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</si>
  <si>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</si>
  <si>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</si>
  <si>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</si>
  <si>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</si>
  <si>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</si>
  <si>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</si>
  <si>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</si>
  <si>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</si>
  <si>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</si>
  <si>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</si>
  <si>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</si>
  <si>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</si>
  <si>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</si>
  <si>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</si>
  <si>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</si>
  <si>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</si>
  <si>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</si>
  <si>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</si>
  <si>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</si>
  <si>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</si>
  <si>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</si>
  <si>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</si>
  <si>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</si>
  <si>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</si>
  <si>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</si>
  <si>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</si>
  <si>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</si>
  <si>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</si>
  <si>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</si>
  <si>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</si>
  <si>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</si>
  <si>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</si>
  <si>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</si>
  <si>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</si>
  <si>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</si>
  <si>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</si>
  <si>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</si>
  <si>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</si>
  <si>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</si>
  <si>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</si>
  <si>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</si>
  <si>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</si>
  <si>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</si>
  <si>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</si>
  <si>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</si>
  <si>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</si>
  <si>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</si>
  <si>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</si>
  <si>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</si>
  <si>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</si>
  <si>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</si>
  <si>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</si>
  <si>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</si>
  <si>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</si>
  <si>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</si>
  <si>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</si>
  <si>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</si>
  <si>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</si>
  <si>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</si>
  <si>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</si>
  <si>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</si>
  <si>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</si>
  <si>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</si>
  <si>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</si>
  <si>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</si>
  <si>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</si>
  <si>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</si>
  <si>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</si>
  <si>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</si>
  <si>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</si>
  <si>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</si>
  <si>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</si>
  <si>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</si>
  <si>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</si>
  <si>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</si>
  <si>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</si>
  <si>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</si>
  <si>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</si>
  <si>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</si>
  <si>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</si>
  <si>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</si>
  <si>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</si>
  <si>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</si>
  <si>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</si>
  <si>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</si>
  <si>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</si>
  <si>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</si>
  <si>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</si>
  <si>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</si>
  <si>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</si>
  <si>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</si>
  <si>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</si>
  <si>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</si>
  <si>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</si>
  <si>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</si>
  <si>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</si>
  <si>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</si>
  <si>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</si>
  <si>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</si>
  <si>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</si>
  <si>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</si>
  <si>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</si>
  <si>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</si>
  <si>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</si>
  <si>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</si>
  <si>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</si>
  <si>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</si>
  <si>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</si>
  <si>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</si>
  <si>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</si>
  <si>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</si>
  <si>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</si>
  <si>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</si>
  <si>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</si>
  <si>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</si>
  <si>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</si>
  <si>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</si>
  <si>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</si>
  <si>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</si>
  <si>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</si>
  <si>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</si>
  <si>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</si>
  <si>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</si>
  <si>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</si>
  <si>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</si>
  <si>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</si>
  <si>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</si>
  <si>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</si>
  <si>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</si>
  <si>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</si>
  <si>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</si>
  <si>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</si>
  <si>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</si>
  <si>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</si>
  <si>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</si>
  <si>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</si>
  <si>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</si>
  <si>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</si>
  <si>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</si>
  <si>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</si>
  <si>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</si>
  <si>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</si>
  <si>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</si>
  <si>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</si>
  <si>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</si>
  <si>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</si>
  <si>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</si>
  <si>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</si>
  <si>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</si>
  <si>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</si>
  <si>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</si>
  <si>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</si>
  <si>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</si>
  <si>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</si>
  <si>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</si>
  <si>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</si>
  <si>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</si>
  <si>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</si>
  <si>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</si>
  <si>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</si>
  <si>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</si>
  <si>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</si>
  <si>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</si>
  <si>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</si>
  <si>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</si>
  <si>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</si>
  <si>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</si>
  <si>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</si>
  <si>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</si>
  <si>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</si>
  <si>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</si>
  <si>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</si>
  <si>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</si>
  <si>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</si>
  <si>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</si>
  <si>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</si>
  <si>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</si>
  <si>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</si>
  <si>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</si>
  <si>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</si>
  <si>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</si>
  <si>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</si>
  <si>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</si>
  <si>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</si>
  <si>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</si>
  <si>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</si>
  <si>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</si>
  <si>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</si>
  <si>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</si>
  <si>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</si>
  <si>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</si>
  <si>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</si>
  <si>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</si>
  <si>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</si>
  <si>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</si>
  <si>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</si>
  <si>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</si>
  <si>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</si>
  <si>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</si>
  <si>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</si>
  <si>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</si>
  <si>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</si>
  <si>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</si>
  <si>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</si>
  <si>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</si>
  <si>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</si>
  <si>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</si>
  <si>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</si>
  <si>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</si>
  <si>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</si>
  <si>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</si>
  <si>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</si>
  <si>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</si>
  <si>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</si>
  <si>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</si>
  <si>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</si>
  <si>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</si>
  <si>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</si>
  <si>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</si>
  <si>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</si>
  <si>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</si>
  <si>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</si>
  <si>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</si>
  <si>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</si>
  <si>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</si>
  <si>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</si>
  <si>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</si>
  <si>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</si>
  <si>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</si>
  <si>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</si>
  <si>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</si>
  <si>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</si>
  <si>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</si>
  <si>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</si>
  <si>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</si>
  <si>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</si>
  <si>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</si>
  <si>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</si>
  <si>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</si>
  <si>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</si>
  <si>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</si>
  <si>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</si>
  <si>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</si>
  <si>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</si>
  <si>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</si>
  <si>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</si>
  <si>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</si>
  <si>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</si>
  <si>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</si>
  <si>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</si>
  <si>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</si>
  <si>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</si>
  <si>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</si>
  <si>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</si>
  <si>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</si>
  <si>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</si>
  <si>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</si>
  <si>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</si>
  <si>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</si>
  <si>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</si>
  <si>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</si>
  <si>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</si>
  <si>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</si>
  <si>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</si>
  <si>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</si>
  <si>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</si>
  <si>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</si>
  <si>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</si>
  <si>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</si>
  <si>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</si>
  <si>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</si>
  <si>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</si>
  <si>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</si>
  <si>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</si>
  <si>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</si>
  <si>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</si>
  <si>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</si>
  <si>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</si>
  <si>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</si>
  <si>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</si>
  <si>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</si>
  <si>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</si>
  <si>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</si>
  <si>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</si>
  <si>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</si>
  <si>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</si>
  <si>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</si>
  <si>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</si>
  <si>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</si>
  <si>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</si>
  <si>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</si>
  <si>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</si>
  <si>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</si>
  <si>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</si>
  <si>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</si>
  <si>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</si>
  <si>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</si>
  <si>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</si>
  <si>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</si>
  <si>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</si>
  <si>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</si>
  <si>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</si>
  <si>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</si>
  <si>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</si>
  <si>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</si>
  <si>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</si>
  <si>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</si>
  <si>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</si>
  <si>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</si>
  <si>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</si>
  <si>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</si>
  <si>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</si>
  <si>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</si>
  <si>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</si>
  <si>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</si>
  <si>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</si>
  <si>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</si>
  <si>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</si>
  <si>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</si>
  <si>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</si>
  <si>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</si>
  <si>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</si>
  <si>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</si>
  <si>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</si>
  <si>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</si>
  <si>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</si>
  <si>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</si>
  <si>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</si>
  <si>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</si>
  <si>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</si>
  <si>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</si>
  <si>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</si>
  <si>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</si>
  <si>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</si>
  <si>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</si>
  <si>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</si>
  <si>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</si>
  <si>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</si>
  <si>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</si>
  <si>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</si>
  <si>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</si>
  <si>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</si>
  <si>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</si>
  <si>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</si>
  <si>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</si>
  <si>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</si>
  <si>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</si>
  <si>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</si>
  <si>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</si>
  <si>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</si>
  <si>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</si>
  <si>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</si>
  <si>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</si>
  <si>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</si>
  <si>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</si>
  <si>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</si>
  <si>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</si>
  <si>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</si>
  <si>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</si>
  <si>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</si>
  <si>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</si>
  <si>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</si>
  <si>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</si>
  <si>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</si>
  <si>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</si>
  <si>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</si>
  <si>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</si>
  <si>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</si>
  <si>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</si>
  <si>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</si>
  <si>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</si>
  <si>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</si>
  <si>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</si>
  <si>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</si>
  <si>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</si>
  <si>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</si>
  <si>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</si>
  <si>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</si>
  <si>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</si>
  <si>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</si>
  <si>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</si>
  <si>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</si>
  <si>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</si>
  <si>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</si>
  <si>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</si>
  <si>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</si>
  <si>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</si>
  <si>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</si>
  <si>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</si>
  <si>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</si>
  <si>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</si>
  <si>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</si>
  <si>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</si>
  <si>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</si>
  <si>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</si>
  <si>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</si>
  <si>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</si>
  <si>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</si>
  <si>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</si>
  <si>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</si>
  <si>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</si>
  <si>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</si>
  <si>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</si>
  <si>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</si>
  <si>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</si>
  <si>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</si>
  <si>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</si>
  <si>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</si>
  <si>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</si>
  <si>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</si>
  <si>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</si>
  <si>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</si>
  <si>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</si>
  <si>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</si>
  <si>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</si>
  <si>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</si>
  <si>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</si>
  <si>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</si>
  <si>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</si>
  <si>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</si>
  <si>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</si>
  <si>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</si>
  <si>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</si>
  <si>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</si>
  <si>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</si>
  <si>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</si>
  <si>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</si>
  <si>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</si>
  <si>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</si>
  <si>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</si>
  <si>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</si>
  <si>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</si>
  <si>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</si>
  <si>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</si>
  <si>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</si>
  <si>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</si>
  <si>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</si>
  <si>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</si>
  <si>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</si>
  <si>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</si>
  <si>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</si>
  <si>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</si>
  <si>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</si>
  <si>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</si>
  <si>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</si>
  <si>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</si>
  <si>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</si>
  <si>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</si>
  <si>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</si>
  <si>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</si>
  <si>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</si>
  <si>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</si>
  <si>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</si>
  <si>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</si>
  <si>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</si>
  <si>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</si>
  <si>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</si>
  <si>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</si>
  <si>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</si>
  <si>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</si>
  <si>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</si>
  <si>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</si>
  <si>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</si>
  <si>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</si>
  <si>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</si>
  <si>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</si>
  <si>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</si>
  <si>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</si>
  <si>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</si>
  <si>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</si>
  <si>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</si>
  <si>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</si>
  <si>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</si>
  <si>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</si>
  <si>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</si>
  <si>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</si>
  <si>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</si>
  <si>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</si>
  <si>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</si>
  <si>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</si>
  <si>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</si>
  <si>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</si>
  <si>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</si>
  <si>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</si>
  <si>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</si>
  <si>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</si>
  <si>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</si>
  <si>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</si>
  <si>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</si>
  <si>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</si>
  <si>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</si>
  <si>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</si>
  <si>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</si>
  <si>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</si>
  <si>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</si>
  <si>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</si>
  <si>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</si>
  <si>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</si>
  <si>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</si>
  <si>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</si>
  <si>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</si>
  <si>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</si>
  <si>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</si>
  <si>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</si>
  <si>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</si>
  <si>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</si>
  <si>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</si>
  <si>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</si>
  <si>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</si>
  <si>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</si>
  <si>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</si>
  <si>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</si>
  <si>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</si>
  <si>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</si>
  <si>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</si>
  <si>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</si>
  <si>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</si>
  <si>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</si>
  <si>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</si>
  <si>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</si>
  <si>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</si>
  <si>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</si>
  <si>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</si>
  <si>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</si>
  <si>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</si>
  <si>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</si>
  <si>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</si>
  <si>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</si>
  <si>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</si>
  <si>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</si>
  <si>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</si>
  <si>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</si>
  <si>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</si>
  <si>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</si>
  <si>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</si>
  <si>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</si>
  <si>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</si>
  <si>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</si>
  <si>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</si>
  <si>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</si>
  <si>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</si>
  <si>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</si>
  <si>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</si>
  <si>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</si>
  <si>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</si>
  <si>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</si>
  <si>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</si>
  <si>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</si>
  <si>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</si>
  <si>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</si>
  <si>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</si>
  <si>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</si>
  <si>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</si>
  <si>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</si>
  <si>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</si>
  <si>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</si>
  <si>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</si>
  <si>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</si>
  <si>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</si>
  <si>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</si>
  <si>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</si>
  <si>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</si>
  <si>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</si>
  <si>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</si>
  <si>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</si>
  <si>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</si>
  <si>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</si>
  <si>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</si>
  <si>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</si>
  <si>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</si>
  <si>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</si>
  <si>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</si>
  <si>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</si>
  <si>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</si>
  <si>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</si>
  <si>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</si>
  <si>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</si>
  <si>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</si>
  <si>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</si>
  <si>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</si>
  <si>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</si>
  <si>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</si>
  <si>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</si>
  <si>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</si>
  <si>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</si>
  <si>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</si>
  <si>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</si>
  <si>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</si>
  <si>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</si>
  <si>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</si>
  <si>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</si>
  <si>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</si>
  <si>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</si>
  <si>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</si>
  <si>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</si>
  <si>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</si>
  <si>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</si>
  <si>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</si>
  <si>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</si>
  <si>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04:48</t>
  </si>
  <si>
    <t>08:06</t>
  </si>
  <si>
    <t>08:10</t>
  </si>
  <si>
    <t>01:26</t>
  </si>
  <si>
    <t>07:13</t>
  </si>
  <si>
    <t>06:41</t>
  </si>
  <si>
    <t>04:09</t>
  </si>
  <si>
    <t>C:\Users\eloi.verge\OneDrive - EUROLEAGUE\Desktop\GAME REPORTS\25-26</t>
  </si>
  <si>
    <t>KONSTANTINOS KRANIOTIS</t>
  </si>
  <si>
    <t>ELISAVET SAMARA</t>
  </si>
  <si>
    <t>VASILEIOS VOTSARIS</t>
  </si>
  <si>
    <t>CHRYSOULA PROESTOU</t>
  </si>
  <si>
    <t>RAMPANTI IAKOVOS</t>
  </si>
  <si>
    <t>ELOI VERGE</t>
  </si>
  <si>
    <t xml:space="preserve">Weird performance. First of all because I know you can perform much better than this and then, because the corrections were very concentrated in short periods of tiime: 7 corrections between the 2nd and 4th quarter and just 1 correction between 1st and 3rd quarter. Keep it up! I know your usual results are as the ones in 1st and 3rd quarter.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</si>
</sst>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9" sqref="N2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14_135_ARI_JER_U2025</v>
      </c>
      <c r="G1" s="5"/>
      <c r="H1" s="5"/>
      <c r="I1" s="5"/>
      <c r="J1" s="8" t="s">
        <v>707</v>
      </c>
      <c r="K1" s="121" t="s">
        <v>832</v>
      </c>
      <c r="L1" s="121"/>
      <c r="M1" s="122" t="s">
        <v>239</v>
      </c>
      <c r="N1" s="121" t="s">
        <v>832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46036.833333333336</v>
      </c>
      <c r="C3" s="157"/>
      <c r="D3" s="39">
        <v>627</v>
      </c>
      <c r="E3" s="29"/>
      <c r="F3" s="26">
        <f>SUBTOTAL(3,I17:I106)</f>
        <v>8</v>
      </c>
      <c r="G3" s="27">
        <f>IF(OR(D3="",D3=0),"",F3/D3)</f>
        <v>1.2759170653907496E-2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Aris Thessaloniki Betsson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742</v>
      </c>
      <c r="L4" s="5"/>
      <c r="M4" s="167" t="s">
        <v>839</v>
      </c>
      <c r="N4" s="168"/>
      <c r="O4" s="2"/>
      <c r="P4" s="2"/>
      <c r="Q4" s="84" t="s">
        <v>175</v>
      </c>
      <c r="R4" s="94">
        <f>(IF(G3="",0,G3))</f>
        <v>1.2759170653907496E-2</v>
      </c>
      <c r="S4" s="61">
        <f>SUM(I13:M13)</f>
        <v>0</v>
      </c>
      <c r="T4" s="78"/>
      <c r="U4" s="61">
        <f>AC18</f>
        <v>2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Bank Yahav Jerusalem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1.2759170653907497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833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834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27.27591706539075</v>
      </c>
      <c r="N7" s="58"/>
      <c r="O7" s="2"/>
      <c r="P7" s="2"/>
      <c r="Q7" s="86">
        <f>SUM(R5,S5,AC16)</f>
        <v>27.27591706539075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835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7.2759170653907494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26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135</v>
      </c>
      <c r="D17" s="32" t="s">
        <v>825</v>
      </c>
      <c r="E17" s="33">
        <v>4</v>
      </c>
      <c r="F17" s="36">
        <v>60</v>
      </c>
      <c r="G17" s="36">
        <v>89</v>
      </c>
      <c r="H17" s="38" t="str">
        <f>IF(I17="","",$I$14)</f>
        <v>SCOUTING</v>
      </c>
      <c r="I17" s="34">
        <v>563</v>
      </c>
      <c r="J17" s="13" t="s">
        <v>4</v>
      </c>
      <c r="K17" s="13" t="s">
        <v>63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135</v>
      </c>
      <c r="D18" s="32" t="s">
        <v>826</v>
      </c>
      <c r="E18" s="33">
        <v>4</v>
      </c>
      <c r="F18" s="36">
        <v>55</v>
      </c>
      <c r="G18" s="36">
        <v>75</v>
      </c>
      <c r="H18" s="38" t="str">
        <f t="shared" ref="H18:H81" si="8">IF(I18="","",$I$14)</f>
        <v>SCOUTING</v>
      </c>
      <c r="I18" s="34">
        <v>506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135</v>
      </c>
      <c r="D19" s="32" t="s">
        <v>827</v>
      </c>
      <c r="E19" s="33">
        <v>2</v>
      </c>
      <c r="F19" s="36">
        <v>16</v>
      </c>
      <c r="G19" s="36">
        <v>29</v>
      </c>
      <c r="H19" s="38" t="str">
        <f t="shared" si="8"/>
        <v>SCOUTING</v>
      </c>
      <c r="I19" s="34">
        <v>169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135</v>
      </c>
      <c r="D20" s="32" t="s">
        <v>828</v>
      </c>
      <c r="E20" s="33">
        <v>2</v>
      </c>
      <c r="F20" s="36">
        <v>37</v>
      </c>
      <c r="G20" s="36">
        <v>45</v>
      </c>
      <c r="H20" s="38" t="str">
        <f t="shared" si="8"/>
        <v>SCOUTING</v>
      </c>
      <c r="I20" s="34">
        <v>284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135</v>
      </c>
      <c r="D21" s="32" t="s">
        <v>829</v>
      </c>
      <c r="E21" s="33">
        <v>2</v>
      </c>
      <c r="F21" s="36">
        <v>18</v>
      </c>
      <c r="G21" s="36">
        <v>31</v>
      </c>
      <c r="H21" s="38" t="str">
        <f t="shared" si="8"/>
        <v>SCOUTING</v>
      </c>
      <c r="I21" s="34">
        <v>189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135</v>
      </c>
      <c r="D22" s="32" t="s">
        <v>830</v>
      </c>
      <c r="E22" s="33">
        <v>2</v>
      </c>
      <c r="F22" s="36">
        <v>18</v>
      </c>
      <c r="G22" s="36">
        <v>31</v>
      </c>
      <c r="H22" s="38" t="str">
        <f t="shared" si="8"/>
        <v>SCOUTING</v>
      </c>
      <c r="I22" s="34">
        <v>193</v>
      </c>
      <c r="J22" s="13" t="s">
        <v>4</v>
      </c>
      <c r="K22" s="13" t="s">
        <v>63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135</v>
      </c>
      <c r="D23" s="32" t="s">
        <v>828</v>
      </c>
      <c r="E23" s="33">
        <v>1</v>
      </c>
      <c r="F23" s="36">
        <v>14</v>
      </c>
      <c r="G23" s="36">
        <v>25</v>
      </c>
      <c r="H23" s="38" t="str">
        <f t="shared" si="8"/>
        <v>SCOUTING</v>
      </c>
      <c r="I23" s="34">
        <v>112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135</v>
      </c>
      <c r="D24" s="32" t="s">
        <v>831</v>
      </c>
      <c r="E24" s="33">
        <v>4</v>
      </c>
      <c r="F24" s="36">
        <v>63</v>
      </c>
      <c r="G24" s="36">
        <v>92</v>
      </c>
      <c r="H24" s="38" t="str">
        <f t="shared" si="8"/>
        <v>SCOUTING</v>
      </c>
      <c r="I24" s="34">
        <v>576</v>
      </c>
      <c r="J24" s="13" t="s">
        <v>3</v>
      </c>
      <c r="K24" s="13" t="s">
        <v>63</v>
      </c>
      <c r="L24" s="13" t="s">
        <v>77</v>
      </c>
      <c r="M24" s="13" t="s">
        <v>39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"U2025135"</v>
      </c>
      <c r="F3" s="45" t="str">
        <f t="shared" ref="F3:F16" si="0">""""&amp;B3&amp;"""" &amp; " : " &amp;C3&amp;","</f>
        <v>"name" : "U2025135",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"U135"</v>
      </c>
      <c r="F4" s="45" t="str">
        <f t="shared" si="0"/>
        <v>"cod" : "U135",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135</v>
      </c>
      <c r="F6" s="45" t="str">
        <f t="shared" si="0"/>
        <v>"number" : 135,</v>
      </c>
    </row>
    <row r="7" spans="2:6" x14ac:dyDescent="0.25">
      <c r="B7" s="43" t="s">
        <v>116</v>
      </c>
      <c r="C7" s="43" t="str">
        <f ca="1">""""&amp;TEXT('SCOUT &amp; LOGISTICS'!B3,"dd/mm/aaaa")&amp;""""</f>
        <v>"14/01/2026"</v>
      </c>
      <c r="F7" s="45" t="str">
        <f t="shared" ca="1" si="0"/>
        <v>"date" : "14/01/2026",</v>
      </c>
    </row>
    <row r="8" spans="2:6" x14ac:dyDescent="0.25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"CHRYSOULA PROESTOU"</v>
      </c>
      <c r="F13" s="45" t="str">
        <f t="shared" si="0"/>
        <v>"Timerkeeper" : "CHRYSOULA PROESTOU",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"RAMPANTI IAKOVOS"</v>
      </c>
      <c r="F14" s="45" t="str">
        <f t="shared" si="0"/>
        <v>"Shotclock" : "RAMPANTI IAKOVOS",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627</v>
      </c>
      <c r="F25" s="45" t="str">
        <f t="shared" ref="F25:F48" si="1">""""&amp;C25&amp;"""" &amp; " : " &amp;D25&amp;","</f>
        <v>"total_actions" : 627,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"1,3%"</v>
      </c>
      <c r="F27" s="45" t="str">
        <f t="shared" si="1"/>
        <v>"%_corrections" : "1,3%",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"Weird performance. First of all because I know you can perform much better than this and then, because the corrections were very concentrated in short periods of tiime: 7 corrections between the 2nd and 4th quarter and just 1 correction between 1st and 3rd quarter. Keep it up! I know your usual results are as the ones in 1st and 3rd quarter. "</v>
      </c>
      <c r="F51" s="45" t="str">
        <f>""""&amp;B51&amp;"""" &amp; " : " &amp;C51&amp;","</f>
        <v>"comments" : "Weird performance. First of all because I know you can perform much better than this and then, because the corrections were very concentrated in short periods of tiime: 7 corrections between the 2nd and 4th quarter and just 1 correction between 1st and 3rd quarter. Keep it up! I know your usual results are as the ones in 1st and 3rd quarter. ",</v>
      </c>
    </row>
    <row r="52" spans="2:6" x14ac:dyDescent="0.25">
      <c r="B52" s="43" t="s">
        <v>153</v>
      </c>
      <c r="C52" s="43" t="str">
        <f>TEXT('SCOUT &amp; LOGISTICS'!F1,"0,0")</f>
        <v>14_135_ARI_JER_U2025</v>
      </c>
      <c r="F52" s="45" t="str">
        <f>""""&amp;B52&amp;"""" &amp; " : " &amp;C52</f>
        <v>"result" : 14_135_ARI_JER_U2025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U135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Aris Thessaloniki Betsson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Bank Yahav Jerusalem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ELISAVET SAMARA</v>
      </c>
      <c r="H8" s="206"/>
      <c r="I8" s="206"/>
      <c r="J8" s="206"/>
      <c r="K8" s="206"/>
      <c r="L8" s="206" t="str">
        <f>IF('SCOUT &amp; LOGISTICS'!D8="","",'SCOUT &amp; LOGISTICS'!D8)</f>
        <v>VASILEIOS VOTSARIS</v>
      </c>
      <c r="M8" s="206"/>
      <c r="N8" s="206"/>
      <c r="O8" s="206"/>
      <c r="P8" s="206"/>
      <c r="Q8" s="206" t="str">
        <f>IF('SCOUT &amp; LOGISTICS'!D9="","",'SCOUT &amp; LOGISTICS'!D9)</f>
        <v>CHRYSOULA PROESTOU</v>
      </c>
      <c r="R8" s="206"/>
      <c r="S8" s="206"/>
      <c r="T8" s="206"/>
      <c r="U8" s="206"/>
      <c r="V8" s="206" t="str">
        <f>IF('SCOUT &amp; LOGISTICS'!D10="","",'SCOUT &amp; LOGISTICS'!D10)</f>
        <v>RAMPANTI IAKOVOS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1.2759170653907496E-2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1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 xml:space="preserve">Weird performance. First of all because I know you can perform much better than this and then, because the corrections were very concentrated in short periods of tiime: 7 corrections between the 2nd and 4th quarter and just 1 correction between 1st and 3rd quarter. Keep it up! I know your usual results are as the ones in 1st and 3rd quarter.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27.27591706539075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EB87D3-7F78-4EF4-9CA2-D1593047D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2026-01-07T21:10:43Z</cp:lastPrinted>
  <dcterms:created xsi:type="dcterms:W3CDTF">2023-09-19T19:50:35Z</dcterms:created>
  <dcterms:modified xsi:type="dcterms:W3CDTF">2026-01-15T15:31:50Z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