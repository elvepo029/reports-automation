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96F6D2E8-EAF6-4D4F-8DB7-75C82942F6F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Sheet1" sheetId="7" state="hidden" r:id="rId2"/>
    <sheet name="Teams" sheetId="5" state="hidden" r:id="rId3"/>
    <sheet name="GAMES" sheetId="6" state="hidden" r:id="rId4"/>
    <sheet name="json" sheetId="4" state="hidden" r:id="rId5"/>
    <sheet name="Report" sheetId="2" state="hidden" r:id="rId6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<sst xmlns="http://schemas.openxmlformats.org/spreadsheetml/2006/main" count="3245" uniqueCount="758">
  <si>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</si>
  <si>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</si>
  <si>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</si>
  <si>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</si>
  <si>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</si>
  <si>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</si>
  <si>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</si>
  <si>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</si>
  <si>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</si>
  <si>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</si>
  <si>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</si>
  <si>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</si>
  <si>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</si>
  <si>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</si>
  <si>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</si>
  <si>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</si>
  <si>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</si>
  <si>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</si>
  <si>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</si>
  <si>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</si>
  <si>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</si>
  <si>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</si>
  <si>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</si>
  <si>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</si>
  <si>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</si>
  <si>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</si>
  <si>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</si>
  <si>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</si>
  <si>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</si>
  <si>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</si>
  <si>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</si>
  <si>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</si>
  <si>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</si>
  <si>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</si>
  <si>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</si>
  <si>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</si>
  <si>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</si>
  <si>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</si>
  <si>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</si>
  <si>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</si>
  <si>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</si>
  <si>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</si>
  <si>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</si>
  <si>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</si>
  <si>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</si>
  <si>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</si>
  <si>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</si>
  <si>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</si>
  <si>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</si>
  <si>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</si>
  <si>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</si>
  <si>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</si>
  <si>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</si>
  <si>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</si>
  <si>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</si>
  <si>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</si>
  <si>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</si>
  <si>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</si>
  <si>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</si>
  <si>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</si>
  <si>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</si>
  <si>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</si>
  <si>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</si>
  <si>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</si>
  <si>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</si>
  <si>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</si>
  <si>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</si>
  <si>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</si>
  <si>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</si>
  <si>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</si>
  <si>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</si>
  <si>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</si>
  <si>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</si>
  <si>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</si>
  <si>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</si>
  <si>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</si>
  <si>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</si>
  <si>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</si>
  <si>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</si>
  <si>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</si>
  <si>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</si>
  <si>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</si>
  <si>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</si>
  <si>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</si>
  <si>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</si>
  <si>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</si>
  <si>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</si>
  <si>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</si>
  <si>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</si>
  <si>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</si>
  <si>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</si>
  <si>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</si>
  <si>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</si>
  <si>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</si>
  <si>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</si>
  <si>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</si>
  <si>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</si>
  <si>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</si>
  <si>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</si>
  <si>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</si>
  <si>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</si>
  <si>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</si>
  <si>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</si>
  <si>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</si>
  <si>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</si>
  <si>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</si>
  <si>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</si>
  <si>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</si>
  <si>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</si>
  <si>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</si>
  <si>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</si>
  <si>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</si>
  <si>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</si>
  <si>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</si>
  <si>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</si>
  <si>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</si>
  <si>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</si>
  <si>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</si>
  <si>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</si>
  <si>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</si>
  <si>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</si>
  <si>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</si>
  <si>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</si>
  <si>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</si>
  <si>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</si>
  <si>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</si>
  <si>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</si>
  <si>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</si>
  <si>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</si>
  <si>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</si>
  <si>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</si>
  <si>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</si>
  <si>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</si>
  <si>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</si>
  <si>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</si>
  <si>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</si>
  <si>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</si>
  <si>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</si>
  <si>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</si>
  <si>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</si>
  <si>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</si>
  <si>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</si>
  <si>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</si>
  <si>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</si>
  <si>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</si>
  <si>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</si>
  <si>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</si>
  <si>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</si>
  <si>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</si>
  <si>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</si>
  <si>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</si>
  <si>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</si>
  <si>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</si>
  <si>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</si>
  <si>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</si>
  <si>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</si>
  <si>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</si>
  <si>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</si>
  <si>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</si>
  <si>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</si>
  <si>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</si>
  <si>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</si>
  <si>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</si>
  <si>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</si>
  <si>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</si>
  <si>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</si>
  <si>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</si>
  <si>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</si>
  <si>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</si>
  <si>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</si>
  <si>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</si>
  <si>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</si>
  <si>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</si>
  <si>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</si>
  <si>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</si>
  <si>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</si>
  <si>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</si>
  <si>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</si>
  <si>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</si>
  <si>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</si>
  <si>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</si>
  <si>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</si>
  <si>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</si>
  <si>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</si>
  <si>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</si>
  <si>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</si>
  <si>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</si>
  <si>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</si>
  <si>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</si>
  <si>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</si>
  <si>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</si>
  <si>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</si>
  <si>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</si>
  <si>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</si>
  <si>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</si>
  <si>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</si>
  <si>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</si>
  <si>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</si>
  <si>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</si>
  <si>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</si>
  <si>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</si>
  <si>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</si>
  <si>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</si>
  <si>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</si>
  <si>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</si>
  <si>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</si>
  <si>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</si>
  <si>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</si>
  <si>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</si>
  <si>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</si>
  <si>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</si>
  <si>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</si>
  <si>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</si>
  <si>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</si>
  <si>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</si>
  <si>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</si>
  <si>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</si>
  <si>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</si>
  <si>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</si>
  <si>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</si>
  <si>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</si>
  <si>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</si>
  <si>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</si>
  <si>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</si>
  <si>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</si>
  <si>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</si>
  <si>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</si>
  <si>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</si>
  <si>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</si>
  <si>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</si>
  <si>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</si>
  <si>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</si>
  <si>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</si>
  <si>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</si>
  <si>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</si>
  <si>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</si>
  <si>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</si>
  <si>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</si>
  <si>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</si>
  <si>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</si>
  <si>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</si>
  <si>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</si>
  <si>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</si>
  <si>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</si>
  <si>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</si>
  <si>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</si>
  <si>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</si>
  <si>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</si>
  <si>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</si>
  <si>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</si>
  <si>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</si>
  <si>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</si>
  <si>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</si>
  <si>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</si>
  <si>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</si>
  <si>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</si>
  <si>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</si>
  <si>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</si>
  <si>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</si>
  <si>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</si>
  <si>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</si>
  <si>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</si>
  <si>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</si>
  <si>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</si>
  <si>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</si>
  <si>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</si>
  <si>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</si>
  <si>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</si>
  <si>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</si>
  <si>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</si>
  <si>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</si>
  <si>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</si>
  <si>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</si>
  <si>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</si>
  <si>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</si>
  <si>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</si>
  <si>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</si>
  <si>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</si>
  <si>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</si>
  <si>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</si>
  <si>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</si>
  <si>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</si>
  <si>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</si>
  <si>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</si>
  <si>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</si>
  <si>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</si>
  <si>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</si>
  <si>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</si>
  <si>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</si>
  <si>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</si>
  <si>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</si>
  <si>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</si>
  <si>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</si>
  <si>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</si>
  <si>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</si>
  <si>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</si>
  <si>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</si>
  <si>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</si>
  <si>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</si>
  <si>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</si>
  <si>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</si>
  <si>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</si>
  <si>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</si>
  <si>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</si>
  <si>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</si>
  <si>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</si>
  <si>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</si>
  <si>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</si>
  <si>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</si>
  <si>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</si>
  <si>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</si>
  <si>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</si>
  <si>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</si>
  <si>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</si>
  <si>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</si>
  <si>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</si>
  <si>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</si>
  <si>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</si>
  <si>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</si>
  <si>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</si>
  <si>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</si>
  <si>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</si>
  <si>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</si>
  <si>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</si>
  <si>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</si>
  <si>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</si>
  <si>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</si>
  <si>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</si>
  <si>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</si>
  <si>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</si>
  <si>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</si>
  <si>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</si>
  <si>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</si>
  <si>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</si>
  <si>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</si>
  <si>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</si>
  <si>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</si>
  <si>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</si>
  <si>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</si>
  <si>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</si>
  <si>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</si>
  <si>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</si>
  <si>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</si>
  <si>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</si>
  <si>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</si>
  <si>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</si>
  <si>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</si>
  <si>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</si>
  <si>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</si>
  <si>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</si>
  <si>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</si>
  <si>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</si>
  <si>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</si>
  <si>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</si>
  <si>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</si>
  <si>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</si>
  <si>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</si>
  <si>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</si>
  <si>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</si>
  <si>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</si>
  <si>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</si>
  <si>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</si>
  <si>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</si>
  <si>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</si>
  <si>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</si>
  <si>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</si>
  <si>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</si>
  <si>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</si>
  <si>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</si>
  <si>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</si>
  <si>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</si>
  <si>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</si>
  <si>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</si>
  <si>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</si>
  <si>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</si>
  <si>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</si>
  <si>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</si>
  <si>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</si>
  <si>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</si>
  <si>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</si>
  <si>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</si>
  <si>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</si>
  <si>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</si>
  <si>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</si>
  <si>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</si>
  <si>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</si>
  <si>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</si>
  <si>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</si>
  <si>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</si>
  <si>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</si>
  <si>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</si>
  <si>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</si>
  <si>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</si>
  <si>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</si>
  <si>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</si>
  <si>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</si>
  <si>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</si>
  <si>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</si>
  <si>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</si>
  <si>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</si>
  <si>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</si>
  <si>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</si>
  <si>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</si>
  <si>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</si>
  <si>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</si>
  <si>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</si>
  <si>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</si>
  <si>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</si>
  <si>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</si>
  <si>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</si>
  <si>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</si>
  <si>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</si>
  <si>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</si>
  <si>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</si>
  <si>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</si>
  <si>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</si>
  <si>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</si>
  <si>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</si>
  <si>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</si>
  <si>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</si>
  <si>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</si>
  <si>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</si>
  <si>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</si>
  <si>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</si>
  <si>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</si>
  <si>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</si>
  <si>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</si>
  <si>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</si>
  <si>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</si>
  <si>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</si>
  <si>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</si>
  <si>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</si>
  <si>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</si>
  <si>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</si>
  <si>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</si>
  <si>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</si>
  <si>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</si>
  <si>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</si>
  <si>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</si>
  <si>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</si>
  <si>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</si>
  <si>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</si>
  <si>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</si>
  <si>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</si>
  <si>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</si>
  <si>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</si>
  <si>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</si>
  <si>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</si>
  <si>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</si>
  <si>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</si>
  <si>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</si>
  <si>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</si>
  <si>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</si>
  <si>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</si>
  <si>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</si>
  <si>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</si>
  <si>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</si>
  <si>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</si>
  <si>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</si>
  <si>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</si>
  <si>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</si>
  <si>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</si>
  <si>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</si>
  <si>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</si>
  <si>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</si>
  <si>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</si>
  <si>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</si>
  <si>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</si>
  <si>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</si>
  <si>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</si>
  <si>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</si>
  <si>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</si>
  <si>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</si>
  <si>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</si>
  <si>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</si>
  <si>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</si>
  <si>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</si>
  <si>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</si>
  <si>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</si>
  <si>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</si>
  <si>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</si>
  <si>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</si>
  <si>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</si>
  <si>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</si>
  <si>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</si>
  <si>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</si>
  <si>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</si>
  <si>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</si>
  <si>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</si>
  <si>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</si>
  <si>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</si>
  <si>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</si>
  <si>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</si>
  <si>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</si>
  <si>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</si>
  <si>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</si>
  <si>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</si>
  <si>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</si>
  <si>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</si>
  <si>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</si>
  <si>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</si>
  <si>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</si>
  <si>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</si>
  <si>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</si>
  <si>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</si>
  <si>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</si>
  <si>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</si>
  <si>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</si>
  <si>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</si>
  <si>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</si>
  <si>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</si>
  <si>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</si>
  <si>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</si>
  <si>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</si>
  <si>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</si>
  <si>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</si>
  <si>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</si>
  <si>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</si>
  <si>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</si>
  <si>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</si>
  <si>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</si>
  <si>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</si>
  <si>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</si>
  <si>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</si>
  <si>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</si>
  <si>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</si>
  <si>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</si>
  <si>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</si>
  <si>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</si>
  <si>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</si>
  <si>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</si>
  <si>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</si>
  <si>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</si>
  <si>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</si>
  <si>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</si>
  <si>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</si>
  <si>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</si>
  <si>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</si>
  <si>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</si>
  <si>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</si>
  <si>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</si>
  <si>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</si>
  <si>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</si>
  <si>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</si>
  <si>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</si>
  <si>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</si>
  <si>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</si>
  <si>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</si>
  <si>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</si>
  <si>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</si>
  <si>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</si>
  <si>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</si>
  <si>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</si>
  <si>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</si>
  <si>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</si>
  <si>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</si>
  <si>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</si>
  <si>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</si>
  <si>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</si>
  <si>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</si>
  <si>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</si>
  <si>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</si>
  <si>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</si>
  <si>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</si>
  <si>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</si>
  <si>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</si>
  <si>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</si>
  <si>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</si>
  <si>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</si>
  <si>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</si>
  <si>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</si>
  <si>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</si>
  <si>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</si>
  <si>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</si>
  <si>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</si>
  <si>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</si>
  <si>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</si>
  <si>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</si>
  <si>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</si>
  <si>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</si>
  <si>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</si>
  <si>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</si>
  <si>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</si>
  <si>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</si>
  <si>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</si>
  <si>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</si>
  <si>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</si>
  <si>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</si>
  <si>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</si>
  <si>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</si>
  <si>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</si>
  <si>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</si>
  <si>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</si>
  <si>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</si>
  <si>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</si>
  <si>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</si>
  <si>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</si>
  <si>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</si>
  <si>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</si>
  <si>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</si>
  <si>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</si>
  <si>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</si>
  <si>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</si>
  <si>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</si>
  <si>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</si>
  <si>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</si>
  <si>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</si>
  <si>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</si>
  <si>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</si>
  <si>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</si>
  <si>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</si>
  <si>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</si>
  <si>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</si>
  <si>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</si>
  <si>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</si>
  <si>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</si>
  <si>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</si>
  <si>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</si>
  <si>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</si>
  <si>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</si>
  <si>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</si>
  <si>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</si>
  <si>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</si>
  <si>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</si>
  <si>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</si>
  <si>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</si>
  <si>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</si>
  <si>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</si>
  <si>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</si>
  <si>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</si>
  <si>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</si>
  <si>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</si>
  <si>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</si>
  <si>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</si>
  <si>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</si>
  <si>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</si>
  <si>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</si>
  <si>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</si>
  <si>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</si>
  <si>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</si>
  <si>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</si>
  <si>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</si>
  <si>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</si>
  <si>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</si>
  <si>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</si>
  <si>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</si>
  <si>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</si>
  <si>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</si>
  <si>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</si>
  <si>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</si>
  <si>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</si>
  <si>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</si>
  <si>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</si>
  <si>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</si>
  <si>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</si>
  <si>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</si>
  <si>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</si>
  <si>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</si>
  <si>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</si>
  <si>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</si>
  <si>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</si>
  <si>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</si>
  <si>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</si>
  <si>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</si>
  <si>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</si>
  <si>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</si>
  <si>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</si>
  <si>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</si>
  <si>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</si>
  <si>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</si>
  <si>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</si>
  <si>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</si>
  <si>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</si>
  <si>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</si>
  <si>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</si>
  <si>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</si>
  <si>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</si>
  <si>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</si>
  <si>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</si>
  <si>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</si>
  <si>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</si>
  <si>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</si>
  <si>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</si>
  <si>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</si>
  <si>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</si>
  <si>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</si>
  <si>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</si>
  <si>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</si>
  <si>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</si>
  <si>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</si>
  <si>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</si>
  <si>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</si>
  <si>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</si>
  <si>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</si>
  <si>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</si>
  <si>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</si>
  <si>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</si>
  <si>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</si>
  <si>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</si>
  <si>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</si>
  <si>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</si>
  <si>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</si>
  <si>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</si>
  <si>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</si>
  <si>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</si>
  <si>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</si>
  <si>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</si>
  <si>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</si>
  <si>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</si>
  <si>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</si>
  <si>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</si>
  <si>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</si>
  <si>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</si>
  <si>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</si>
  <si>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</si>
  <si>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</si>
  <si>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</si>
  <si>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</si>
  <si>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</si>
  <si>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</si>
  <si>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</si>
  <si>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</si>
  <si>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</si>
  <si>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</si>
  <si>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</si>
  <si>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</si>
  <si>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</si>
  <si>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</si>
  <si>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</si>
  <si>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</si>
  <si>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</si>
  <si>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</si>
  <si>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</si>
  <si>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</si>
  <si>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</si>
  <si>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</si>
  <si>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</si>
  <si>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</si>
  <si>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</si>
  <si>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</si>
  <si>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</si>
  <si>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</si>
  <si>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</si>
  <si>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</si>
  <si>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</si>
  <si>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</si>
  <si>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</si>
  <si>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</si>
  <si>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</si>
  <si>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</si>
  <si>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</si>
  <si>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GIEDRE GARZINSKAITE</t>
  </si>
  <si>
    <t>DARIUS GARCINSKAS</t>
  </si>
  <si>
    <t>AUKSE ZAKRIENE</t>
  </si>
  <si>
    <t>VYTAUTAS RUDZEVICIUS</t>
  </si>
  <si>
    <t>MINDAUGAS RUDZEVICIUS</t>
  </si>
  <si>
    <t>NERIJUS MAIONIS</t>
  </si>
  <si>
    <t>Very good job! Very fluid communication, notifying of every edit or change.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</si>
</sst>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I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14_135_ZAL_TEL_E2025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135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45995.833333333336</v>
      </c>
      <c r="C3" s="157"/>
      <c r="D3" s="39">
        <v>698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7D8BE-831E-4FDE-BE0B-60BB523026E6}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REPORT_E2025135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"E2025135"</v>
      </c>
      <c r="F3" s="45" t="str">
        <f t="shared" ref="F3:F16" si="0">""""&amp;B3&amp;"""" &amp; " : " &amp;C3&amp;","</f>
        <v>"name" : "E2025135",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"E135"</v>
      </c>
      <c r="F4" s="45" t="str">
        <f t="shared" si="0"/>
        <v>"cod" : "E135",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135</v>
      </c>
      <c r="F6" s="45" t="str">
        <f t="shared" si="0"/>
        <v>"number" : 135,</v>
      </c>
    </row>
    <row r="7" spans="2:6" x14ac:dyDescent="0.2">
      <c r="B7" s="43" t="s">
        <v>116</v>
      </c>
      <c r="C7" s="43" t="str">
        <f ca="1">""""&amp;TEXT('SCOUT &amp; LOGISTICS'!B3,"dd/mm/aaaa")&amp;""""</f>
        <v>"04/12/Thursday"</v>
      </c>
      <c r="F7" s="45" t="str">
        <f t="shared" ca="1" si="0"/>
        <v>"date" : "04/12/Thursday",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"GIEDRE GARZINSKAITE"</v>
      </c>
      <c r="F10" s="45" t="str">
        <f t="shared" si="0"/>
        <v>"Data_entry" : "GIEDRE GARZINSKAITE",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"DARIUS GARCINSKAS"</v>
      </c>
      <c r="F11" s="45" t="str">
        <f t="shared" si="0"/>
        <v>"Caller_1" : "DARIUS GARCINSKAS",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"NERIJUS MAIONIS"</v>
      </c>
      <c r="F15" s="45" t="str">
        <f t="shared" si="0"/>
        <v>"IRS" : "NERIJUS MAIONIS",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698</v>
      </c>
      <c r="F25" s="45" t="str">
        <f t="shared" ref="F25:F48" si="1">""""&amp;C25&amp;"""" &amp; " : " &amp;D25&amp;","</f>
        <v>"total_actions" : 698,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 Very fluid communication, notifying of every edit or change."</v>
      </c>
      <c r="F51" s="45" t="str">
        <f>""""&amp;B51&amp;"""" &amp; " : " &amp;C51&amp;","</f>
        <v>"comments" : "Very good job! Very fluid communication, notifying of every edit or change.",</v>
      </c>
    </row>
    <row r="52" spans="2:6" x14ac:dyDescent="0.2">
      <c r="B52" s="43" t="s">
        <v>153</v>
      </c>
      <c r="C52" s="43" t="str">
        <f>TEXT('SCOUT &amp; LOGISTICS'!F1,"0,0")</f>
        <v>14_135_ZAL_TEL_E2025</v>
      </c>
      <c r="F52" s="45" t="str">
        <f>""""&amp;B52&amp;"""" &amp; " : " &amp;C52</f>
        <v>"result" : 14_135_ZAL_TEL_E2025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E135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04/12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GIEDRE GARZINSKAITE</v>
      </c>
      <c r="C8" s="206"/>
      <c r="D8" s="206"/>
      <c r="E8" s="206"/>
      <c r="F8" s="206"/>
      <c r="G8" s="206" t="str">
        <f>IF('SCOUT &amp; LOGISTICS'!D7="","",'SCOUT &amp; LOGISTICS'!D7)</f>
        <v>DARIUS GARCINSKAS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VYTAUTAS RUDZEVICIUS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MAIONIS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698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Very good job! Very fluid communication, notifying of every edit or change.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B36F359-7DFB-437C-ACB8-E20BFA90C507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SCOUT &amp; LOGISTICS</vt:lpstr>
      <vt:lpstr>Sheet1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2025-12-14T20:59:14Z</cp:lastPrinted>
  <dcterms:created xsi:type="dcterms:W3CDTF">2023-09-19T19:50:35Z</dcterms:created>
  <dcterms:modified xsi:type="dcterms:W3CDTF">2025-12-14T20:59:23Z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