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5" documentId="8_{24F271E2-6F8A-4BD7-BF4F-6FD486610095}" xr6:coauthVersionLast="47" xr6:coauthVersionMax="47" xr10:uidLastSave="{5CEA0955-0CBB-4224-BA7D-B4FF678AA58C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<sst xmlns="http://schemas.openxmlformats.org/spreadsheetml/2006/main" count="3265" uniqueCount="761">
  <si>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</si>
  <si>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</si>
  <si>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</si>
  <si>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</si>
  <si>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</si>
  <si>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</si>
  <si>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</si>
  <si>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</si>
  <si>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</si>
  <si>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</si>
  <si>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</si>
  <si>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</si>
  <si>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</si>
  <si>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</si>
  <si>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</si>
  <si>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</si>
  <si>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</si>
  <si>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</si>
  <si>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</si>
  <si>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</si>
  <si>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</si>
  <si>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</si>
  <si>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</si>
  <si>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</si>
  <si>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</si>
  <si>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</si>
  <si>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</si>
  <si>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</si>
  <si>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</si>
  <si>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</si>
  <si>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</si>
  <si>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</si>
  <si>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</si>
  <si>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</si>
  <si>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</si>
  <si>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</si>
  <si>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</si>
  <si>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</si>
  <si>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</si>
  <si>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</si>
  <si>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</si>
  <si>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</si>
  <si>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</si>
  <si>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</si>
  <si>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</si>
  <si>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</si>
  <si>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</si>
  <si>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</si>
  <si>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</si>
  <si>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</si>
  <si>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</si>
  <si>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</si>
  <si>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</si>
  <si>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</si>
  <si>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</si>
  <si>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</si>
  <si>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</si>
  <si>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</si>
  <si>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</si>
  <si>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</si>
  <si>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</si>
  <si>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</si>
  <si>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</si>
  <si>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</si>
  <si>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</si>
  <si>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</si>
  <si>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</si>
  <si>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</si>
  <si>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</si>
  <si>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</si>
  <si>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</si>
  <si>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</si>
  <si>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</si>
  <si>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</si>
  <si>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</si>
  <si>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</si>
  <si>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</si>
  <si>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</si>
  <si>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</si>
  <si>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</si>
  <si>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</si>
  <si>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</si>
  <si>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</si>
  <si>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</si>
  <si>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</si>
  <si>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</si>
  <si>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</si>
  <si>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</si>
  <si>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</si>
  <si>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</si>
  <si>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</si>
  <si>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</si>
  <si>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</si>
  <si>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</si>
  <si>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</si>
  <si>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</si>
  <si>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</si>
  <si>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</si>
  <si>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</si>
  <si>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</si>
  <si>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</si>
  <si>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</si>
  <si>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</si>
  <si>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</si>
  <si>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</si>
  <si>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</si>
  <si>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</si>
  <si>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</si>
  <si>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</si>
  <si>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</si>
  <si>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</si>
  <si>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</si>
  <si>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</si>
  <si>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</si>
  <si>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</si>
  <si>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</si>
  <si>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</si>
  <si>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</si>
  <si>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</si>
  <si>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</si>
  <si>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</si>
  <si>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</si>
  <si>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</si>
  <si>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</si>
  <si>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</si>
  <si>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</si>
  <si>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</si>
  <si>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</si>
  <si>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</si>
  <si>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</si>
  <si>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</si>
  <si>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</si>
  <si>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</si>
  <si>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</si>
  <si>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</si>
  <si>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</si>
  <si>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</si>
  <si>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</si>
  <si>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</si>
  <si>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</si>
  <si>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</si>
  <si>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</si>
  <si>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</si>
  <si>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</si>
  <si>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</si>
  <si>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</si>
  <si>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</si>
  <si>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</si>
  <si>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</si>
  <si>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</si>
  <si>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</si>
  <si>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</si>
  <si>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</si>
  <si>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</si>
  <si>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</si>
  <si>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</si>
  <si>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</si>
  <si>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</si>
  <si>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</si>
  <si>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</si>
  <si>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</si>
  <si>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</si>
  <si>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</si>
  <si>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</si>
  <si>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</si>
  <si>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</si>
  <si>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</si>
  <si>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</si>
  <si>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</si>
  <si>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</si>
  <si>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</si>
  <si>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</si>
  <si>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</si>
  <si>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</si>
  <si>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</si>
  <si>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</si>
  <si>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</si>
  <si>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</si>
  <si>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</si>
  <si>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</si>
  <si>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</si>
  <si>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</si>
  <si>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</si>
  <si>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</si>
  <si>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</si>
  <si>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</si>
  <si>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</si>
  <si>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</si>
  <si>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</si>
  <si>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</si>
  <si>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</si>
  <si>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</si>
  <si>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</si>
  <si>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</si>
  <si>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</si>
  <si>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</si>
  <si>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</si>
  <si>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</si>
  <si>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</si>
  <si>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</si>
  <si>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</si>
  <si>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</si>
  <si>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</si>
  <si>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</si>
  <si>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</si>
  <si>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</si>
  <si>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</si>
  <si>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</si>
  <si>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</si>
  <si>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</si>
  <si>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</si>
  <si>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</si>
  <si>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</si>
  <si>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</si>
  <si>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</si>
  <si>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</si>
  <si>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</si>
  <si>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</si>
  <si>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</si>
  <si>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</si>
  <si>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</si>
  <si>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</si>
  <si>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</si>
  <si>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</si>
  <si>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</si>
  <si>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</si>
  <si>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</si>
  <si>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</si>
  <si>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</si>
  <si>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</si>
  <si>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</si>
  <si>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</si>
  <si>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</si>
  <si>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</si>
  <si>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</si>
  <si>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</si>
  <si>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</si>
  <si>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</si>
  <si>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</si>
  <si>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</si>
  <si>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</si>
  <si>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</si>
  <si>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</si>
  <si>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</si>
  <si>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</si>
  <si>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</si>
  <si>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</si>
  <si>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</si>
  <si>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</si>
  <si>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</si>
  <si>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</si>
  <si>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</si>
  <si>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</si>
  <si>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</si>
  <si>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</si>
  <si>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</si>
  <si>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</si>
  <si>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</si>
  <si>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</si>
  <si>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</si>
  <si>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</si>
  <si>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</si>
  <si>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</si>
  <si>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</si>
  <si>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</si>
  <si>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</si>
  <si>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</si>
  <si>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</si>
  <si>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</si>
  <si>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</si>
  <si>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</si>
  <si>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</si>
  <si>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</si>
  <si>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</si>
  <si>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</si>
  <si>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</si>
  <si>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</si>
  <si>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</si>
  <si>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</si>
  <si>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</si>
  <si>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</si>
  <si>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</si>
  <si>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</si>
  <si>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</si>
  <si>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</si>
  <si>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</si>
  <si>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</si>
  <si>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</si>
  <si>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</si>
  <si>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</si>
  <si>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</si>
  <si>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</si>
  <si>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</si>
  <si>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</si>
  <si>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</si>
  <si>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</si>
  <si>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</si>
  <si>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</si>
  <si>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</si>
  <si>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</si>
  <si>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</si>
  <si>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</si>
  <si>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</si>
  <si>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</si>
  <si>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</si>
  <si>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</si>
  <si>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</si>
  <si>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</si>
  <si>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</si>
  <si>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</si>
  <si>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</si>
  <si>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</si>
  <si>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</si>
  <si>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</si>
  <si>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</si>
  <si>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</si>
  <si>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</si>
  <si>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</si>
  <si>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</si>
  <si>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</si>
  <si>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</si>
  <si>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</si>
  <si>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</si>
  <si>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</si>
  <si>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</si>
  <si>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</si>
  <si>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</si>
  <si>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</si>
  <si>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</si>
  <si>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</si>
  <si>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</si>
  <si>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</si>
  <si>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</si>
  <si>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</si>
  <si>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</si>
  <si>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</si>
  <si>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</si>
  <si>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</si>
  <si>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</si>
  <si>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</si>
  <si>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</si>
  <si>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</si>
  <si>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</si>
  <si>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</si>
  <si>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</si>
  <si>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</si>
  <si>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</si>
  <si>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</si>
  <si>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</si>
  <si>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</si>
  <si>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</si>
  <si>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</si>
  <si>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</si>
  <si>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</si>
  <si>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</si>
  <si>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</si>
  <si>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</si>
  <si>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</si>
  <si>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</si>
  <si>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</si>
  <si>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</si>
  <si>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</si>
  <si>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</si>
  <si>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</si>
  <si>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</si>
  <si>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</si>
  <si>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</si>
  <si>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</si>
  <si>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</si>
  <si>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</si>
  <si>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</si>
  <si>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</si>
  <si>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</si>
  <si>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</si>
  <si>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</si>
  <si>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</si>
  <si>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</si>
  <si>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</si>
  <si>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</si>
  <si>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</si>
  <si>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</si>
  <si>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</si>
  <si>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</si>
  <si>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</si>
  <si>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</si>
  <si>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</si>
  <si>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</si>
  <si>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</si>
  <si>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</si>
  <si>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</si>
  <si>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</si>
  <si>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</si>
  <si>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</si>
  <si>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</si>
  <si>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</si>
  <si>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</si>
  <si>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</si>
  <si>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</si>
  <si>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</si>
  <si>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</si>
  <si>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</si>
  <si>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</si>
  <si>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</si>
  <si>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</si>
  <si>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</si>
  <si>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</si>
  <si>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</si>
  <si>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</si>
  <si>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</si>
  <si>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</si>
  <si>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</si>
  <si>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</si>
  <si>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</si>
  <si>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</si>
  <si>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</si>
  <si>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</si>
  <si>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</si>
  <si>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</si>
  <si>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</si>
  <si>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</si>
  <si>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</si>
  <si>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</si>
  <si>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</si>
  <si>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</si>
  <si>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</si>
  <si>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</si>
  <si>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</si>
  <si>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</si>
  <si>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</si>
  <si>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</si>
  <si>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</si>
  <si>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</si>
  <si>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</si>
  <si>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</si>
  <si>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</si>
  <si>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</si>
  <si>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</si>
  <si>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</si>
  <si>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</si>
  <si>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</si>
  <si>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</si>
  <si>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</si>
  <si>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</si>
  <si>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</si>
  <si>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</si>
  <si>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</si>
  <si>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</si>
  <si>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</si>
  <si>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</si>
  <si>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</si>
  <si>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</si>
  <si>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</si>
  <si>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</si>
  <si>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</si>
  <si>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</si>
  <si>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</si>
  <si>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</si>
  <si>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</si>
  <si>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</si>
  <si>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</si>
  <si>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</si>
  <si>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</si>
  <si>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</si>
  <si>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</si>
  <si>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</si>
  <si>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</si>
  <si>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</si>
  <si>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</si>
  <si>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</si>
  <si>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</si>
  <si>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</si>
  <si>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</si>
  <si>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</si>
  <si>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</si>
  <si>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</si>
  <si>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</si>
  <si>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</si>
  <si>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</si>
  <si>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</si>
  <si>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</si>
  <si>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</si>
  <si>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</si>
  <si>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</si>
  <si>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</si>
  <si>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</si>
  <si>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</si>
  <si>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</si>
  <si>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</si>
  <si>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</si>
  <si>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</si>
  <si>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</si>
  <si>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</si>
  <si>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</si>
  <si>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</si>
  <si>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</si>
  <si>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</si>
  <si>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</si>
  <si>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</si>
  <si>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</si>
  <si>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</si>
  <si>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</si>
  <si>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</si>
  <si>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</si>
  <si>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</si>
  <si>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</si>
  <si>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</si>
  <si>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</si>
  <si>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</si>
  <si>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</si>
  <si>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</si>
  <si>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</si>
  <si>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</si>
  <si>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</si>
  <si>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</si>
  <si>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</si>
  <si>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</si>
  <si>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</si>
  <si>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</si>
  <si>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</si>
  <si>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</si>
  <si>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</si>
  <si>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</si>
  <si>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</si>
  <si>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</si>
  <si>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</si>
  <si>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</si>
  <si>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</si>
  <si>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</si>
  <si>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</si>
  <si>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</si>
  <si>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</si>
  <si>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</si>
  <si>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</si>
  <si>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</si>
  <si>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</si>
  <si>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</si>
  <si>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</si>
  <si>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</si>
  <si>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</si>
  <si>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</si>
  <si>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</si>
  <si>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</si>
  <si>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</si>
  <si>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</si>
  <si>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</si>
  <si>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</si>
  <si>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</si>
  <si>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</si>
  <si>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</si>
  <si>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</si>
  <si>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</si>
  <si>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</si>
  <si>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</si>
  <si>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</si>
  <si>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</si>
  <si>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</si>
  <si>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</si>
  <si>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</si>
  <si>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</si>
  <si>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</si>
  <si>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</si>
  <si>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</si>
  <si>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</si>
  <si>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</si>
  <si>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</si>
  <si>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</si>
  <si>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</si>
  <si>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</si>
  <si>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</si>
  <si>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</si>
  <si>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</si>
  <si>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</si>
  <si>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</si>
  <si>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</si>
  <si>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</si>
  <si>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</si>
  <si>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</si>
  <si>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</si>
  <si>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</si>
  <si>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</si>
  <si>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</si>
  <si>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</si>
  <si>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</si>
  <si>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</si>
  <si>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</si>
  <si>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</si>
  <si>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</si>
  <si>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</si>
  <si>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</si>
  <si>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</si>
  <si>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</si>
  <si>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</si>
  <si>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</si>
  <si>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</si>
  <si>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</si>
  <si>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</si>
  <si>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</si>
  <si>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</si>
  <si>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</si>
  <si>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</si>
  <si>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</si>
  <si>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</si>
  <si>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</si>
  <si>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</si>
  <si>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</si>
  <si>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</si>
  <si>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</si>
  <si>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</si>
  <si>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</si>
  <si>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</si>
  <si>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</si>
  <si>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</si>
  <si>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</si>
  <si>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</si>
  <si>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</si>
  <si>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</si>
  <si>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</si>
  <si>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</si>
  <si>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</si>
  <si>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</si>
  <si>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</si>
  <si>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</si>
  <si>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</si>
  <si>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</si>
  <si>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</si>
  <si>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</si>
  <si>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</si>
  <si>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</si>
  <si>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</si>
  <si>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</si>
  <si>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</si>
  <si>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</si>
  <si>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</si>
  <si>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</si>
  <si>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</si>
  <si>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</si>
  <si>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</si>
  <si>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</si>
  <si>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</si>
  <si>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</si>
  <si>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</si>
  <si>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</si>
  <si>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</si>
  <si>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</si>
  <si>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</si>
  <si>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</si>
  <si>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</si>
  <si>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</si>
  <si>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</si>
  <si>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</si>
  <si>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</si>
  <si>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</si>
  <si>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</si>
  <si>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</si>
  <si>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</si>
  <si>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</si>
  <si>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</si>
  <si>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</si>
  <si>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</si>
  <si>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</si>
  <si>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</si>
  <si>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</si>
  <si>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</si>
  <si>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</si>
  <si>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</si>
  <si>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</si>
  <si>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</si>
  <si>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</si>
  <si>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</si>
  <si>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</si>
  <si>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</si>
  <si>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</si>
  <si>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</si>
  <si>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</si>
  <si>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</si>
  <si>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</si>
  <si>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</si>
  <si>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</si>
  <si>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</si>
  <si>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</si>
  <si>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</si>
  <si>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</si>
  <si>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</si>
  <si>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</si>
  <si>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</si>
  <si>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</si>
  <si>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</si>
  <si>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</si>
  <si>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</si>
  <si>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</si>
  <si>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</si>
  <si>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</si>
  <si>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</si>
  <si>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</si>
  <si>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</si>
  <si>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</si>
  <si>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</si>
  <si>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</si>
  <si>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</si>
  <si>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</si>
  <si>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</si>
  <si>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</si>
  <si>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</si>
  <si>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</si>
  <si>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</si>
  <si>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</si>
  <si>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</si>
  <si>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</si>
  <si>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</si>
  <si>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</si>
  <si>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</si>
  <si>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</si>
  <si>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</si>
  <si>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</si>
  <si>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</si>
  <si>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</si>
  <si>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</si>
  <si>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</si>
  <si>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</si>
  <si>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</si>
  <si>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</si>
  <si>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</si>
  <si>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</si>
  <si>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</si>
  <si>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</si>
  <si>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</si>
  <si>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</si>
  <si>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</si>
  <si>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</si>
  <si>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</si>
  <si>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</si>
  <si>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</si>
  <si>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</si>
  <si>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</si>
  <si>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</si>
  <si>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</si>
  <si>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</si>
  <si>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</si>
  <si>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</si>
  <si>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</si>
  <si>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</si>
  <si>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</si>
  <si>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</si>
  <si>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</si>
  <si>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</si>
  <si>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</si>
  <si>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</si>
  <si>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</si>
  <si>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</si>
  <si>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</si>
  <si>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ENDER OZBEK</t>
  </si>
  <si>
    <t>ORHAN YENIHAYAT</t>
  </si>
  <si>
    <t>KEREM SIRMAGIL</t>
  </si>
  <si>
    <t>DINCER ADILLER</t>
  </si>
  <si>
    <t>XAVI MATEU</t>
  </si>
  <si>
    <t>05:02</t>
  </si>
  <si>
    <t>05:40</t>
  </si>
  <si>
    <t>04:08</t>
  </si>
  <si>
    <t>08:53</t>
  </si>
  <si>
    <t>The work is excellent. However, regarding rebounds, to note a rebound to a player who tips the ball to a teammate, it has to be very clear that he is looking at his teammate and that it is an intentional pass.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</si>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</sst>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14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14_136_IST_MAD_E2025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136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45995.84375</v>
      </c>
      <c r="C3" s="157"/>
      <c r="D3" s="39">
        <v>549</v>
      </c>
      <c r="E3" s="29"/>
      <c r="F3" s="26">
        <f>SUBTOTAL(3,I17:I106)</f>
        <v>4</v>
      </c>
      <c r="G3" s="27">
        <f>IF(OR(D3="",D3=0),"",F3/D3)</f>
        <v>7.2859744990892532E-3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Anadolu Efes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IST</v>
      </c>
      <c r="I4" s="5"/>
      <c r="J4" s="119" t="s">
        <v>714</v>
      </c>
      <c r="K4" s="54" t="s">
        <v>743</v>
      </c>
      <c r="L4" s="5"/>
      <c r="M4" s="167" t="s">
        <v>759</v>
      </c>
      <c r="N4" s="168"/>
      <c r="O4" s="2"/>
      <c r="P4" s="2"/>
      <c r="Q4" s="84" t="s">
        <v>175</v>
      </c>
      <c r="R4" s="94">
        <f>(IF(G3="",0,G3))</f>
        <v>7.2859744990892532E-3</v>
      </c>
      <c r="S4" s="61">
        <f>SUM(I13:M13)</f>
        <v>0</v>
      </c>
      <c r="T4" s="78"/>
      <c r="U4" s="61">
        <f>AC18</f>
        <v>3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Real Madrid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MAD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0.72859744990892528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4.7285974499089249</v>
      </c>
      <c r="N7" s="58"/>
      <c r="O7" s="2"/>
      <c r="P7" s="2"/>
      <c r="Q7" s="86">
        <f>SUM(R5,S5,AC16)</f>
        <v>4.7285974499089249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4.7285974499089249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>
        <f>VLOOKUP($H$4,Teams!$B$3:$O$44,3,FALSE)</f>
        <v>1</v>
      </c>
      <c r="I9" s="130">
        <f>VLOOKUP($H$4,Teams!$B$3:$O$44,3,FALSE)</f>
        <v>1</v>
      </c>
      <c r="J9" s="130">
        <f>VLOOKUP($H$4,Teams!$B$3:$O$44,5,FALSE)</f>
        <v>3</v>
      </c>
      <c r="K9" s="130">
        <f>VLOOKUP($H$4,Teams!$B$3:$O$44,6,FALSE)</f>
        <v>4</v>
      </c>
      <c r="L9" s="130">
        <f>VLOOKUP($H$4,Teams!$B$3:$O$44,7,FALSE)</f>
        <v>5</v>
      </c>
      <c r="M9" s="131">
        <f>VLOOKUP($H$4,Teams!$B$3:$O$44,8,FALSE)</f>
        <v>6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740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136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754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4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136</v>
      </c>
      <c r="D17" s="32" t="s">
        <v>755</v>
      </c>
      <c r="E17" s="33">
        <v>1</v>
      </c>
      <c r="F17" s="36">
        <v>12</v>
      </c>
      <c r="G17" s="36">
        <v>10</v>
      </c>
      <c r="H17" s="38" t="str">
        <f>IF(I17="","",$I$14)</f>
        <v>SCOUTING</v>
      </c>
      <c r="I17" s="34">
        <v>58</v>
      </c>
      <c r="J17" s="13" t="s">
        <v>4</v>
      </c>
      <c r="K17" s="13" t="s">
        <v>63</v>
      </c>
      <c r="L17" s="13" t="s">
        <v>7</v>
      </c>
      <c r="M17" s="13" t="s">
        <v>30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136</v>
      </c>
      <c r="D18" s="32" t="s">
        <v>756</v>
      </c>
      <c r="E18" s="33">
        <v>1</v>
      </c>
      <c r="F18" s="36">
        <v>27</v>
      </c>
      <c r="G18" s="36">
        <v>25</v>
      </c>
      <c r="H18" s="38" t="str">
        <f t="shared" ref="H18:H81" si="8">IF(I18="","",$I$14)</f>
        <v>SCOUTING</v>
      </c>
      <c r="I18" s="34">
        <v>208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136</v>
      </c>
      <c r="D19" s="32" t="s">
        <v>757</v>
      </c>
      <c r="E19" s="33">
        <v>2</v>
      </c>
      <c r="F19" s="36">
        <v>49</v>
      </c>
      <c r="G19" s="36">
        <v>49</v>
      </c>
      <c r="H19" s="38" t="str">
        <f t="shared" si="8"/>
        <v>SCOUTING</v>
      </c>
      <c r="I19" s="34">
        <v>358</v>
      </c>
      <c r="J19" s="13" t="s">
        <v>4</v>
      </c>
      <c r="K19" s="13" t="s">
        <v>63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136</v>
      </c>
      <c r="D20" s="32" t="s">
        <v>758</v>
      </c>
      <c r="E20" s="33">
        <v>3</v>
      </c>
      <c r="F20" s="36">
        <v>61</v>
      </c>
      <c r="G20" s="36">
        <v>63</v>
      </c>
      <c r="H20" s="38" t="str">
        <f t="shared" si="8"/>
        <v>SCOUTING</v>
      </c>
      <c r="I20" s="34">
        <v>429</v>
      </c>
      <c r="J20" s="13" t="s">
        <v>4</v>
      </c>
      <c r="K20" s="13" t="s">
        <v>62</v>
      </c>
      <c r="L20" s="13" t="s">
        <v>5</v>
      </c>
      <c r="M20" s="13" t="s">
        <v>9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1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REPORT_E2025136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"E2025136"</v>
      </c>
      <c r="F3" s="45" t="str">
        <f t="shared" ref="F3:F16" si="0">""""&amp;B3&amp;"""" &amp; " : " &amp;C3&amp;","</f>
        <v>"name" : "E2025136",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"E136"</v>
      </c>
      <c r="F4" s="45" t="str">
        <f t="shared" si="0"/>
        <v>"cod" : "E136",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136</v>
      </c>
      <c r="F6" s="45" t="str">
        <f t="shared" si="0"/>
        <v>"number" : 136,</v>
      </c>
    </row>
    <row r="7" spans="2:6" x14ac:dyDescent="0.25">
      <c r="B7" s="43" t="s">
        <v>116</v>
      </c>
      <c r="C7" s="43" t="str">
        <f ca="1">""""&amp;TEXT('SCOUT &amp; LOGISTICS'!B3,"dd/mm/aaaa")&amp;""""</f>
        <v>"04/12/Thursday"</v>
      </c>
      <c r="F7" s="45" t="str">
        <f t="shared" ca="1" si="0"/>
        <v>"date" : "04/12/Thursday",</v>
      </c>
    </row>
    <row r="8" spans="2:6" x14ac:dyDescent="0.25">
      <c r="B8" s="43" t="s">
        <v>125</v>
      </c>
      <c r="C8" s="43" t="str">
        <f>""""&amp;'SCOUT &amp; LOGISTICS'!D4 &amp;""""</f>
        <v>"Anadolu Efes Istanbul"</v>
      </c>
      <c r="F8" s="45" t="str">
        <f t="shared" si="0"/>
        <v>"home_team" : "Anadolu Efes Istanbul",</v>
      </c>
    </row>
    <row r="9" spans="2:6" x14ac:dyDescent="0.25">
      <c r="B9" s="43" t="s">
        <v>126</v>
      </c>
      <c r="C9" s="43" t="str">
        <f>""""&amp;'SCOUT &amp; LOGISTICS'!D5&amp;""""</f>
        <v>"Real Madrid"</v>
      </c>
      <c r="F9" s="45" t="str">
        <f t="shared" si="0"/>
        <v>"away_team" : "Real Madrid",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"ENDER OZBEK"</v>
      </c>
      <c r="F11" s="45" t="str">
        <f t="shared" si="0"/>
        <v>"Caller_1" : "ENDER OZBEK",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"ORHAN YENIHAYAT"</v>
      </c>
      <c r="F12" s="45" t="str">
        <f t="shared" si="0"/>
        <v>"Caller_2" : "ORHAN YENIHAYAT",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"KEREM SIRMAGIL"</v>
      </c>
      <c r="F13" s="45" t="str">
        <f t="shared" si="0"/>
        <v>"Timerkeeper" : "KEREM SIRMAGIL",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"DINCER ADILLER"</v>
      </c>
      <c r="F14" s="45" t="str">
        <f t="shared" si="0"/>
        <v>"Shotclock" : "DINCER ADILLER",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"MURAT KUS"</v>
      </c>
      <c r="F15" s="45" t="str">
        <f t="shared" si="0"/>
        <v>"IRS" : "MURAT KUS",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549</v>
      </c>
      <c r="F25" s="45" t="str">
        <f t="shared" ref="F25:F48" si="1">""""&amp;C25&amp;"""" &amp; " : " &amp;D25&amp;","</f>
        <v>"total_actions" : 549,</v>
      </c>
    </row>
    <row r="26" spans="2:6" x14ac:dyDescent="0.25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"The work is excellent. However, regarding rebounds, to note a rebound to a player who tips the ball to a teammate, it has to be very clear that he is looking at his teammate and that it is an intentional pass."</v>
      </c>
      <c r="F51" s="45" t="str">
        <f>""""&amp;B51&amp;"""" &amp; " : " &amp;C51&amp;","</f>
        <v>"comments" : "The work is excellent. However, regarding rebounds, to note a rebound to a player who tips the ball to a teammate, it has to be very clear that he is looking at his teammate and that it is an intentional pass.",</v>
      </c>
    </row>
    <row r="52" spans="2:6" x14ac:dyDescent="0.25">
      <c r="B52" s="43" t="s">
        <v>153</v>
      </c>
      <c r="C52" s="43" t="str">
        <f>TEXT('SCOUT &amp; LOGISTICS'!F1,"0,0")</f>
        <v>14_136_IST_MAD_E2025</v>
      </c>
      <c r="F52" s="45" t="str">
        <f>""""&amp;B52&amp;"""" &amp; " : " &amp;C52</f>
        <v>"result" : 14_136_IST_MAD_E2025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E136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04/12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Anadolu Efes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Real Madrid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CAN KUTLUATA</v>
      </c>
      <c r="C8" s="206"/>
      <c r="D8" s="206"/>
      <c r="E8" s="206"/>
      <c r="F8" s="206"/>
      <c r="G8" s="206" t="str">
        <f>IF('SCOUT &amp; LOGISTICS'!D7="","",'SCOUT &amp; LOGISTICS'!D7)</f>
        <v>ENDER OZBEK</v>
      </c>
      <c r="H8" s="206"/>
      <c r="I8" s="206"/>
      <c r="J8" s="206"/>
      <c r="K8" s="206"/>
      <c r="L8" s="206" t="str">
        <f>IF('SCOUT &amp; LOGISTICS'!D8="","",'SCOUT &amp; LOGISTICS'!D8)</f>
        <v>ORHAN YENIHAYAT</v>
      </c>
      <c r="M8" s="206"/>
      <c r="N8" s="206"/>
      <c r="O8" s="206"/>
      <c r="P8" s="206"/>
      <c r="Q8" s="206" t="str">
        <f>IF('SCOUT &amp; LOGISTICS'!D9="","",'SCOUT &amp; LOGISTICS'!D9)</f>
        <v>KEREM SIRMAGIL</v>
      </c>
      <c r="R8" s="206"/>
      <c r="S8" s="206"/>
      <c r="T8" s="206"/>
      <c r="U8" s="206"/>
      <c r="V8" s="206" t="str">
        <f>IF('SCOUT &amp; LOGISTICS'!D10="","",'SCOUT &amp; LOGISTICS'!D10)</f>
        <v>DINCER ADILLER</v>
      </c>
      <c r="W8" s="206"/>
      <c r="X8" s="206"/>
      <c r="Y8" s="206"/>
      <c r="Z8" s="206"/>
      <c r="AA8" s="206" t="str">
        <f>IF('SCOUT &amp; LOGISTICS'!D11="","",'SCOUT &amp; LOGISTICS'!D11)</f>
        <v>MURAT KUS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549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4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7.2859744990892532E-3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4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The work is excellent. However, regarding rebounds, to note a rebound to a player who tips the ball to a teammate, it has to be very clear that he is looking at his teammate and that it is an intentional pass.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4.7285974499089249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313CD9E-0B35-479A-9D35-7EA393F46052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2025-12-05T15:11:29Z</cp:lastPrinted>
  <dcterms:created xsi:type="dcterms:W3CDTF">2023-09-19T19:50:35Z</dcterms:created>
  <dcterms:modified xsi:type="dcterms:W3CDTF">2025-12-05T15:12:08Z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