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F10B1B84-0097-4788-9444-AF62BBCE56D6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COUT &amp; LOGISTICS" sheetId="1" r:id="rId1"/>
    <sheet name="Sheet1" sheetId="7" r:id="rId2"/>
    <sheet name="Teams" sheetId="5" state="hidden" r:id="rId3"/>
    <sheet name="GAMES" sheetId="6" state="hidden" r:id="rId4"/>
    <sheet name="json" sheetId="4" state="hidden" r:id="rId5"/>
    <sheet name="Report" sheetId="2" state="hidden" r:id="rId6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7" l="1"/>
  <c r="E3" i="7"/>
  <c r="F3" i="7" s="1"/>
  <c r="D3" i="7" a="1"/>
  <c r="D3" i="7" s="1"/>
  <c r="C3" i="7"/>
  <c r="H2" i="7"/>
  <c r="E2" i="7"/>
  <c r="F2" i="7" s="1"/>
  <c r="D2" i="7" a="1"/>
  <c r="D2" i="7" s="1"/>
  <c r="C2" i="7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<sst xmlns="http://schemas.openxmlformats.org/spreadsheetml/2006/main" count="3269" uniqueCount="769">
  <si>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</si>
  <si>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</si>
  <si>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</si>
  <si>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</si>
  <si>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</si>
  <si>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</si>
  <si>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</si>
  <si>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</si>
  <si>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</si>
  <si>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</si>
  <si>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</si>
  <si>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</si>
  <si>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</si>
  <si>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</si>
  <si>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</si>
  <si>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</si>
  <si>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</si>
  <si>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</si>
  <si>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</si>
  <si>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</si>
  <si>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</si>
  <si>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</si>
  <si>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</si>
  <si>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</si>
  <si>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</si>
  <si>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</si>
  <si>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</si>
  <si>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</si>
  <si>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</si>
  <si>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</si>
  <si>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</si>
  <si>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</si>
  <si>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</si>
  <si>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</si>
  <si>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</si>
  <si>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</si>
  <si>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</si>
  <si>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</si>
  <si>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</si>
  <si>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</si>
  <si>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</si>
  <si>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</si>
  <si>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</si>
  <si>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</si>
  <si>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</si>
  <si>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</si>
  <si>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</si>
  <si>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</si>
  <si>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</si>
  <si>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</si>
  <si>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</si>
  <si>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</si>
  <si>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</si>
  <si>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</si>
  <si>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</si>
  <si>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</si>
  <si>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</si>
  <si>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</si>
  <si>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</si>
  <si>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</si>
  <si>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</si>
  <si>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</si>
  <si>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</si>
  <si>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</si>
  <si>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</si>
  <si>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</si>
  <si>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</si>
  <si>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</si>
  <si>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</si>
  <si>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</si>
  <si>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</si>
  <si>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</si>
  <si>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</si>
  <si>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</si>
  <si>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</si>
  <si>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</si>
  <si>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</si>
  <si>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</si>
  <si>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</si>
  <si>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</si>
  <si>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</si>
  <si>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</si>
  <si>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</si>
  <si>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</si>
  <si>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</si>
  <si>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</si>
  <si>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</si>
  <si>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</si>
  <si>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</si>
  <si>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</si>
  <si>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</si>
  <si>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</si>
  <si>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</si>
  <si>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</si>
  <si>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</si>
  <si>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</si>
  <si>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</si>
  <si>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</si>
  <si>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</si>
  <si>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</si>
  <si>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</si>
  <si>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</si>
  <si>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</si>
  <si>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</si>
  <si>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</si>
  <si>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</si>
  <si>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</si>
  <si>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</si>
  <si>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</si>
  <si>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</si>
  <si>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</si>
  <si>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</si>
  <si>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</si>
  <si>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</si>
  <si>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</si>
  <si>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</si>
  <si>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</si>
  <si>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</si>
  <si>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</si>
  <si>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</si>
  <si>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</si>
  <si>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</si>
  <si>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</si>
  <si>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</si>
  <si>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</si>
  <si>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</si>
  <si>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</si>
  <si>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</si>
  <si>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</si>
  <si>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</si>
  <si>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</si>
  <si>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</si>
  <si>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</si>
  <si>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</si>
  <si>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</si>
  <si>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</si>
  <si>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</si>
  <si>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</si>
  <si>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</si>
  <si>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</si>
  <si>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</si>
  <si>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</si>
  <si>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</si>
  <si>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</si>
  <si>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</si>
  <si>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</si>
  <si>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</si>
  <si>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</si>
  <si>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</si>
  <si>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</si>
  <si>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</si>
  <si>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</si>
  <si>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</si>
  <si>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</si>
  <si>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</si>
  <si>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</si>
  <si>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</si>
  <si>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</si>
  <si>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</si>
  <si>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</si>
  <si>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</si>
  <si>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</si>
  <si>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</si>
  <si>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</si>
  <si>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</si>
  <si>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</si>
  <si>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</si>
  <si>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</si>
  <si>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</si>
  <si>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</si>
  <si>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</si>
  <si>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</si>
  <si>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</si>
  <si>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</si>
  <si>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</si>
  <si>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</si>
  <si>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</si>
  <si>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</si>
  <si>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</si>
  <si>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</si>
  <si>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</si>
  <si>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</si>
  <si>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</si>
  <si>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</si>
  <si>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</si>
  <si>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</si>
  <si>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</si>
  <si>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</si>
  <si>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</si>
  <si>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</si>
  <si>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</si>
  <si>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</si>
  <si>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</si>
  <si>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</si>
  <si>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</si>
  <si>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</si>
  <si>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</si>
  <si>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</si>
  <si>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</si>
  <si>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</si>
  <si>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</si>
  <si>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</si>
  <si>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</si>
  <si>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</si>
  <si>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</si>
  <si>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</si>
  <si>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</si>
  <si>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</si>
  <si>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</si>
  <si>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</si>
  <si>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</si>
  <si>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</si>
  <si>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</si>
  <si>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</si>
  <si>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</si>
  <si>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</si>
  <si>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</si>
  <si>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</si>
  <si>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</si>
  <si>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</si>
  <si>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</si>
  <si>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</si>
  <si>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</si>
  <si>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</si>
  <si>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</si>
  <si>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</si>
  <si>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</si>
  <si>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</si>
  <si>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</si>
  <si>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</si>
  <si>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</si>
  <si>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</si>
  <si>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</si>
  <si>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</si>
  <si>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</si>
  <si>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</si>
  <si>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</si>
  <si>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</si>
  <si>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</si>
  <si>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</si>
  <si>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</si>
  <si>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</si>
  <si>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</si>
  <si>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</si>
  <si>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</si>
  <si>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</si>
  <si>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</si>
  <si>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</si>
  <si>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</si>
  <si>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</si>
  <si>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</si>
  <si>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</si>
  <si>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</si>
  <si>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</si>
  <si>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</si>
  <si>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</si>
  <si>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</si>
  <si>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</si>
  <si>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</si>
  <si>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</si>
  <si>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</si>
  <si>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</si>
  <si>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</si>
  <si>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</si>
  <si>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</si>
  <si>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</si>
  <si>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</si>
  <si>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</si>
  <si>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</si>
  <si>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</si>
  <si>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</si>
  <si>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</si>
  <si>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</si>
  <si>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</si>
  <si>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</si>
  <si>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</si>
  <si>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</si>
  <si>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</si>
  <si>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</si>
  <si>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</si>
  <si>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</si>
  <si>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</si>
  <si>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</si>
  <si>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</si>
  <si>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</si>
  <si>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</si>
  <si>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</si>
  <si>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</si>
  <si>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</si>
  <si>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</si>
  <si>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</si>
  <si>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</si>
  <si>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</si>
  <si>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</si>
  <si>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</si>
  <si>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</si>
  <si>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</si>
  <si>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</si>
  <si>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</si>
  <si>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</si>
  <si>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</si>
  <si>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</si>
  <si>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</si>
  <si>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</si>
  <si>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</si>
  <si>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</si>
  <si>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</si>
  <si>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</si>
  <si>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</si>
  <si>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</si>
  <si>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</si>
  <si>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</si>
  <si>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</si>
  <si>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</si>
  <si>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</si>
  <si>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</si>
  <si>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</si>
  <si>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</si>
  <si>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</si>
  <si>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</si>
  <si>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</si>
  <si>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</si>
  <si>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</si>
  <si>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</si>
  <si>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</si>
  <si>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</si>
  <si>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</si>
  <si>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</si>
  <si>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</si>
  <si>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</si>
  <si>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</si>
  <si>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</si>
  <si>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</si>
  <si>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</si>
  <si>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</si>
  <si>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</si>
  <si>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</si>
  <si>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</si>
  <si>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</si>
  <si>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</si>
  <si>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</si>
  <si>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</si>
  <si>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</si>
  <si>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</si>
  <si>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</si>
  <si>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</si>
  <si>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</si>
  <si>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</si>
  <si>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</si>
  <si>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</si>
  <si>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</si>
  <si>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</si>
  <si>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</si>
  <si>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</si>
  <si>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</si>
  <si>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</si>
  <si>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</si>
  <si>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</si>
  <si>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</si>
  <si>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</si>
  <si>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</si>
  <si>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</si>
  <si>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</si>
  <si>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</si>
  <si>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</si>
  <si>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</si>
  <si>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</si>
  <si>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</si>
  <si>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</si>
  <si>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</si>
  <si>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</si>
  <si>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</si>
  <si>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</si>
  <si>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</si>
  <si>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</si>
  <si>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</si>
  <si>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</si>
  <si>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</si>
  <si>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</si>
  <si>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</si>
  <si>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</si>
  <si>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</si>
  <si>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</si>
  <si>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</si>
  <si>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</si>
  <si>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</si>
  <si>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</si>
  <si>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</si>
  <si>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</si>
  <si>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</si>
  <si>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</si>
  <si>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</si>
  <si>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</si>
  <si>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</si>
  <si>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</si>
  <si>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</si>
  <si>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</si>
  <si>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</si>
  <si>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</si>
  <si>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</si>
  <si>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</si>
  <si>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</si>
  <si>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</si>
  <si>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</si>
  <si>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</si>
  <si>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</si>
  <si>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</si>
  <si>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</si>
  <si>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</si>
  <si>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</si>
  <si>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</si>
  <si>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</si>
  <si>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</si>
  <si>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</si>
  <si>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</si>
  <si>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</si>
  <si>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</si>
  <si>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</si>
  <si>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</si>
  <si>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</si>
  <si>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</si>
  <si>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</si>
  <si>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</si>
  <si>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</si>
  <si>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</si>
  <si>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</si>
  <si>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</si>
  <si>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</si>
  <si>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</si>
  <si>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</si>
  <si>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</si>
  <si>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</si>
  <si>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</si>
  <si>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</si>
  <si>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</si>
  <si>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</si>
  <si>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</si>
  <si>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</si>
  <si>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</si>
  <si>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</si>
  <si>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</si>
  <si>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</si>
  <si>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</si>
  <si>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</si>
  <si>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</si>
  <si>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</si>
  <si>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</si>
  <si>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</si>
  <si>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</si>
  <si>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</si>
  <si>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</si>
  <si>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</si>
  <si>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</si>
  <si>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</si>
  <si>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</si>
  <si>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</si>
  <si>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</si>
  <si>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</si>
  <si>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</si>
  <si>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</si>
  <si>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</si>
  <si>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</si>
  <si>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</si>
  <si>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</si>
  <si>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</si>
  <si>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</si>
  <si>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</si>
  <si>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</si>
  <si>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</si>
  <si>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</si>
  <si>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</si>
  <si>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</si>
  <si>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</si>
  <si>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</si>
  <si>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</si>
  <si>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</si>
  <si>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</si>
  <si>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</si>
  <si>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</si>
  <si>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</si>
  <si>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</si>
  <si>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</si>
  <si>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</si>
  <si>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</si>
  <si>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</si>
  <si>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</si>
  <si>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</si>
  <si>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</si>
  <si>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</si>
  <si>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</si>
  <si>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</si>
  <si>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</si>
  <si>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</si>
  <si>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</si>
  <si>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</si>
  <si>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</si>
  <si>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</si>
  <si>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</si>
  <si>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</si>
  <si>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</si>
  <si>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</si>
  <si>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</si>
  <si>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</si>
  <si>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</si>
  <si>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</si>
  <si>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</si>
  <si>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</si>
  <si>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</si>
  <si>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</si>
  <si>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</si>
  <si>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</si>
  <si>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</si>
  <si>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</si>
  <si>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</si>
  <si>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</si>
  <si>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</si>
  <si>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</si>
  <si>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</si>
  <si>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</si>
  <si>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</si>
  <si>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</si>
  <si>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</si>
  <si>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</si>
  <si>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</si>
  <si>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</si>
  <si>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</si>
  <si>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</si>
  <si>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</si>
  <si>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</si>
  <si>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</si>
  <si>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</si>
  <si>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</si>
  <si>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</si>
  <si>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</si>
  <si>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</si>
  <si>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</si>
  <si>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</si>
  <si>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</si>
  <si>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</si>
  <si>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</si>
  <si>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</si>
  <si>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</si>
  <si>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</si>
  <si>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</si>
  <si>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</si>
  <si>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</si>
  <si>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</si>
  <si>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</si>
  <si>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</si>
  <si>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</si>
  <si>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</si>
  <si>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</si>
  <si>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</si>
  <si>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</si>
  <si>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</si>
  <si>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</si>
  <si>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</si>
  <si>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</si>
  <si>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</si>
  <si>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</si>
  <si>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</si>
  <si>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</si>
  <si>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</si>
  <si>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</si>
  <si>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</si>
  <si>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</si>
  <si>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</si>
  <si>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</si>
  <si>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</si>
  <si>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</si>
  <si>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</si>
  <si>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</si>
  <si>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</si>
  <si>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</si>
  <si>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</si>
  <si>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</si>
  <si>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</si>
  <si>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</si>
  <si>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</si>
  <si>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</si>
  <si>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</si>
  <si>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</si>
  <si>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</si>
  <si>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</si>
  <si>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</si>
  <si>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</si>
  <si>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</si>
  <si>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</si>
  <si>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</si>
  <si>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</si>
  <si>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</si>
  <si>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</si>
  <si>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</si>
  <si>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</si>
  <si>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</si>
  <si>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</si>
  <si>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</si>
  <si>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</si>
  <si>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</si>
  <si>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</si>
  <si>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</si>
  <si>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</si>
  <si>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</si>
  <si>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</si>
  <si>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</si>
  <si>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</si>
  <si>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</si>
  <si>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</si>
  <si>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</si>
  <si>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</si>
  <si>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</si>
  <si>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</si>
  <si>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</si>
  <si>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</si>
  <si>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</si>
  <si>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</si>
  <si>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</si>
  <si>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</si>
  <si>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</si>
  <si>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</si>
  <si>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</si>
  <si>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</si>
  <si>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</si>
  <si>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</si>
  <si>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</si>
  <si>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</si>
  <si>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</si>
  <si>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</si>
  <si>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</si>
  <si>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</si>
  <si>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</si>
  <si>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</si>
  <si>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</si>
  <si>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</si>
  <si>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</si>
  <si>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</si>
  <si>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</si>
  <si>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</si>
  <si>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</si>
  <si>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</si>
  <si>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</si>
  <si>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</si>
  <si>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</si>
  <si>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</si>
  <si>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</si>
  <si>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</si>
  <si>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</si>
  <si>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</si>
  <si>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</si>
  <si>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</si>
  <si>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</si>
  <si>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</si>
  <si>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</si>
  <si>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</si>
  <si>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</si>
  <si>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</si>
  <si>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</si>
  <si>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</si>
  <si>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</si>
  <si>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</si>
  <si>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</si>
  <si>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</si>
  <si>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</si>
  <si>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</si>
  <si>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</si>
  <si>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</si>
  <si>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</si>
  <si>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</si>
  <si>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</si>
  <si>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</si>
  <si>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</si>
  <si>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</si>
  <si>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</si>
  <si>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</si>
  <si>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</si>
  <si>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</si>
  <si>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</si>
  <si>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</si>
  <si>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</si>
  <si>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</si>
  <si>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</si>
  <si>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</si>
  <si>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</si>
  <si>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</si>
  <si>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</si>
  <si>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</si>
  <si>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</si>
  <si>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</si>
  <si>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</si>
  <si>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</si>
  <si>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</si>
  <si>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</si>
  <si>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</si>
  <si>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</si>
  <si>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</si>
  <si>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</si>
  <si>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</si>
  <si>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</si>
  <si>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</si>
  <si>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</si>
  <si>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</si>
  <si>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</si>
  <si>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</si>
  <si>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</si>
  <si>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</si>
  <si>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</si>
  <si>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</si>
  <si>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</si>
  <si>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</si>
  <si>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</si>
  <si>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</si>
  <si>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</si>
  <si>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</si>
  <si>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</si>
  <si>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</si>
  <si>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</si>
  <si>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</si>
  <si>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</si>
  <si>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</si>
  <si>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</si>
  <si>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</si>
  <si>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</si>
  <si>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</si>
  <si>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</si>
  <si>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</si>
  <si>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</si>
  <si>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</si>
  <si>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</si>
  <si>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</si>
  <si>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</si>
  <si>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</si>
  <si>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</si>
  <si>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</si>
  <si>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</si>
  <si>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</si>
  <si>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</si>
  <si>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</si>
  <si>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</si>
  <si>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</si>
  <si>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</si>
  <si>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</si>
  <si>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</si>
  <si>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</si>
  <si>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</si>
  <si>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</si>
  <si>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</si>
  <si>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</si>
  <si>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</si>
  <si>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</si>
  <si>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</si>
  <si>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E</t>
  </si>
  <si>
    <t>IVAN MOSIC</t>
  </si>
  <si>
    <t>MIODRAG STOJANOVIC</t>
  </si>
  <si>
    <t>MILOS KREMIC</t>
  </si>
  <si>
    <t>TEODORA DIMIC</t>
  </si>
  <si>
    <t>JELENA BOGIJCANIN</t>
  </si>
  <si>
    <t>JOVANA DOJCINOVIC</t>
  </si>
  <si>
    <t>211 222 15 05:49 27 31 Crvena Zvezda 4 GRAHAM, DEVONTE TERRELL Assist 0 0 0</t>
  </si>
  <si>
    <t>no assist</t>
  </si>
  <si>
    <t>328 340 22 08:22 42 50 Crvena Zvezda 20 MOTIEJUNAS, D. Assist 0 0 0</t>
  </si>
  <si>
    <t>05:49</t>
  </si>
  <si>
    <t>27</t>
  </si>
  <si>
    <t>31</t>
  </si>
  <si>
    <t>08:22</t>
  </si>
  <si>
    <t>42</t>
  </si>
  <si>
    <t>50</t>
  </si>
  <si>
    <t>211</t>
  </si>
  <si>
    <t>328</t>
  </si>
  <si>
    <t>there was nervous for a moment,  Very good job!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</si>
</sst>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I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14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14_137_RED_BAR_E2025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137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45996.833333333336</v>
      </c>
      <c r="C3" s="178"/>
      <c r="D3" s="39">
        <v>617</v>
      </c>
      <c r="E3" s="29"/>
      <c r="F3" s="26">
        <f>SUBTOTAL(3,I17:I106)</f>
        <v>2</v>
      </c>
      <c r="G3" s="27">
        <f>IF(OR(D3="",D3=0),"",F3/D3)</f>
        <v>3.2414910858995136E-3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Crvena Zvezda Meridianbet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RED</v>
      </c>
      <c r="I4" s="5"/>
      <c r="J4" s="119" t="s">
        <v>714</v>
      </c>
      <c r="K4" s="54" t="s">
        <v>743</v>
      </c>
      <c r="L4" s="5"/>
      <c r="M4" s="185" t="s">
        <v>768</v>
      </c>
      <c r="N4" s="186"/>
      <c r="O4" s="2"/>
      <c r="P4" s="2"/>
      <c r="Q4" s="84" t="s">
        <v>175</v>
      </c>
      <c r="R4" s="94">
        <f>(IF(G3="",0,G3))</f>
        <v>3.2414910858995136E-3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Barcelona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0.32414910858995138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1.3241491085899515</v>
      </c>
      <c r="N7" s="58"/>
      <c r="O7" s="2"/>
      <c r="P7" s="2"/>
      <c r="Q7" s="86">
        <f>SUM(R5,S5,AC16)</f>
        <v>1.3241491085899515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1.3241491085899515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756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137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137</v>
      </c>
      <c r="D17" s="32" t="s">
        <v>760</v>
      </c>
      <c r="E17" s="33">
        <v>2</v>
      </c>
      <c r="F17" s="36" t="s">
        <v>761</v>
      </c>
      <c r="G17" s="36" t="s">
        <v>762</v>
      </c>
      <c r="H17" s="38" t="str">
        <f>IF(I17="","",$I$14)</f>
        <v>SCOUTING</v>
      </c>
      <c r="I17" s="34" t="s">
        <v>766</v>
      </c>
      <c r="J17" s="13" t="s">
        <v>4</v>
      </c>
      <c r="K17" s="13" t="s">
        <v>63</v>
      </c>
      <c r="L17" s="13" t="s">
        <v>5</v>
      </c>
      <c r="M17" s="13" t="s">
        <v>758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137</v>
      </c>
      <c r="D18" s="32" t="s">
        <v>763</v>
      </c>
      <c r="E18" s="33">
        <v>3</v>
      </c>
      <c r="F18" s="36" t="s">
        <v>764</v>
      </c>
      <c r="G18" s="36" t="s">
        <v>765</v>
      </c>
      <c r="H18" s="38" t="str">
        <f t="shared" ref="H18:H81" si="8">IF(I18="","",$I$14)</f>
        <v>SCOUTING</v>
      </c>
      <c r="I18" s="34" t="s">
        <v>767</v>
      </c>
      <c r="J18" s="13" t="s">
        <v>4</v>
      </c>
      <c r="K18" s="13" t="s">
        <v>63</v>
      </c>
      <c r="L18" s="13" t="s">
        <v>5</v>
      </c>
      <c r="M18" s="13" t="s">
        <v>758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31443-5C1B-44E0-A7B5-14BAC3399CA4}">
  <dimension ref="B2:L3"/>
  <sheetViews>
    <sheetView workbookViewId="0">
      <selection activeCell="H2" activeCellId="1" sqref="H3:K3 H2:L2"/>
    </sheetView>
  </sheetViews>
  <sheetFormatPr defaultRowHeight="13.5" x14ac:dyDescent="0.25"/>
  <cols>
    <col min="2" max="2" width="54.7109375" style="150" bestFit="1" customWidth="1"/>
    <col min="3" max="3" width="4.28515625" bestFit="1" customWidth="1"/>
    <col min="4" max="4" width="1.7109375" bestFit="1" customWidth="1"/>
    <col min="5" max="6" width="2.42578125" bestFit="1" customWidth="1"/>
    <col min="8" max="8" width="3.140625" bestFit="1" customWidth="1"/>
    <col min="9" max="9" width="8.42578125" bestFit="1" customWidth="1"/>
    <col min="10" max="10" width="8.85546875" bestFit="1" customWidth="1"/>
    <col min="12" max="12" width="8.5703125" bestFit="1" customWidth="1"/>
  </cols>
  <sheetData>
    <row r="2" spans="2:12" x14ac:dyDescent="0.25">
      <c r="B2" s="150" t="s">
        <v>757</v>
      </c>
      <c r="C2" s="150" t="str">
        <f>MID(B2,FIND(":",B2)-2,5)</f>
        <v>05:49</v>
      </c>
      <c r="D2" s="150" cm="1">
        <f t="array" ref="D2">_xlfn.IFS(0+MID(B2,FIND(":",B2)-5,2)&lt;11,1,0+MID(B2,FIND(":",B2)-5,2)&lt;21,2,0+MID(B2,FIND(":",B2)-5,2)&lt;31,3,0+MID(B2,FIND(":",B2)-5,2)&lt;41,4, TRUE,"to")</f>
        <v>2</v>
      </c>
      <c r="E2" s="150" t="str">
        <f>TRIM(MID(B2,FIND(":",B2)+4,2))</f>
        <v>27</v>
      </c>
      <c r="F2" s="150" t="str">
        <f>TRIM(MID(B2,FIND(" " &amp; E2 &amp; " ",B2,FIND(":",B2))+2+LEN(E2),2))</f>
        <v>31</v>
      </c>
      <c r="G2" s="150"/>
      <c r="H2" s="150" t="str">
        <f>TRIM(MID(B2,1,3))</f>
        <v>211</v>
      </c>
      <c r="I2" s="150" t="s">
        <v>4</v>
      </c>
      <c r="J2" s="150" t="s">
        <v>63</v>
      </c>
      <c r="L2" s="91" t="s">
        <v>758</v>
      </c>
    </row>
    <row r="3" spans="2:12" x14ac:dyDescent="0.25">
      <c r="B3" s="150" t="s">
        <v>759</v>
      </c>
      <c r="C3" s="150" t="str">
        <f>MID(B3,FIND(":",B3)-2,5)</f>
        <v>08:22</v>
      </c>
      <c r="D3" s="150" cm="1">
        <f t="array" ref="D3">_xlfn.IFS(0+MID(B3,FIND(":",B3)-5,2)&lt;11,1,0+MID(B3,FIND(":",B3)-5,2)&lt;21,2,0+MID(B3,FIND(":",B3)-5,2)&lt;31,3,0+MID(B3,FIND(":",B3)-5,2)&lt;41,4, TRUE,"to")</f>
        <v>3</v>
      </c>
      <c r="E3" s="150" t="str">
        <f>TRIM(MID(B3,FIND(":",B3)+4,2))</f>
        <v>42</v>
      </c>
      <c r="F3" s="150" t="str">
        <f>TRIM(MID(B3,FIND(" " &amp; E3 &amp; " ",B3,FIND(":",B3))+2+LEN(E3),2))</f>
        <v>50</v>
      </c>
      <c r="G3" s="150"/>
      <c r="H3" s="150" t="str">
        <f>TRIM(MID(B3,1,3))</f>
        <v>328</v>
      </c>
      <c r="I3" s="150" t="s">
        <v>4</v>
      </c>
      <c r="J3" s="150" t="s">
        <v>63</v>
      </c>
      <c r="L3" s="91" t="s">
        <v>758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REPORT_E2025137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"E2025137"</v>
      </c>
      <c r="F3" s="45" t="str">
        <f t="shared" ref="F3:F16" si="0">""""&amp;B3&amp;"""" &amp; " : " &amp;C3&amp;","</f>
        <v>"name" : "E2025137",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"E137"</v>
      </c>
      <c r="F4" s="45" t="str">
        <f t="shared" si="0"/>
        <v>"cod" : "E137",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137</v>
      </c>
      <c r="F6" s="45" t="str">
        <f t="shared" si="0"/>
        <v>"number" : 137,</v>
      </c>
    </row>
    <row r="7" spans="2:6" x14ac:dyDescent="0.2">
      <c r="B7" s="43" t="s">
        <v>116</v>
      </c>
      <c r="C7" s="43" t="str">
        <f ca="1">""""&amp;TEXT('SCOUT &amp; LOGISTICS'!B3,"dd/mm/aaaa")&amp;""""</f>
        <v>"05/12/Friday"</v>
      </c>
      <c r="F7" s="45" t="str">
        <f t="shared" ca="1" si="0"/>
        <v>"date" : "05/12/Friday",</v>
      </c>
    </row>
    <row r="8" spans="2:6" x14ac:dyDescent="0.2">
      <c r="B8" s="43" t="s">
        <v>125</v>
      </c>
      <c r="C8" s="43" t="str">
        <f>""""&amp;'SCOUT &amp; LOGISTICS'!D4 &amp;""""</f>
        <v>"Crvena Zvezda Meridianbet Belgrade"</v>
      </c>
      <c r="F8" s="45" t="str">
        <f t="shared" si="0"/>
        <v>"home_team" : "Crvena Zvezda Meridianbet Belgrade",</v>
      </c>
    </row>
    <row r="9" spans="2:6" x14ac:dyDescent="0.2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"IVAN MOSIC"</v>
      </c>
      <c r="F10" s="45" t="str">
        <f t="shared" si="0"/>
        <v>"Data_entry" : "IVAN MOSIC",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"MIODRAG STOJANOVIC"</v>
      </c>
      <c r="F11" s="45" t="str">
        <f t="shared" si="0"/>
        <v>"Caller_1" : "MIODRAG STOJANOVIC",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"MILOS KREMIC"</v>
      </c>
      <c r="F12" s="45" t="str">
        <f t="shared" si="0"/>
        <v>"Caller_2" : "MILOS KREMIC",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"TEODORA DIMIC"</v>
      </c>
      <c r="F13" s="45" t="str">
        <f t="shared" si="0"/>
        <v>"Timerkeeper" : "TEODORA DIMIC",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"JELENA BOGIJCANIN"</v>
      </c>
      <c r="F14" s="45" t="str">
        <f t="shared" si="0"/>
        <v>"Shotclock" : "JELENA BOGIJCANIN",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"JOVANA DOJCINOVIC"</v>
      </c>
      <c r="F15" s="45" t="str">
        <f t="shared" si="0"/>
        <v>"IRS" : "JOVANA DOJCINOVIC",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617</v>
      </c>
      <c r="F25" s="45" t="str">
        <f t="shared" ref="F25:F48" si="1">""""&amp;C25&amp;"""" &amp; " : " &amp;D25&amp;","</f>
        <v>"total_actions" : 617,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"there was nervous for a moment,  Very good job!"</v>
      </c>
      <c r="F51" s="45" t="str">
        <f>""""&amp;B51&amp;"""" &amp; " : " &amp;C51&amp;","</f>
        <v>"comments" : "there was nervous for a moment,  Very good job!",</v>
      </c>
    </row>
    <row r="52" spans="2:6" x14ac:dyDescent="0.2">
      <c r="B52" s="43" t="s">
        <v>153</v>
      </c>
      <c r="C52" s="43" t="str">
        <f>TEXT('SCOUT &amp; LOGISTICS'!F1,"0,0")</f>
        <v>14_137_RED_BAR_E2025</v>
      </c>
      <c r="F52" s="45" t="str">
        <f>""""&amp;B52&amp;"""" &amp; " : " &amp;C52</f>
        <v>"result" : 14_137_RED_BAR_E2025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E137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05/12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Crvena Zvezda Meridianbet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Barcelona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IVAN MOSIC</v>
      </c>
      <c r="C8" s="201"/>
      <c r="D8" s="201"/>
      <c r="E8" s="201"/>
      <c r="F8" s="201"/>
      <c r="G8" s="201" t="str">
        <f>IF('SCOUT &amp; LOGISTICS'!D7="","",'SCOUT &amp; LOGISTICS'!D7)</f>
        <v>MIODRAG STOJANOVIC</v>
      </c>
      <c r="H8" s="201"/>
      <c r="I8" s="201"/>
      <c r="J8" s="201"/>
      <c r="K8" s="201"/>
      <c r="L8" s="201" t="str">
        <f>IF('SCOUT &amp; LOGISTICS'!D8="","",'SCOUT &amp; LOGISTICS'!D8)</f>
        <v>MILOS KREMIC</v>
      </c>
      <c r="M8" s="201"/>
      <c r="N8" s="201"/>
      <c r="O8" s="201"/>
      <c r="P8" s="201"/>
      <c r="Q8" s="201" t="str">
        <f>IF('SCOUT &amp; LOGISTICS'!D9="","",'SCOUT &amp; LOGISTICS'!D9)</f>
        <v>TEODORA DIMIC</v>
      </c>
      <c r="R8" s="201"/>
      <c r="S8" s="201"/>
      <c r="T8" s="201"/>
      <c r="U8" s="201"/>
      <c r="V8" s="201" t="str">
        <f>IF('SCOUT &amp; LOGISTICS'!D10="","",'SCOUT &amp; LOGISTICS'!D10)</f>
        <v>JELENA BOGIJCANIN</v>
      </c>
      <c r="W8" s="201"/>
      <c r="X8" s="201"/>
      <c r="Y8" s="201"/>
      <c r="Z8" s="201"/>
      <c r="AA8" s="201" t="str">
        <f>IF('SCOUT &amp; LOGISTICS'!D11="","",'SCOUT &amp; LOGISTICS'!D11)</f>
        <v>JOVANA DOJCINOVIC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617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3.2414910858995136E-3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there was nervous for a moment,  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1.3241491085899515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ACC261C-D77F-44B3-B5F2-2C9B6B33858C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SCOUT &amp; LOGISTICS</vt:lpstr>
      <vt:lpstr>Sheet1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2025-12-14T21:27:47Z</cp:lastPrinted>
  <dcterms:created xsi:type="dcterms:W3CDTF">2023-09-19T19:50:35Z</dcterms:created>
  <dcterms:modified xsi:type="dcterms:W3CDTF">2025-12-14T21:27:54Z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