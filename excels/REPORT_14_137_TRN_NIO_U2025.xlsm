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05" documentId="8_{BC20A296-F8A4-4EFD-B4A1-05B8F2144B28}" xr6:coauthVersionLast="47" xr6:coauthVersionMax="47" xr10:uidLastSave="{4C526E8A-618D-40DF-B53E-3500E6CA9CC1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<sst xmlns="http://schemas.openxmlformats.org/spreadsheetml/2006/main" count="3377" uniqueCount="843">
  <si>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</si>
  <si>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</si>
  <si>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</si>
  <si>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</si>
  <si>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</si>
  <si>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</si>
  <si>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</si>
  <si>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</si>
  <si>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</si>
  <si>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</si>
  <si>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</si>
  <si>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</si>
  <si>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</si>
  <si>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</si>
  <si>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</si>
  <si>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</si>
  <si>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</si>
  <si>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</si>
  <si>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</si>
  <si>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</si>
  <si>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</si>
  <si>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</si>
  <si>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</si>
  <si>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</si>
  <si>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</si>
  <si>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</si>
  <si>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</si>
  <si>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</si>
  <si>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</si>
  <si>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</si>
  <si>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</si>
  <si>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</si>
  <si>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</si>
  <si>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</si>
  <si>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</si>
  <si>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</si>
  <si>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</si>
  <si>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</si>
  <si>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</si>
  <si>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</si>
  <si>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</si>
  <si>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</si>
  <si>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</si>
  <si>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</si>
  <si>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</si>
  <si>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</si>
  <si>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</si>
  <si>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</si>
  <si>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</si>
  <si>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</si>
  <si>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</si>
  <si>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</si>
  <si>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</si>
  <si>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</si>
  <si>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</si>
  <si>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</si>
  <si>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</si>
  <si>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</si>
  <si>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</si>
  <si>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</si>
  <si>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</si>
  <si>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</si>
  <si>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</si>
  <si>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</si>
  <si>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</si>
  <si>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</si>
  <si>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</si>
  <si>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</si>
  <si>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</si>
  <si>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</si>
  <si>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</si>
  <si>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</si>
  <si>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</si>
  <si>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</si>
  <si>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</si>
  <si>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</si>
  <si>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</si>
  <si>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</si>
  <si>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</si>
  <si>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</si>
  <si>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</si>
  <si>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</si>
  <si>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</si>
  <si>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</si>
  <si>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</si>
  <si>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</si>
  <si>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</si>
  <si>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</si>
  <si>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</si>
  <si>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</si>
  <si>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</si>
  <si>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</si>
  <si>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</si>
  <si>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</si>
  <si>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</si>
  <si>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</si>
  <si>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</si>
  <si>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</si>
  <si>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</si>
  <si>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</si>
  <si>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</si>
  <si>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</si>
  <si>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</si>
  <si>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</si>
  <si>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</si>
  <si>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</si>
  <si>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</si>
  <si>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</si>
  <si>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</si>
  <si>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</si>
  <si>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</si>
  <si>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</si>
  <si>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</si>
  <si>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</si>
  <si>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</si>
  <si>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</si>
  <si>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</si>
  <si>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</si>
  <si>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</si>
  <si>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</si>
  <si>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</si>
  <si>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</si>
  <si>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</si>
  <si>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</si>
  <si>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</si>
  <si>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</si>
  <si>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</si>
  <si>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</si>
  <si>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</si>
  <si>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</si>
  <si>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</si>
  <si>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</si>
  <si>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</si>
  <si>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</si>
  <si>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</si>
  <si>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</si>
  <si>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</si>
  <si>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</si>
  <si>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</si>
  <si>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</si>
  <si>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</si>
  <si>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</si>
  <si>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</si>
  <si>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</si>
  <si>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</si>
  <si>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</si>
  <si>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</si>
  <si>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</si>
  <si>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</si>
  <si>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</si>
  <si>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</si>
  <si>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</si>
  <si>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</si>
  <si>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</si>
  <si>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</si>
  <si>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</si>
  <si>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</si>
  <si>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</si>
  <si>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</si>
  <si>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</si>
  <si>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</si>
  <si>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</si>
  <si>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</si>
  <si>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</si>
  <si>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</si>
  <si>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</si>
  <si>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</si>
  <si>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</si>
  <si>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</si>
  <si>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</si>
  <si>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</si>
  <si>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</si>
  <si>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</si>
  <si>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</si>
  <si>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</si>
  <si>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</si>
  <si>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</si>
  <si>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</si>
  <si>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</si>
  <si>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</si>
  <si>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</si>
  <si>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</si>
  <si>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</si>
  <si>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</si>
  <si>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</si>
  <si>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</si>
  <si>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</si>
  <si>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</si>
  <si>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</si>
  <si>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</si>
  <si>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</si>
  <si>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</si>
  <si>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</si>
  <si>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</si>
  <si>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</si>
  <si>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</si>
  <si>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</si>
  <si>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</si>
  <si>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</si>
  <si>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</si>
  <si>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</si>
  <si>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</si>
  <si>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</si>
  <si>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</si>
  <si>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</si>
  <si>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</si>
  <si>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</si>
  <si>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</si>
  <si>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</si>
  <si>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</si>
  <si>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</si>
  <si>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</si>
  <si>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</si>
  <si>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</si>
  <si>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</si>
  <si>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</si>
  <si>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</si>
  <si>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</si>
  <si>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</si>
  <si>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</si>
  <si>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</si>
  <si>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</si>
  <si>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</si>
  <si>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</si>
  <si>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</si>
  <si>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</si>
  <si>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</si>
  <si>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</si>
  <si>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</si>
  <si>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</si>
  <si>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</si>
  <si>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</si>
  <si>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</si>
  <si>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</si>
  <si>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</si>
  <si>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</si>
  <si>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</si>
  <si>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</si>
  <si>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</si>
  <si>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</si>
  <si>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</si>
  <si>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</si>
  <si>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</si>
  <si>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</si>
  <si>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</si>
  <si>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</si>
  <si>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</si>
  <si>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</si>
  <si>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</si>
  <si>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</si>
  <si>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</si>
  <si>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</si>
  <si>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</si>
  <si>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</si>
  <si>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</si>
  <si>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</si>
  <si>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</si>
  <si>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</si>
  <si>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</si>
  <si>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</si>
  <si>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</si>
  <si>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</si>
  <si>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</si>
  <si>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</si>
  <si>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</si>
  <si>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</si>
  <si>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</si>
  <si>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</si>
  <si>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</si>
  <si>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</si>
  <si>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</si>
  <si>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</si>
  <si>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</si>
  <si>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</si>
  <si>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</si>
  <si>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</si>
  <si>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</si>
  <si>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</si>
  <si>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</si>
  <si>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</si>
  <si>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</si>
  <si>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</si>
  <si>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</si>
  <si>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</si>
  <si>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</si>
  <si>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</si>
  <si>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</si>
  <si>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</si>
  <si>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</si>
  <si>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</si>
  <si>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</si>
  <si>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</si>
  <si>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</si>
  <si>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</si>
  <si>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</si>
  <si>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</si>
  <si>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</si>
  <si>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</si>
  <si>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</si>
  <si>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</si>
  <si>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</si>
  <si>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</si>
  <si>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</si>
  <si>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</si>
  <si>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</si>
  <si>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</si>
  <si>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</si>
  <si>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</si>
  <si>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</si>
  <si>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</si>
  <si>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</si>
  <si>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</si>
  <si>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</si>
  <si>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</si>
  <si>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</si>
  <si>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</si>
  <si>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</si>
  <si>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</si>
  <si>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</si>
  <si>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</si>
  <si>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</si>
  <si>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</si>
  <si>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</si>
  <si>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</si>
  <si>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</si>
  <si>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</si>
  <si>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</si>
  <si>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</si>
  <si>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</si>
  <si>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</si>
  <si>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</si>
  <si>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</si>
  <si>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</si>
  <si>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</si>
  <si>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</si>
  <si>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</si>
  <si>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</si>
  <si>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</si>
  <si>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</si>
  <si>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</si>
  <si>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</si>
  <si>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</si>
  <si>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</si>
  <si>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</si>
  <si>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</si>
  <si>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</si>
  <si>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</si>
  <si>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</si>
  <si>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</si>
  <si>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</si>
  <si>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</si>
  <si>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</si>
  <si>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</si>
  <si>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</si>
  <si>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</si>
  <si>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</si>
  <si>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</si>
  <si>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</si>
  <si>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</si>
  <si>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</si>
  <si>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</si>
  <si>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</si>
  <si>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</si>
  <si>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</si>
  <si>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</si>
  <si>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</si>
  <si>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</si>
  <si>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</si>
  <si>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</si>
  <si>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</si>
  <si>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</si>
  <si>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</si>
  <si>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</si>
  <si>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</si>
  <si>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</si>
  <si>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</si>
  <si>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</si>
  <si>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</si>
  <si>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</si>
  <si>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</si>
  <si>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</si>
  <si>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</si>
  <si>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</si>
  <si>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</si>
  <si>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</si>
  <si>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</si>
  <si>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</si>
  <si>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</si>
  <si>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</si>
  <si>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</si>
  <si>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</si>
  <si>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</si>
  <si>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</si>
  <si>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</si>
  <si>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</si>
  <si>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</si>
  <si>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</si>
  <si>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</si>
  <si>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</si>
  <si>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</si>
  <si>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</si>
  <si>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</si>
  <si>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</si>
  <si>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</si>
  <si>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</si>
  <si>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</si>
  <si>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</si>
  <si>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</si>
  <si>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</si>
  <si>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</si>
  <si>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</si>
  <si>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</si>
  <si>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</si>
  <si>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</si>
  <si>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</si>
  <si>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</si>
  <si>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</si>
  <si>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</si>
  <si>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</si>
  <si>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</si>
  <si>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</si>
  <si>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</si>
  <si>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</si>
  <si>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</si>
  <si>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</si>
  <si>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</si>
  <si>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</si>
  <si>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</si>
  <si>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</si>
  <si>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</si>
  <si>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</si>
  <si>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</si>
  <si>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</si>
  <si>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</si>
  <si>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</si>
  <si>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</si>
  <si>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</si>
  <si>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</si>
  <si>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</si>
  <si>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</si>
  <si>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</si>
  <si>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</si>
  <si>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</si>
  <si>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</si>
  <si>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</si>
  <si>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</si>
  <si>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</si>
  <si>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</si>
  <si>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</si>
  <si>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</si>
  <si>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</si>
  <si>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</si>
  <si>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</si>
  <si>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</si>
  <si>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</si>
  <si>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</si>
  <si>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</si>
  <si>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</si>
  <si>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</si>
  <si>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</si>
  <si>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</si>
  <si>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</si>
  <si>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</si>
  <si>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</si>
  <si>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</si>
  <si>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</si>
  <si>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</si>
  <si>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</si>
  <si>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</si>
  <si>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</si>
  <si>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</si>
  <si>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</si>
  <si>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</si>
  <si>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</si>
  <si>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</si>
  <si>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</si>
  <si>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</si>
  <si>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</si>
  <si>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</si>
  <si>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</si>
  <si>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</si>
  <si>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</si>
  <si>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</si>
  <si>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</si>
  <si>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</si>
  <si>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</si>
  <si>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</si>
  <si>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</si>
  <si>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</si>
  <si>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</si>
  <si>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</si>
  <si>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</si>
  <si>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</si>
  <si>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</si>
  <si>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</si>
  <si>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</si>
  <si>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</si>
  <si>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</si>
  <si>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</si>
  <si>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</si>
  <si>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</si>
  <si>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</si>
  <si>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</si>
  <si>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</si>
  <si>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</si>
  <si>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</si>
  <si>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</si>
  <si>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</si>
  <si>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</si>
  <si>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</si>
  <si>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</si>
  <si>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</si>
  <si>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</si>
  <si>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</si>
  <si>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</si>
  <si>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</si>
  <si>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</si>
  <si>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</si>
  <si>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</si>
  <si>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</si>
  <si>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</si>
  <si>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</si>
  <si>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</si>
  <si>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</si>
  <si>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</si>
  <si>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</si>
  <si>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</si>
  <si>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</si>
  <si>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</si>
  <si>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</si>
  <si>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</si>
  <si>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</si>
  <si>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</si>
  <si>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</si>
  <si>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</si>
  <si>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</si>
  <si>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</si>
  <si>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</si>
  <si>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</si>
  <si>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</si>
  <si>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</si>
  <si>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</si>
  <si>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</si>
  <si>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</si>
  <si>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</si>
  <si>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</si>
  <si>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</si>
  <si>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</si>
  <si>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</si>
  <si>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</si>
  <si>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</si>
  <si>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</si>
  <si>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</si>
  <si>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</si>
  <si>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</si>
  <si>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</si>
  <si>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</si>
  <si>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</si>
  <si>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</si>
  <si>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</si>
  <si>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</si>
  <si>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</si>
  <si>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</si>
  <si>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</si>
  <si>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</si>
  <si>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</si>
  <si>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</si>
  <si>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</si>
  <si>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</si>
  <si>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</si>
  <si>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</si>
  <si>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</si>
  <si>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</si>
  <si>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</si>
  <si>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</si>
  <si>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</si>
  <si>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</si>
  <si>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</si>
  <si>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</si>
  <si>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</si>
  <si>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</si>
  <si>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</si>
  <si>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</si>
  <si>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</si>
  <si>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</si>
  <si>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</si>
  <si>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</si>
  <si>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</si>
  <si>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</si>
  <si>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</si>
  <si>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</si>
  <si>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</si>
  <si>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</si>
  <si>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</si>
  <si>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</si>
  <si>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</si>
  <si>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</si>
  <si>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</si>
  <si>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</si>
  <si>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</si>
  <si>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</si>
  <si>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</si>
  <si>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</si>
  <si>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</si>
  <si>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</si>
  <si>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</si>
  <si>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</si>
  <si>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</si>
  <si>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</si>
  <si>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</si>
  <si>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</si>
  <si>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</si>
  <si>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</si>
  <si>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</si>
  <si>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</si>
  <si>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</si>
  <si>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</si>
  <si>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</si>
  <si>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</si>
  <si>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</si>
  <si>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</si>
  <si>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</si>
  <si>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</si>
  <si>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</si>
  <si>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</si>
  <si>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</si>
  <si>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</si>
  <si>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</si>
  <si>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</si>
  <si>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</si>
  <si>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</si>
  <si>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</si>
  <si>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</si>
  <si>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</si>
  <si>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</si>
  <si>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</si>
  <si>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</si>
  <si>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</si>
  <si>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</si>
  <si>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</si>
  <si>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</si>
  <si>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</si>
  <si>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</si>
  <si>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</si>
  <si>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</si>
  <si>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</si>
  <si>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</si>
  <si>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</si>
  <si>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</si>
  <si>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</si>
  <si>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</si>
  <si>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</si>
  <si>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</si>
  <si>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</si>
  <si>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</si>
  <si>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</si>
  <si>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</si>
  <si>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</si>
  <si>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</si>
  <si>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</si>
  <si>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</si>
  <si>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</si>
  <si>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</si>
  <si>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</si>
  <si>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</si>
  <si>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</si>
  <si>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</si>
  <si>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</si>
  <si>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</si>
  <si>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</si>
  <si>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</si>
  <si>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</si>
  <si>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</si>
  <si>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</si>
  <si>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</si>
  <si>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</si>
  <si>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</si>
  <si>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</si>
  <si>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</si>
  <si>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</si>
  <si>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</si>
  <si>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</si>
  <si>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</si>
  <si>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</si>
  <si>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</si>
  <si>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</si>
  <si>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</si>
  <si>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</si>
  <si>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</si>
  <si>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</si>
  <si>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</si>
  <si>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</si>
  <si>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</si>
  <si>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</si>
  <si>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</si>
  <si>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</si>
  <si>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</si>
  <si>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</si>
  <si>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</si>
  <si>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</si>
  <si>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</si>
  <si>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</si>
  <si>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</si>
  <si>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</si>
  <si>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</si>
  <si>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</si>
  <si>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</si>
  <si>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</si>
  <si>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</si>
  <si>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</si>
  <si>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</si>
  <si>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</si>
  <si>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</si>
  <si>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</si>
  <si>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</si>
  <si>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</si>
  <si>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</si>
  <si>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</si>
  <si>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</si>
  <si>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</si>
  <si>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</si>
  <si>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</si>
  <si>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</si>
  <si>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</si>
  <si>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</si>
  <si>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</si>
  <si>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</si>
  <si>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</si>
  <si>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</si>
  <si>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</si>
  <si>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</si>
  <si>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</si>
  <si>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</si>
  <si>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</si>
  <si>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</si>
  <si>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</si>
  <si>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</si>
  <si>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</si>
  <si>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</si>
  <si>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</si>
  <si>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</si>
  <si>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</si>
  <si>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</si>
  <si>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</si>
  <si>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</si>
  <si>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</si>
  <si>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</si>
  <si>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</si>
  <si>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</si>
  <si>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</si>
  <si>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</si>
  <si>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</si>
  <si>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</si>
  <si>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</si>
  <si>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</si>
  <si>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</si>
  <si>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</si>
  <si>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</si>
  <si>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</si>
  <si>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</si>
  <si>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</si>
  <si>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</si>
  <si>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</si>
  <si>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</si>
  <si>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</si>
  <si>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</si>
  <si>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</si>
  <si>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</si>
  <si>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</si>
  <si>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</si>
  <si>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</si>
  <si>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</si>
  <si>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</si>
  <si>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</si>
  <si>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</si>
  <si>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</si>
  <si>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</si>
  <si>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</si>
  <si>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</si>
  <si>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</si>
  <si>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</si>
  <si>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</si>
  <si>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</si>
  <si>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</si>
  <si>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</si>
  <si>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</si>
  <si>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</si>
  <si>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</si>
  <si>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</si>
  <si>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</si>
  <si>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</si>
  <si>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</si>
  <si>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</si>
  <si>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</si>
  <si>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</si>
  <si>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</si>
  <si>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</si>
  <si>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</si>
  <si>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</si>
  <si>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</si>
  <si>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</si>
  <si>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</si>
  <si>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</si>
  <si>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</si>
  <si>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</si>
  <si>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</si>
  <si>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</si>
  <si>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</si>
  <si>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</si>
  <si>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</si>
  <si>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</si>
  <si>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</si>
  <si>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</si>
  <si>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</si>
  <si>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</si>
  <si>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</si>
  <si>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</si>
  <si>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</si>
  <si>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</si>
  <si>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</si>
  <si>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</si>
  <si>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</si>
  <si>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</si>
  <si>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</si>
  <si>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</si>
  <si>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</si>
  <si>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XAVIER MATEU</t>
  </si>
  <si>
    <t>SILVIA BOTTURA</t>
  </si>
  <si>
    <t>SASHA ZORDAN</t>
  </si>
  <si>
    <t>TOMMASO MOLO</t>
  </si>
  <si>
    <t>FJORENCO HYSI</t>
  </si>
  <si>
    <t>NOEMI DEIMICHEI</t>
  </si>
  <si>
    <t>06:21</t>
  </si>
  <si>
    <t>04:50</t>
  </si>
  <si>
    <t>00:49</t>
  </si>
  <si>
    <t>03:17</t>
  </si>
  <si>
    <t>00:38</t>
  </si>
  <si>
    <t>06:27</t>
  </si>
  <si>
    <t>06:26</t>
  </si>
  <si>
    <t>06:53</t>
  </si>
  <si>
    <t>02:38</t>
  </si>
  <si>
    <t>Overall it was a great work. There is a play where you don’t start the clock and you record a foul 11 seconds earlier. Then, in the discussed play with the assist, the player receives the ball with no defender on him, goes to the basket… a clear assist. And finally, there is a play where Sasha was arguing that it was a rebound by a player, but in the video you can see that he does not make an intentional pass.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</si>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</sst>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14_137_TRN_NIO_U2025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137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46035.833333333336</v>
      </c>
      <c r="C3" s="157"/>
      <c r="D3" s="39">
        <v>539</v>
      </c>
      <c r="E3" s="29"/>
      <c r="F3" s="26">
        <f>SUBTOTAL(3,I17:I106)</f>
        <v>9</v>
      </c>
      <c r="G3" s="27">
        <f>IF(OR(D3="",D3=0),"",F3/D3)</f>
        <v>1.6697588126159554E-2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Dolomiti Energia Trento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TRN</v>
      </c>
      <c r="I4" s="5"/>
      <c r="J4" s="119" t="s">
        <v>714</v>
      </c>
      <c r="K4" s="54" t="s">
        <v>743</v>
      </c>
      <c r="L4" s="5"/>
      <c r="M4" s="167" t="s">
        <v>841</v>
      </c>
      <c r="N4" s="168"/>
      <c r="O4" s="2"/>
      <c r="P4" s="2"/>
      <c r="Q4" s="84" t="s">
        <v>175</v>
      </c>
      <c r="R4" s="94">
        <f>(IF(G3="",0,G3))</f>
        <v>1.6697588126159554E-2</v>
      </c>
      <c r="S4" s="61">
        <f>SUM(I13:M13)</f>
        <v>0</v>
      </c>
      <c r="T4" s="78"/>
      <c r="U4" s="61">
        <f>AC18</f>
        <v>3</v>
      </c>
      <c r="V4" s="61">
        <f>+AC22</f>
        <v>6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Panionios Athens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NIO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1.6697588126159555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6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9.1697588126159548</v>
      </c>
      <c r="N7" s="58"/>
      <c r="O7" s="2"/>
      <c r="P7" s="2"/>
      <c r="Q7" s="86">
        <f>SUM(R5,S5,AC16)</f>
        <v>9.1697588126159548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829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9.1697588126159566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830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137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7.5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137</v>
      </c>
      <c r="D17" s="32" t="s">
        <v>832</v>
      </c>
      <c r="E17" s="33">
        <v>1</v>
      </c>
      <c r="F17" s="36">
        <v>12</v>
      </c>
      <c r="G17" s="36">
        <v>5</v>
      </c>
      <c r="H17" s="38" t="str">
        <f>IF(I17="","",$I$14)</f>
        <v>SCOUTING</v>
      </c>
      <c r="I17" s="34">
        <v>40</v>
      </c>
      <c r="J17" s="13" t="s">
        <v>4</v>
      </c>
      <c r="K17" s="13" t="s">
        <v>62</v>
      </c>
      <c r="L17" s="13" t="s">
        <v>6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137</v>
      </c>
      <c r="D18" s="32" t="s">
        <v>833</v>
      </c>
      <c r="E18" s="33">
        <v>1</v>
      </c>
      <c r="F18" s="36">
        <v>14</v>
      </c>
      <c r="G18" s="36">
        <v>9</v>
      </c>
      <c r="H18" s="38" t="str">
        <f t="shared" ref="H18:H81" si="8">IF(I18="","",$I$14)</f>
        <v>SCOUTING</v>
      </c>
      <c r="I18" s="34">
        <v>58</v>
      </c>
      <c r="J18" s="13" t="s">
        <v>4</v>
      </c>
      <c r="K18" s="13" t="s">
        <v>62</v>
      </c>
      <c r="L18" s="13" t="s">
        <v>6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137</v>
      </c>
      <c r="D19" s="32" t="s">
        <v>834</v>
      </c>
      <c r="E19" s="33">
        <v>1</v>
      </c>
      <c r="F19" s="36">
        <v>23</v>
      </c>
      <c r="G19" s="36">
        <v>14</v>
      </c>
      <c r="H19" s="38" t="str">
        <f t="shared" si="8"/>
        <v>SCOUTING</v>
      </c>
      <c r="I19" s="34">
        <v>139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137</v>
      </c>
      <c r="D20" s="32" t="s">
        <v>835</v>
      </c>
      <c r="E20" s="33">
        <v>2</v>
      </c>
      <c r="F20" s="36">
        <v>46</v>
      </c>
      <c r="G20" s="36">
        <v>30</v>
      </c>
      <c r="H20" s="38" t="str">
        <f t="shared" si="8"/>
        <v>SCOUTING</v>
      </c>
      <c r="I20" s="34">
        <v>239</v>
      </c>
      <c r="J20" s="13" t="s">
        <v>4</v>
      </c>
      <c r="K20" s="13" t="s">
        <v>62</v>
      </c>
      <c r="L20" s="13" t="s">
        <v>5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137</v>
      </c>
      <c r="D21" s="32" t="s">
        <v>836</v>
      </c>
      <c r="E21" s="33">
        <v>2</v>
      </c>
      <c r="F21" s="36">
        <v>49</v>
      </c>
      <c r="G21" s="36">
        <v>35</v>
      </c>
      <c r="H21" s="38" t="str">
        <f t="shared" si="8"/>
        <v>SCOUTING</v>
      </c>
      <c r="I21" s="34">
        <v>273</v>
      </c>
      <c r="J21" s="13" t="s">
        <v>4</v>
      </c>
      <c r="K21" s="13" t="s">
        <v>63</v>
      </c>
      <c r="L21" s="13" t="s">
        <v>6</v>
      </c>
      <c r="M21" s="13" t="s">
        <v>27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137</v>
      </c>
      <c r="D22" s="32" t="s">
        <v>837</v>
      </c>
      <c r="E22" s="33">
        <v>3</v>
      </c>
      <c r="F22" s="36">
        <v>54</v>
      </c>
      <c r="G22" s="36">
        <v>47</v>
      </c>
      <c r="H22" s="38" t="str">
        <f t="shared" si="8"/>
        <v>SCOUTING</v>
      </c>
      <c r="I22" s="34">
        <v>345</v>
      </c>
      <c r="J22" s="13" t="s">
        <v>4</v>
      </c>
      <c r="K22" s="13" t="s">
        <v>63</v>
      </c>
      <c r="L22" s="13" t="s">
        <v>6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6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137</v>
      </c>
      <c r="D23" s="32" t="s">
        <v>838</v>
      </c>
      <c r="E23" s="33">
        <v>3</v>
      </c>
      <c r="F23" s="36">
        <v>54</v>
      </c>
      <c r="G23" s="36">
        <v>47</v>
      </c>
      <c r="H23" s="38" t="str">
        <f t="shared" si="8"/>
        <v>SCOUTING</v>
      </c>
      <c r="I23" s="34">
        <v>346</v>
      </c>
      <c r="J23" s="13" t="s">
        <v>4</v>
      </c>
      <c r="K23" s="13" t="s">
        <v>62</v>
      </c>
      <c r="L23" s="13" t="s">
        <v>6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137</v>
      </c>
      <c r="D24" s="32" t="s">
        <v>839</v>
      </c>
      <c r="E24" s="33">
        <v>4</v>
      </c>
      <c r="F24" s="36">
        <v>75</v>
      </c>
      <c r="G24" s="36">
        <v>76</v>
      </c>
      <c r="H24" s="38" t="str">
        <f t="shared" si="8"/>
        <v>SCOUTING</v>
      </c>
      <c r="I24" s="34">
        <v>488</v>
      </c>
      <c r="J24" s="13" t="s">
        <v>4</v>
      </c>
      <c r="K24" s="13" t="s">
        <v>62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137</v>
      </c>
      <c r="D25" s="32" t="s">
        <v>840</v>
      </c>
      <c r="E25" s="33">
        <v>4</v>
      </c>
      <c r="F25" s="36">
        <v>82</v>
      </c>
      <c r="G25" s="36">
        <v>81</v>
      </c>
      <c r="H25" s="38" t="str">
        <f t="shared" si="8"/>
        <v>SCOUTING</v>
      </c>
      <c r="I25" s="34">
        <v>553</v>
      </c>
      <c r="J25" s="13" t="s">
        <v>4</v>
      </c>
      <c r="K25" s="13" t="s">
        <v>63</v>
      </c>
      <c r="L25" s="13" t="s">
        <v>6</v>
      </c>
      <c r="M25" s="13" t="s">
        <v>22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3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REPORT_U2025137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"U2025137"</v>
      </c>
      <c r="F3" s="45" t="str">
        <f t="shared" ref="F3:F16" si="0">""""&amp;B3&amp;"""" &amp; " : " &amp;C3&amp;","</f>
        <v>"name" : "U2025137",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"U137"</v>
      </c>
      <c r="F4" s="45" t="str">
        <f t="shared" si="0"/>
        <v>"cod" : "U137",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137</v>
      </c>
      <c r="F6" s="45" t="str">
        <f t="shared" si="0"/>
        <v>"number" : 137,</v>
      </c>
    </row>
    <row r="7" spans="2:6" x14ac:dyDescent="0.25">
      <c r="B7" s="43" t="s">
        <v>116</v>
      </c>
      <c r="C7" s="43" t="str">
        <f ca="1">""""&amp;TEXT('SCOUT &amp; LOGISTICS'!B3,"dd/mm/aaaa")&amp;""""</f>
        <v>"13/01/Tuesday"</v>
      </c>
      <c r="F7" s="45" t="str">
        <f t="shared" ca="1" si="0"/>
        <v>"date" : "13/01/Tuesday",</v>
      </c>
    </row>
    <row r="8" spans="2:6" x14ac:dyDescent="0.25">
      <c r="B8" s="43" t="s">
        <v>125</v>
      </c>
      <c r="C8" s="43" t="str">
        <f>""""&amp;'SCOUT &amp; LOGISTICS'!D4 &amp;""""</f>
        <v>"Dolomiti Energia Trento"</v>
      </c>
      <c r="F8" s="45" t="str">
        <f t="shared" si="0"/>
        <v>"home_team" : "Dolomiti Energia Trento",</v>
      </c>
    </row>
    <row r="9" spans="2:6" x14ac:dyDescent="0.25">
      <c r="B9" s="43" t="s">
        <v>126</v>
      </c>
      <c r="C9" s="43" t="str">
        <f>""""&amp;'SCOUT &amp; LOGISTICS'!D5&amp;""""</f>
        <v>"Panionios Athens"</v>
      </c>
      <c r="F9" s="45" t="str">
        <f t="shared" si="0"/>
        <v>"away_team" : "Panionios Athens",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"SILVIA BOTTURA"</v>
      </c>
      <c r="F10" s="45" t="str">
        <f t="shared" si="0"/>
        <v>"Data_entry" : "SILVIA BOTTURA",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"SASHA ZORDAN"</v>
      </c>
      <c r="F11" s="45" t="str">
        <f t="shared" si="0"/>
        <v>"Caller_1" : "SASHA ZORDAN",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"TOMMASO MOLO"</v>
      </c>
      <c r="F12" s="45" t="str">
        <f t="shared" si="0"/>
        <v>"Caller_2" : "TOMMASO MOLO",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"FJORENCO HYSI"</v>
      </c>
      <c r="F13" s="45" t="str">
        <f t="shared" si="0"/>
        <v>"Timerkeeper" : "FJORENCO HYSI",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"NOEMI DEIMICHEI"</v>
      </c>
      <c r="F14" s="45" t="str">
        <f t="shared" si="0"/>
        <v>"Shotclock" : "NOEMI DEIMICHEI",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539</v>
      </c>
      <c r="F25" s="45" t="str">
        <f t="shared" ref="F25:F48" si="1">""""&amp;C25&amp;"""" &amp; " : " &amp;D25&amp;","</f>
        <v>"total_actions" : 539,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"Overall it was a great work. There is a play where you don’t start the clock and you record a foul 11 seconds earlier. Then, in the discussed play with the assist, the player receives the ball with no defender on him, goes to the basket… a clear assist. And finally, there is a play where Sasha was arguing that it was a rebound by a player, but in the video you can see that he does not make an intentional pass."</v>
      </c>
      <c r="F51" s="45" t="str">
        <f>""""&amp;B51&amp;"""" &amp; " : " &amp;C51&amp;","</f>
        <v>"comments" : "Overall it was a great work. There is a play where you don’t start the clock and you record a foul 11 seconds earlier. Then, in the discussed play with the assist, the player receives the ball with no defender on him, goes to the basket… a clear assist. And finally, there is a play where Sasha was arguing that it was a rebound by a player, but in the video you can see that he does not make an intentional pass.",</v>
      </c>
    </row>
    <row r="52" spans="2:6" x14ac:dyDescent="0.25">
      <c r="B52" s="43" t="s">
        <v>153</v>
      </c>
      <c r="C52" s="43" t="str">
        <f>TEXT('SCOUT &amp; LOGISTICS'!F1,"0,0")</f>
        <v>14_137_TRN_NIO_U2025</v>
      </c>
      <c r="F52" s="45" t="str">
        <f>""""&amp;B52&amp;"""" &amp; " : " &amp;C52</f>
        <v>"result" : 14_137_TRN_NIO_U2025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U137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13/01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Dolomiti Energia Trento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Panionios Athens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SILVIA BOTTURA</v>
      </c>
      <c r="C8" s="206"/>
      <c r="D8" s="206"/>
      <c r="E8" s="206"/>
      <c r="F8" s="206"/>
      <c r="G8" s="206" t="str">
        <f>IF('SCOUT &amp; LOGISTICS'!D7="","",'SCOUT &amp; LOGISTICS'!D7)</f>
        <v>SASHA ZORDAN</v>
      </c>
      <c r="H8" s="206"/>
      <c r="I8" s="206"/>
      <c r="J8" s="206"/>
      <c r="K8" s="206"/>
      <c r="L8" s="206" t="str">
        <f>IF('SCOUT &amp; LOGISTICS'!D8="","",'SCOUT &amp; LOGISTICS'!D8)</f>
        <v>TOMMASO MOLO</v>
      </c>
      <c r="M8" s="206"/>
      <c r="N8" s="206"/>
      <c r="O8" s="206"/>
      <c r="P8" s="206"/>
      <c r="Q8" s="206" t="str">
        <f>IF('SCOUT &amp; LOGISTICS'!D9="","",'SCOUT &amp; LOGISTICS'!D9)</f>
        <v>FJORENCO HYSI</v>
      </c>
      <c r="R8" s="206"/>
      <c r="S8" s="206"/>
      <c r="T8" s="206"/>
      <c r="U8" s="206"/>
      <c r="V8" s="206" t="str">
        <f>IF('SCOUT &amp; LOGISTICS'!D10="","",'SCOUT &amp; LOGISTICS'!D10)</f>
        <v>NOEMI DEIMICHEI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539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9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1.6697588126159554E-2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9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6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Overall it was a great work. There is a play where you don’t start the clock and you record a foul 11 seconds earlier. Then, in the discussed play with the assist, the player receives the ball with no defender on him, goes to the basket… a clear assist. And finally, there is a play where Sasha was arguing that it was a rebound by a player, but in the video you can see that he does not make an intentional pass.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9.1697588126159548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6195D5-A7F0-4D52-81AB-023CDA12BB3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2026-01-14T15:00:06Z</cp:lastPrinted>
  <dcterms:created xsi:type="dcterms:W3CDTF">2023-09-19T19:50:35Z</dcterms:created>
  <dcterms:modified xsi:type="dcterms:W3CDTF">2026-01-14T15:00:08Z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