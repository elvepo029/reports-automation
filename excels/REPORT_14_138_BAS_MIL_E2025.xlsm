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5" documentId="8_{D1A01976-916D-4DB1-8E78-A5E8BA661DF8}" xr6:coauthVersionLast="47" xr6:coauthVersionMax="47" xr10:uidLastSave="{C47B7897-E0A3-4E35-9687-36761FD85293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<sst xmlns="http://schemas.openxmlformats.org/spreadsheetml/2006/main" count="3260" uniqueCount="762">
  <si>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</si>
  <si>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</si>
  <si>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</si>
  <si>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</si>
  <si>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</si>
  <si>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</si>
  <si>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</si>
  <si>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</si>
  <si>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</si>
  <si>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</si>
  <si>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</si>
  <si>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</si>
  <si>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</si>
  <si>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</si>
  <si>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</si>
  <si>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</si>
  <si>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</si>
  <si>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</si>
  <si>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</si>
  <si>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</si>
  <si>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</si>
  <si>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</si>
  <si>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</si>
  <si>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</si>
  <si>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</si>
  <si>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</si>
  <si>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</si>
  <si>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</si>
  <si>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</si>
  <si>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</si>
  <si>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</si>
  <si>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</si>
  <si>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</si>
  <si>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</si>
  <si>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</si>
  <si>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</si>
  <si>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</si>
  <si>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</si>
  <si>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</si>
  <si>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</si>
  <si>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</si>
  <si>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</si>
  <si>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</si>
  <si>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</si>
  <si>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</si>
  <si>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</si>
  <si>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</si>
  <si>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</si>
  <si>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</si>
  <si>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</si>
  <si>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</si>
  <si>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</si>
  <si>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</si>
  <si>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</si>
  <si>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</si>
  <si>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</si>
  <si>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</si>
  <si>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</si>
  <si>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</si>
  <si>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</si>
  <si>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</si>
  <si>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</si>
  <si>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</si>
  <si>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</si>
  <si>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</si>
  <si>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</si>
  <si>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</si>
  <si>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</si>
  <si>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</si>
  <si>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</si>
  <si>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</si>
  <si>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</si>
  <si>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</si>
  <si>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</si>
  <si>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</si>
  <si>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</si>
  <si>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</si>
  <si>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</si>
  <si>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</si>
  <si>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</si>
  <si>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</si>
  <si>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</si>
  <si>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</si>
  <si>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</si>
  <si>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</si>
  <si>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</si>
  <si>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</si>
  <si>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</si>
  <si>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</si>
  <si>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</si>
  <si>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</si>
  <si>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</si>
  <si>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</si>
  <si>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</si>
  <si>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</si>
  <si>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</si>
  <si>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</si>
  <si>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</si>
  <si>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</si>
  <si>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</si>
  <si>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</si>
  <si>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</si>
  <si>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</si>
  <si>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</si>
  <si>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</si>
  <si>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</si>
  <si>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</si>
  <si>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</si>
  <si>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</si>
  <si>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</si>
  <si>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</si>
  <si>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</si>
  <si>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</si>
  <si>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</si>
  <si>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</si>
  <si>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</si>
  <si>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</si>
  <si>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</si>
  <si>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</si>
  <si>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</si>
  <si>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</si>
  <si>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</si>
  <si>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</si>
  <si>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</si>
  <si>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</si>
  <si>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</si>
  <si>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</si>
  <si>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</si>
  <si>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</si>
  <si>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</si>
  <si>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</si>
  <si>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</si>
  <si>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</si>
  <si>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</si>
  <si>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</si>
  <si>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</si>
  <si>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</si>
  <si>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</si>
  <si>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</si>
  <si>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</si>
  <si>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</si>
  <si>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</si>
  <si>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</si>
  <si>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</si>
  <si>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</si>
  <si>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</si>
  <si>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</si>
  <si>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</si>
  <si>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</si>
  <si>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</si>
  <si>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</si>
  <si>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</si>
  <si>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</si>
  <si>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</si>
  <si>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</si>
  <si>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</si>
  <si>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</si>
  <si>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</si>
  <si>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</si>
  <si>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</si>
  <si>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</si>
  <si>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</si>
  <si>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</si>
  <si>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</si>
  <si>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</si>
  <si>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</si>
  <si>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</si>
  <si>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</si>
  <si>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</si>
  <si>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</si>
  <si>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</si>
  <si>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</si>
  <si>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</si>
  <si>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</si>
  <si>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</si>
  <si>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</si>
  <si>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</si>
  <si>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</si>
  <si>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</si>
  <si>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</si>
  <si>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</si>
  <si>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</si>
  <si>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</si>
  <si>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</si>
  <si>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</si>
  <si>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</si>
  <si>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</si>
  <si>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</si>
  <si>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</si>
  <si>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</si>
  <si>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</si>
  <si>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</si>
  <si>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</si>
  <si>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</si>
  <si>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</si>
  <si>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</si>
  <si>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</si>
  <si>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</si>
  <si>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</si>
  <si>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</si>
  <si>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</si>
  <si>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</si>
  <si>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</si>
  <si>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</si>
  <si>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</si>
  <si>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</si>
  <si>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</si>
  <si>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</si>
  <si>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</si>
  <si>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</si>
  <si>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</si>
  <si>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</si>
  <si>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</si>
  <si>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</si>
  <si>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</si>
  <si>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</si>
  <si>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</si>
  <si>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</si>
  <si>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</si>
  <si>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</si>
  <si>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</si>
  <si>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</si>
  <si>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</si>
  <si>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</si>
  <si>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</si>
  <si>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</si>
  <si>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</si>
  <si>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</si>
  <si>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</si>
  <si>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</si>
  <si>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</si>
  <si>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</si>
  <si>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</si>
  <si>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</si>
  <si>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</si>
  <si>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</si>
  <si>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</si>
  <si>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</si>
  <si>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</si>
  <si>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</si>
  <si>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</si>
  <si>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</si>
  <si>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</si>
  <si>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</si>
  <si>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</si>
  <si>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</si>
  <si>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</si>
  <si>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</si>
  <si>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</si>
  <si>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</si>
  <si>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</si>
  <si>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</si>
  <si>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</si>
  <si>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</si>
  <si>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</si>
  <si>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</si>
  <si>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</si>
  <si>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</si>
  <si>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</si>
  <si>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</si>
  <si>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</si>
  <si>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</si>
  <si>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</si>
  <si>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</si>
  <si>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</si>
  <si>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</si>
  <si>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</si>
  <si>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</si>
  <si>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</si>
  <si>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</si>
  <si>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</si>
  <si>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</si>
  <si>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</si>
  <si>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</si>
  <si>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</si>
  <si>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</si>
  <si>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</si>
  <si>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</si>
  <si>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</si>
  <si>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</si>
  <si>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</si>
  <si>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</si>
  <si>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</si>
  <si>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</si>
  <si>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</si>
  <si>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</si>
  <si>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</si>
  <si>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</si>
  <si>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</si>
  <si>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</si>
  <si>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</si>
  <si>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</si>
  <si>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</si>
  <si>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</si>
  <si>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</si>
  <si>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</si>
  <si>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</si>
  <si>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</si>
  <si>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</si>
  <si>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</si>
  <si>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</si>
  <si>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</si>
  <si>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</si>
  <si>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</si>
  <si>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</si>
  <si>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</si>
  <si>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</si>
  <si>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</si>
  <si>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</si>
  <si>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</si>
  <si>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</si>
  <si>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</si>
  <si>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</si>
  <si>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</si>
  <si>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</si>
  <si>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</si>
  <si>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</si>
  <si>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</si>
  <si>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</si>
  <si>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</si>
  <si>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</si>
  <si>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</si>
  <si>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</si>
  <si>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</si>
  <si>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</si>
  <si>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</si>
  <si>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</si>
  <si>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</si>
  <si>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</si>
  <si>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</si>
  <si>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</si>
  <si>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</si>
  <si>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</si>
  <si>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</si>
  <si>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</si>
  <si>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</si>
  <si>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</si>
  <si>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</si>
  <si>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</si>
  <si>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</si>
  <si>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</si>
  <si>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</si>
  <si>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</si>
  <si>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</si>
  <si>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</si>
  <si>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</si>
  <si>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</si>
  <si>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</si>
  <si>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</si>
  <si>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</si>
  <si>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</si>
  <si>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</si>
  <si>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</si>
  <si>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</si>
  <si>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</si>
  <si>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</si>
  <si>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</si>
  <si>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</si>
  <si>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</si>
  <si>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</si>
  <si>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</si>
  <si>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</si>
  <si>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</si>
  <si>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</si>
  <si>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</si>
  <si>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</si>
  <si>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</si>
  <si>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</si>
  <si>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</si>
  <si>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</si>
  <si>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</si>
  <si>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</si>
  <si>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</si>
  <si>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</si>
  <si>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</si>
  <si>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</si>
  <si>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</si>
  <si>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</si>
  <si>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</si>
  <si>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</si>
  <si>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</si>
  <si>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</si>
  <si>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</si>
  <si>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</si>
  <si>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</si>
  <si>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</si>
  <si>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</si>
  <si>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</si>
  <si>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</si>
  <si>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</si>
  <si>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</si>
  <si>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</si>
  <si>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</si>
  <si>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</si>
  <si>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</si>
  <si>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</si>
  <si>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</si>
  <si>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</si>
  <si>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</si>
  <si>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</si>
  <si>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</si>
  <si>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</si>
  <si>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</si>
  <si>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</si>
  <si>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</si>
  <si>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</si>
  <si>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</si>
  <si>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</si>
  <si>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</si>
  <si>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</si>
  <si>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</si>
  <si>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</si>
  <si>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</si>
  <si>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</si>
  <si>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</si>
  <si>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</si>
  <si>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</si>
  <si>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</si>
  <si>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</si>
  <si>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</si>
  <si>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</si>
  <si>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</si>
  <si>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</si>
  <si>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</si>
  <si>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</si>
  <si>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</si>
  <si>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</si>
  <si>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</si>
  <si>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</si>
  <si>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</si>
  <si>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</si>
  <si>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</si>
  <si>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</si>
  <si>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</si>
  <si>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</si>
  <si>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</si>
  <si>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</si>
  <si>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</si>
  <si>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</si>
  <si>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</si>
  <si>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</si>
  <si>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</si>
  <si>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</si>
  <si>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</si>
  <si>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</si>
  <si>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</si>
  <si>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</si>
  <si>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</si>
  <si>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</si>
  <si>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</si>
  <si>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</si>
  <si>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</si>
  <si>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</si>
  <si>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</si>
  <si>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</si>
  <si>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</si>
  <si>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</si>
  <si>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</si>
  <si>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</si>
  <si>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</si>
  <si>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</si>
  <si>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</si>
  <si>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</si>
  <si>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</si>
  <si>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</si>
  <si>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</si>
  <si>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</si>
  <si>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</si>
  <si>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</si>
  <si>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</si>
  <si>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</si>
  <si>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</si>
  <si>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</si>
  <si>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</si>
  <si>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</si>
  <si>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</si>
  <si>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</si>
  <si>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</si>
  <si>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</si>
  <si>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</si>
  <si>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</si>
  <si>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</si>
  <si>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</si>
  <si>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</si>
  <si>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</si>
  <si>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</si>
  <si>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</si>
  <si>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</si>
  <si>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</si>
  <si>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</si>
  <si>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</si>
  <si>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</si>
  <si>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</si>
  <si>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</si>
  <si>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</si>
  <si>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</si>
  <si>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</si>
  <si>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</si>
  <si>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</si>
  <si>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</si>
  <si>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</si>
  <si>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</si>
  <si>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</si>
  <si>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</si>
  <si>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</si>
  <si>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</si>
  <si>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</si>
  <si>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</si>
  <si>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</si>
  <si>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</si>
  <si>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</si>
  <si>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</si>
  <si>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</si>
  <si>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</si>
  <si>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</si>
  <si>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</si>
  <si>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</si>
  <si>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</si>
  <si>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</si>
  <si>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</si>
  <si>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</si>
  <si>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</si>
  <si>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</si>
  <si>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</si>
  <si>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</si>
  <si>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</si>
  <si>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</si>
  <si>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</si>
  <si>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</si>
  <si>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</si>
  <si>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</si>
  <si>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</si>
  <si>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</si>
  <si>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</si>
  <si>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</si>
  <si>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</si>
  <si>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</si>
  <si>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</si>
  <si>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</si>
  <si>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</si>
  <si>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</si>
  <si>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</si>
  <si>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</si>
  <si>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</si>
  <si>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</si>
  <si>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</si>
  <si>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</si>
  <si>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</si>
  <si>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</si>
  <si>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</si>
  <si>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</si>
  <si>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</si>
  <si>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</si>
  <si>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</si>
  <si>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</si>
  <si>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</si>
  <si>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</si>
  <si>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</si>
  <si>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</si>
  <si>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</si>
  <si>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</si>
  <si>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</si>
  <si>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</si>
  <si>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</si>
  <si>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</si>
  <si>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</si>
  <si>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</si>
  <si>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</si>
  <si>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</si>
  <si>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</si>
  <si>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</si>
  <si>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</si>
  <si>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</si>
  <si>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</si>
  <si>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</si>
  <si>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</si>
  <si>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</si>
  <si>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</si>
  <si>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</si>
  <si>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</si>
  <si>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</si>
  <si>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</si>
  <si>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</si>
  <si>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</si>
  <si>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</si>
  <si>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</si>
  <si>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</si>
  <si>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</si>
  <si>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</si>
  <si>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</si>
  <si>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</si>
  <si>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</si>
  <si>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</si>
  <si>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</si>
  <si>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</si>
  <si>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</si>
  <si>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</si>
  <si>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</si>
  <si>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</si>
  <si>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</si>
  <si>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</si>
  <si>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</si>
  <si>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</si>
  <si>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</si>
  <si>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</si>
  <si>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</si>
  <si>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</si>
  <si>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</si>
  <si>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</si>
  <si>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</si>
  <si>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</si>
  <si>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</si>
  <si>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</si>
  <si>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</si>
  <si>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</si>
  <si>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</si>
  <si>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</si>
  <si>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</si>
  <si>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</si>
  <si>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</si>
  <si>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</si>
  <si>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</si>
  <si>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</si>
  <si>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</si>
  <si>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</si>
  <si>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</si>
  <si>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</si>
  <si>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</si>
  <si>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</si>
  <si>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</si>
  <si>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</si>
  <si>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</si>
  <si>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</si>
  <si>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</si>
  <si>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</si>
  <si>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</si>
  <si>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</si>
  <si>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</si>
  <si>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</si>
  <si>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</si>
  <si>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</si>
  <si>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</si>
  <si>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</si>
  <si>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</si>
  <si>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</si>
  <si>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</si>
  <si>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</si>
  <si>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</si>
  <si>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</si>
  <si>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</si>
  <si>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</si>
  <si>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</si>
  <si>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</si>
  <si>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</si>
  <si>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</si>
  <si>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</si>
  <si>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</si>
  <si>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</si>
  <si>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</si>
  <si>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</si>
  <si>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</si>
  <si>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</si>
  <si>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</si>
  <si>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</si>
  <si>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</si>
  <si>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</si>
  <si>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</si>
  <si>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</si>
  <si>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</si>
  <si>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</si>
  <si>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</si>
  <si>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</si>
  <si>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</si>
  <si>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</si>
  <si>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</si>
  <si>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</si>
  <si>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</si>
  <si>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</si>
  <si>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</si>
  <si>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</si>
  <si>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</si>
  <si>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</si>
  <si>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</si>
  <si>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</si>
  <si>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</si>
  <si>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</si>
  <si>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</si>
  <si>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</si>
  <si>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</si>
  <si>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</si>
  <si>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</si>
  <si>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</si>
  <si>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</si>
  <si>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</si>
  <si>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</si>
  <si>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</si>
  <si>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</si>
  <si>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</si>
  <si>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</si>
  <si>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</si>
  <si>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</si>
  <si>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</si>
  <si>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</si>
  <si>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</si>
  <si>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</si>
  <si>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</si>
  <si>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</si>
  <si>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</si>
  <si>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</si>
  <si>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</si>
  <si>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</si>
  <si>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</si>
  <si>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</si>
  <si>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</si>
  <si>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</si>
  <si>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</si>
  <si>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</si>
  <si>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</si>
  <si>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</si>
  <si>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</si>
  <si>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</si>
  <si>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</si>
  <si>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</si>
  <si>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</si>
  <si>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</si>
  <si>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</si>
  <si>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</si>
  <si>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</si>
  <si>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</si>
  <si>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</si>
  <si>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</si>
  <si>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</si>
  <si>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</si>
  <si>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</si>
  <si>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</si>
  <si>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</si>
  <si>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</si>
  <si>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</si>
  <si>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</si>
  <si>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</si>
  <si>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</si>
  <si>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</si>
  <si>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</si>
  <si>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</si>
  <si>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</si>
  <si>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</si>
  <si>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</si>
  <si>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</si>
  <si>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</si>
  <si>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</si>
  <si>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ANDONI COLMENERO</t>
  </si>
  <si>
    <t>RAQUEL GARCIA-SAMPEDRO</t>
  </si>
  <si>
    <t>LUIS MOULIAA</t>
  </si>
  <si>
    <t>PATRICIA ORTIZ DE ZARATE</t>
  </si>
  <si>
    <t>LIDIA SALIDO</t>
  </si>
  <si>
    <t>IKER BASCONES</t>
  </si>
  <si>
    <t xml:space="preserve">ORIOL GARCIA </t>
  </si>
  <si>
    <t>09:14</t>
  </si>
  <si>
    <t>07:43</t>
  </si>
  <si>
    <t>03:15</t>
  </si>
  <si>
    <t>Good procedures, good communication, checking IR when requested and warning about editions/checkings by their own. Very good scouting with only 3 corrections. Good job!</t>
  </si>
  <si>
    <t>C:\Users\oriol.garcia\OneDrive - EUROLEAGUE\Documents\Season 25-26\Reports\Euroleague\Baskonia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</si>
</sst>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8" sqref="N28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14_138_BAS_MIL_E2025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138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45996.854166666664</v>
      </c>
      <c r="C3" s="157"/>
      <c r="D3" s="39">
        <v>583</v>
      </c>
      <c r="E3" s="29"/>
      <c r="F3" s="26">
        <f>SUBTOTAL(3,I17:I106)</f>
        <v>3</v>
      </c>
      <c r="G3" s="27">
        <f>IF(OR(D3="",D3=0),"",F3/D3)</f>
        <v>5.1457975986277877E-3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Baskonia Vitoria-Gasteiz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5.1457975986277877E-3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0.51457975986277882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5.5145797598627784</v>
      </c>
      <c r="N7" s="58"/>
      <c r="O7" s="2"/>
      <c r="P7" s="2"/>
      <c r="Q7" s="86">
        <f>SUM(R5,S5,AC16)</f>
        <v>5.5145797598627784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5.5145797598627784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138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138</v>
      </c>
      <c r="D17" s="32" t="s">
        <v>757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13</v>
      </c>
      <c r="J17" s="13" t="s">
        <v>4</v>
      </c>
      <c r="K17" s="13" t="s">
        <v>62</v>
      </c>
      <c r="L17" s="13" t="s">
        <v>7</v>
      </c>
      <c r="M17" s="13" t="s">
        <v>37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138</v>
      </c>
      <c r="D18" s="32" t="s">
        <v>758</v>
      </c>
      <c r="E18" s="33">
        <v>2</v>
      </c>
      <c r="F18" s="36">
        <v>29</v>
      </c>
      <c r="G18" s="36">
        <v>25</v>
      </c>
      <c r="H18" s="38" t="str">
        <f t="shared" ref="H18:H81" si="8">IF(I18="","",$I$14)</f>
        <v>SCOUTING</v>
      </c>
      <c r="I18" s="34">
        <v>178</v>
      </c>
      <c r="J18" s="13" t="s">
        <v>4</v>
      </c>
      <c r="K18" s="13" t="s">
        <v>61</v>
      </c>
      <c r="L18" s="13" t="s">
        <v>48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138</v>
      </c>
      <c r="D19" s="32" t="s">
        <v>759</v>
      </c>
      <c r="E19" s="33">
        <v>4</v>
      </c>
      <c r="F19" s="36">
        <v>81</v>
      </c>
      <c r="G19" s="36">
        <v>67</v>
      </c>
      <c r="H19" s="38" t="str">
        <f t="shared" si="8"/>
        <v>SCOUTING</v>
      </c>
      <c r="I19" s="34">
        <v>541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1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1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REPORT_E2025138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"E2025138"</v>
      </c>
      <c r="F3" s="45" t="str">
        <f t="shared" ref="F3:F16" si="0">""""&amp;B3&amp;"""" &amp; " : " &amp;C3&amp;","</f>
        <v>"name" : "E2025138",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"E138"</v>
      </c>
      <c r="F4" s="45" t="str">
        <f t="shared" si="0"/>
        <v>"cod" : "E138",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138</v>
      </c>
      <c r="F6" s="45" t="str">
        <f t="shared" si="0"/>
        <v>"number" : 138,</v>
      </c>
    </row>
    <row r="7" spans="2:6" x14ac:dyDescent="0.25">
      <c r="B7" s="43" t="s">
        <v>116</v>
      </c>
      <c r="C7" s="43" t="str">
        <f ca="1">""""&amp;TEXT('SCOUT &amp; LOGISTICS'!B3,"dd/mm/aaaa")&amp;""""</f>
        <v>"05/12/Friday"</v>
      </c>
      <c r="F7" s="45" t="str">
        <f t="shared" ca="1" si="0"/>
        <v>"date" : "05/12/Friday",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"PATRICIA ORTIZ DE ZARATE"</v>
      </c>
      <c r="F13" s="45" t="str">
        <f t="shared" si="0"/>
        <v>"Timerkeeper" : "PATRICIA ORTIZ DE ZARATE",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"LIDIA SALIDO"</v>
      </c>
      <c r="F14" s="45" t="str">
        <f t="shared" si="0"/>
        <v>"Shotclock" : "LIDIA SALIDO",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 "</v>
      </c>
      <c r="F16" s="45" t="str">
        <f t="shared" si="0"/>
        <v>"Live_Game_Manager" : "ORIOL GARCIA 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583</v>
      </c>
      <c r="F25" s="45" t="str">
        <f t="shared" ref="F25:F48" si="1">""""&amp;C25&amp;"""" &amp; " : " &amp;D25&amp;","</f>
        <v>"total_actions" : 583,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procedures, good communication, checking IR when requested and warning about editions/checkings by their own. Very good scouting with only 3 corrections. Good job!"</v>
      </c>
      <c r="F51" s="45" t="str">
        <f>""""&amp;B51&amp;"""" &amp; " : " &amp;C51&amp;","</f>
        <v>"comments" : "Good procedures, good communication, checking IR when requested and warning about editions/checkings by their own. Very good scouting with only 3 corrections. Good job!",</v>
      </c>
    </row>
    <row r="52" spans="2:6" x14ac:dyDescent="0.25">
      <c r="B52" s="43" t="s">
        <v>153</v>
      </c>
      <c r="C52" s="43" t="str">
        <f>TEXT('SCOUT &amp; LOGISTICS'!F1,"0,0")</f>
        <v>14_138_BAS_MIL_E2025</v>
      </c>
      <c r="F52" s="45" t="str">
        <f>""""&amp;B52&amp;"""" &amp; " : " &amp;C52</f>
        <v>"result" : 14_138_BAS_MIL_E2025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E138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05/12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Baskonia Vitoria-Gasteiz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ANDONI COLMENERO</v>
      </c>
      <c r="C8" s="206"/>
      <c r="D8" s="206"/>
      <c r="E8" s="206"/>
      <c r="F8" s="206"/>
      <c r="G8" s="206" t="str">
        <f>IF('SCOUT &amp; LOGISTICS'!D7="","",'SCOUT &amp; LOGISTICS'!D7)</f>
        <v>RAQUEL GARCIA-SAMPEDRO</v>
      </c>
      <c r="H8" s="206"/>
      <c r="I8" s="206"/>
      <c r="J8" s="206"/>
      <c r="K8" s="206"/>
      <c r="L8" s="206" t="str">
        <f>IF('SCOUT &amp; LOGISTICS'!D8="","",'SCOUT &amp; LOGISTICS'!D8)</f>
        <v>LUIS MOULIAA</v>
      </c>
      <c r="M8" s="206"/>
      <c r="N8" s="206"/>
      <c r="O8" s="206"/>
      <c r="P8" s="206"/>
      <c r="Q8" s="206" t="str">
        <f>IF('SCOUT &amp; LOGISTICS'!D9="","",'SCOUT &amp; LOGISTICS'!D9)</f>
        <v>PATRICIA ORTIZ DE ZARATE</v>
      </c>
      <c r="R8" s="206"/>
      <c r="S8" s="206"/>
      <c r="T8" s="206"/>
      <c r="U8" s="206"/>
      <c r="V8" s="206" t="str">
        <f>IF('SCOUT &amp; LOGISTICS'!D10="","",'SCOUT &amp; LOGISTICS'!D10)</f>
        <v>LIDIA SALIDO</v>
      </c>
      <c r="W8" s="206"/>
      <c r="X8" s="206"/>
      <c r="Y8" s="206"/>
      <c r="Z8" s="206"/>
      <c r="AA8" s="206" t="str">
        <f>IF('SCOUT &amp; LOGISTICS'!D11="","",'SCOUT &amp; LOGISTICS'!D11)</f>
        <v>IKER BASCONES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5.1457975986277877E-3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Good procedures, good communication, checking IR when requested and warning about editions/checkings by their own. Very good scouting with only 3 corrections.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5.5145797598627784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3D7616-58F2-4610-96F6-2FC22F8EEB99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2025-12-11T17:32:13Z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