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2" documentId="8_{6F23A1FD-5096-4D7F-AB06-927DC738068E}" xr6:coauthVersionLast="47" xr6:coauthVersionMax="47" xr10:uidLastSave="{0FC82E73-2D25-4E34-8A16-C3733CC09F7F}"/>
  <bookViews>
    <workbookView xWindow="-28920" yWindow="675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<sst xmlns="http://schemas.openxmlformats.org/spreadsheetml/2006/main" count="3387" uniqueCount="840">
  <si>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</si>
  <si>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</si>
  <si>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</si>
  <si>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</si>
  <si>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</si>
  <si>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</si>
  <si>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</si>
  <si>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</si>
  <si>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</si>
  <si>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</si>
  <si>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</si>
  <si>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</si>
  <si>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</si>
  <si>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</si>
  <si>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</si>
  <si>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</si>
  <si>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</si>
  <si>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</si>
  <si>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</si>
  <si>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</si>
  <si>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</si>
  <si>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</si>
  <si>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</si>
  <si>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</si>
  <si>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</si>
  <si>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</si>
  <si>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</si>
  <si>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</si>
  <si>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</si>
  <si>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</si>
  <si>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</si>
  <si>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</si>
  <si>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</si>
  <si>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</si>
  <si>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</si>
  <si>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</si>
  <si>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</si>
  <si>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</si>
  <si>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</si>
  <si>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</si>
  <si>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</si>
  <si>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</si>
  <si>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</si>
  <si>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</si>
  <si>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</si>
  <si>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</si>
  <si>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</si>
  <si>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</si>
  <si>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</si>
  <si>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</si>
  <si>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</si>
  <si>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</si>
  <si>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</si>
  <si>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</si>
  <si>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</si>
  <si>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</si>
  <si>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</si>
  <si>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</si>
  <si>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</si>
  <si>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</si>
  <si>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</si>
  <si>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</si>
  <si>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</si>
  <si>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</si>
  <si>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</si>
  <si>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</si>
  <si>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</si>
  <si>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</si>
  <si>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</si>
  <si>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</si>
  <si>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</si>
  <si>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</si>
  <si>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</si>
  <si>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</si>
  <si>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</si>
  <si>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</si>
  <si>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</si>
  <si>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</si>
  <si>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</si>
  <si>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</si>
  <si>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</si>
  <si>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</si>
  <si>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</si>
  <si>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</si>
  <si>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</si>
  <si>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</si>
  <si>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</si>
  <si>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</si>
  <si>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</si>
  <si>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</si>
  <si>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</si>
  <si>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</si>
  <si>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</si>
  <si>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</si>
  <si>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</si>
  <si>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</si>
  <si>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</si>
  <si>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</si>
  <si>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</si>
  <si>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</si>
  <si>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</si>
  <si>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</si>
  <si>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</si>
  <si>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</si>
  <si>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</si>
  <si>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</si>
  <si>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</si>
  <si>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</si>
  <si>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</si>
  <si>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</si>
  <si>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</si>
  <si>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</si>
  <si>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</si>
  <si>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</si>
  <si>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</si>
  <si>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</si>
  <si>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</si>
  <si>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</si>
  <si>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</si>
  <si>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</si>
  <si>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</si>
  <si>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</si>
  <si>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</si>
  <si>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</si>
  <si>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</si>
  <si>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</si>
  <si>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</si>
  <si>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</si>
  <si>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</si>
  <si>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</si>
  <si>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</si>
  <si>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</si>
  <si>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</si>
  <si>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</si>
  <si>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</si>
  <si>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</si>
  <si>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</si>
  <si>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</si>
  <si>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</si>
  <si>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</si>
  <si>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</si>
  <si>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</si>
  <si>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</si>
  <si>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</si>
  <si>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</si>
  <si>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</si>
  <si>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</si>
  <si>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</si>
  <si>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</si>
  <si>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</si>
  <si>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</si>
  <si>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</si>
  <si>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</si>
  <si>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</si>
  <si>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</si>
  <si>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</si>
  <si>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</si>
  <si>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</si>
  <si>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</si>
  <si>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</si>
  <si>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</si>
  <si>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</si>
  <si>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</si>
  <si>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</si>
  <si>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</si>
  <si>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</si>
  <si>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</si>
  <si>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</si>
  <si>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</si>
  <si>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</si>
  <si>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</si>
  <si>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</si>
  <si>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</si>
  <si>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</si>
  <si>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</si>
  <si>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</si>
  <si>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</si>
  <si>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</si>
  <si>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</si>
  <si>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</si>
  <si>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</si>
  <si>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</si>
  <si>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</si>
  <si>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</si>
  <si>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</si>
  <si>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</si>
  <si>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</si>
  <si>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</si>
  <si>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</si>
  <si>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</si>
  <si>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</si>
  <si>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</si>
  <si>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</si>
  <si>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</si>
  <si>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</si>
  <si>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</si>
  <si>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</si>
  <si>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</si>
  <si>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</si>
  <si>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</si>
  <si>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</si>
  <si>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</si>
  <si>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</si>
  <si>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</si>
  <si>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</si>
  <si>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</si>
  <si>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</si>
  <si>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</si>
  <si>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</si>
  <si>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</si>
  <si>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</si>
  <si>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</si>
  <si>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</si>
  <si>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</si>
  <si>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</si>
  <si>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</si>
  <si>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</si>
  <si>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</si>
  <si>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</si>
  <si>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</si>
  <si>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</si>
  <si>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</si>
  <si>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</si>
  <si>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</si>
  <si>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</si>
  <si>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</si>
  <si>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</si>
  <si>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</si>
  <si>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</si>
  <si>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</si>
  <si>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</si>
  <si>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</si>
  <si>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</si>
  <si>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</si>
  <si>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</si>
  <si>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</si>
  <si>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</si>
  <si>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</si>
  <si>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</si>
  <si>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</si>
  <si>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</si>
  <si>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</si>
  <si>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</si>
  <si>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</si>
  <si>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</si>
  <si>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</si>
  <si>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</si>
  <si>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</si>
  <si>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</si>
  <si>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</si>
  <si>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</si>
  <si>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</si>
  <si>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</si>
  <si>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</si>
  <si>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</si>
  <si>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</si>
  <si>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</si>
  <si>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</si>
  <si>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</si>
  <si>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</si>
  <si>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</si>
  <si>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</si>
  <si>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</si>
  <si>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</si>
  <si>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</si>
  <si>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</si>
  <si>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</si>
  <si>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</si>
  <si>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</si>
  <si>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</si>
  <si>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</si>
  <si>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</si>
  <si>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</si>
  <si>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</si>
  <si>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</si>
  <si>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</si>
  <si>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</si>
  <si>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</si>
  <si>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</si>
  <si>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</si>
  <si>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</si>
  <si>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</si>
  <si>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</si>
  <si>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</si>
  <si>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</si>
  <si>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</si>
  <si>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</si>
  <si>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</si>
  <si>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</si>
  <si>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</si>
  <si>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</si>
  <si>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</si>
  <si>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</si>
  <si>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</si>
  <si>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</si>
  <si>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</si>
  <si>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</si>
  <si>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</si>
  <si>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</si>
  <si>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</si>
  <si>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</si>
  <si>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</si>
  <si>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</si>
  <si>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</si>
  <si>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</si>
  <si>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</si>
  <si>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</si>
  <si>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</si>
  <si>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</si>
  <si>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</si>
  <si>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</si>
  <si>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</si>
  <si>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</si>
  <si>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</si>
  <si>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</si>
  <si>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</si>
  <si>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</si>
  <si>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</si>
  <si>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</si>
  <si>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</si>
  <si>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</si>
  <si>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</si>
  <si>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</si>
  <si>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</si>
  <si>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</si>
  <si>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</si>
  <si>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</si>
  <si>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</si>
  <si>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</si>
  <si>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</si>
  <si>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</si>
  <si>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</si>
  <si>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</si>
  <si>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</si>
  <si>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</si>
  <si>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</si>
  <si>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</si>
  <si>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</si>
  <si>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</si>
  <si>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</si>
  <si>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</si>
  <si>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</si>
  <si>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</si>
  <si>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</si>
  <si>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</si>
  <si>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</si>
  <si>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</si>
  <si>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</si>
  <si>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</si>
  <si>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</si>
  <si>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</si>
  <si>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</si>
  <si>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</si>
  <si>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</si>
  <si>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</si>
  <si>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</si>
  <si>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</si>
  <si>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</si>
  <si>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</si>
  <si>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</si>
  <si>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</si>
  <si>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</si>
  <si>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</si>
  <si>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</si>
  <si>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</si>
  <si>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</si>
  <si>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</si>
  <si>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</si>
  <si>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</si>
  <si>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</si>
  <si>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</si>
  <si>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</si>
  <si>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</si>
  <si>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</si>
  <si>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</si>
  <si>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</si>
  <si>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</si>
  <si>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</si>
  <si>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</si>
  <si>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</si>
  <si>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</si>
  <si>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</si>
  <si>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</si>
  <si>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</si>
  <si>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</si>
  <si>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</si>
  <si>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</si>
  <si>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</si>
  <si>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</si>
  <si>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</si>
  <si>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</si>
  <si>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</si>
  <si>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</si>
  <si>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</si>
  <si>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</si>
  <si>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</si>
  <si>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</si>
  <si>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</si>
  <si>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</si>
  <si>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</si>
  <si>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</si>
  <si>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</si>
  <si>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</si>
  <si>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</si>
  <si>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</si>
  <si>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</si>
  <si>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</si>
  <si>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</si>
  <si>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</si>
  <si>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</si>
  <si>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</si>
  <si>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</si>
  <si>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</si>
  <si>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</si>
  <si>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</si>
  <si>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</si>
  <si>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</si>
  <si>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</si>
  <si>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</si>
  <si>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</si>
  <si>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</si>
  <si>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</si>
  <si>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</si>
  <si>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</si>
  <si>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</si>
  <si>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</si>
  <si>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</si>
  <si>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</si>
  <si>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</si>
  <si>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</si>
  <si>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</si>
  <si>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</si>
  <si>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</si>
  <si>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</si>
  <si>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</si>
  <si>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</si>
  <si>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</si>
  <si>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</si>
  <si>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</si>
  <si>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</si>
  <si>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</si>
  <si>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</si>
  <si>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</si>
  <si>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</si>
  <si>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</si>
  <si>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</si>
  <si>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</si>
  <si>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</si>
  <si>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</si>
  <si>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</si>
  <si>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</si>
  <si>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</si>
  <si>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</si>
  <si>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</si>
  <si>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</si>
  <si>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</si>
  <si>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</si>
  <si>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</si>
  <si>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</si>
  <si>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</si>
  <si>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</si>
  <si>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</si>
  <si>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</si>
  <si>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</si>
  <si>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</si>
  <si>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</si>
  <si>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</si>
  <si>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</si>
  <si>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</si>
  <si>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</si>
  <si>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</si>
  <si>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</si>
  <si>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</si>
  <si>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</si>
  <si>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</si>
  <si>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</si>
  <si>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</si>
  <si>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</si>
  <si>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</si>
  <si>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</si>
  <si>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</si>
  <si>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</si>
  <si>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</si>
  <si>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</si>
  <si>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</si>
  <si>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</si>
  <si>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</si>
  <si>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</si>
  <si>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</si>
  <si>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</si>
  <si>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</si>
  <si>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</si>
  <si>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</si>
  <si>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</si>
  <si>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</si>
  <si>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</si>
  <si>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</si>
  <si>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</si>
  <si>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</si>
  <si>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</si>
  <si>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</si>
  <si>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</si>
  <si>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</si>
  <si>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</si>
  <si>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</si>
  <si>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</si>
  <si>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</si>
  <si>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</si>
  <si>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</si>
  <si>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</si>
  <si>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</si>
  <si>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</si>
  <si>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</si>
  <si>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</si>
  <si>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</si>
  <si>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</si>
  <si>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</si>
  <si>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</si>
  <si>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</si>
  <si>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</si>
  <si>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</si>
  <si>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</si>
  <si>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</si>
  <si>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</si>
  <si>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</si>
  <si>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</si>
  <si>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</si>
  <si>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</si>
  <si>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</si>
  <si>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</si>
  <si>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</si>
  <si>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</si>
  <si>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</si>
  <si>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</si>
  <si>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</si>
  <si>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</si>
  <si>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</si>
  <si>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</si>
  <si>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</si>
  <si>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</si>
  <si>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</si>
  <si>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</si>
  <si>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</si>
  <si>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</si>
  <si>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</si>
  <si>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</si>
  <si>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</si>
  <si>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</si>
  <si>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</si>
  <si>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</si>
  <si>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</si>
  <si>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</si>
  <si>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</si>
  <si>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</si>
  <si>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</si>
  <si>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</si>
  <si>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</si>
  <si>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</si>
  <si>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</si>
  <si>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</si>
  <si>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</si>
  <si>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</si>
  <si>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</si>
  <si>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</si>
  <si>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</si>
  <si>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</si>
  <si>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</si>
  <si>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</si>
  <si>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</si>
  <si>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</si>
  <si>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</si>
  <si>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</si>
  <si>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</si>
  <si>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</si>
  <si>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</si>
  <si>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</si>
  <si>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</si>
  <si>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</si>
  <si>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</si>
  <si>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</si>
  <si>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</si>
  <si>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</si>
  <si>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</si>
  <si>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</si>
  <si>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</si>
  <si>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</si>
  <si>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</si>
  <si>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</si>
  <si>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</si>
  <si>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</si>
  <si>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</si>
  <si>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</si>
  <si>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</si>
  <si>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</si>
  <si>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</si>
  <si>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</si>
  <si>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</si>
  <si>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</si>
  <si>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</si>
  <si>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</si>
  <si>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</si>
  <si>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</si>
  <si>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</si>
  <si>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</si>
  <si>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</si>
  <si>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</si>
  <si>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</si>
  <si>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</si>
  <si>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</si>
  <si>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</si>
  <si>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</si>
  <si>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</si>
  <si>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</si>
  <si>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</si>
  <si>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</si>
  <si>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</si>
  <si>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</si>
  <si>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</si>
  <si>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</si>
  <si>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</si>
  <si>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</si>
  <si>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</si>
  <si>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</si>
  <si>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</si>
  <si>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</si>
  <si>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</si>
  <si>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</si>
  <si>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</si>
  <si>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</si>
  <si>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</si>
  <si>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</si>
  <si>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</si>
  <si>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</si>
  <si>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</si>
  <si>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</si>
  <si>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</si>
  <si>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</si>
  <si>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</si>
  <si>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</si>
  <si>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</si>
  <si>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</si>
  <si>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</si>
  <si>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</si>
  <si>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</si>
  <si>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</si>
  <si>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</si>
  <si>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</si>
  <si>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</si>
  <si>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</si>
  <si>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</si>
  <si>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</si>
  <si>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</si>
  <si>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</si>
  <si>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</si>
  <si>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</si>
  <si>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</si>
  <si>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</si>
  <si>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</si>
  <si>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</si>
  <si>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</si>
  <si>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</si>
  <si>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</si>
  <si>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</si>
  <si>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</si>
  <si>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</si>
  <si>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</si>
  <si>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</si>
  <si>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</si>
  <si>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</si>
  <si>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</si>
  <si>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</si>
  <si>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</si>
  <si>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</si>
  <si>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</si>
  <si>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</si>
  <si>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</si>
  <si>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</si>
  <si>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</si>
  <si>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</si>
  <si>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</si>
  <si>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</si>
  <si>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</si>
  <si>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</si>
  <si>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</si>
  <si>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</si>
  <si>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</si>
  <si>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</si>
  <si>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</si>
  <si>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</si>
  <si>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</si>
  <si>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</si>
  <si>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</si>
  <si>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</si>
  <si>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</si>
  <si>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</si>
  <si>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</si>
  <si>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</si>
  <si>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</si>
  <si>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</si>
  <si>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</si>
  <si>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</si>
  <si>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</si>
  <si>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</si>
  <si>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</si>
  <si>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</si>
  <si>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</si>
  <si>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</si>
  <si>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</si>
  <si>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</si>
  <si>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</si>
  <si>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</si>
  <si>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</si>
  <si>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</si>
  <si>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</si>
  <si>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</si>
  <si>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</si>
  <si>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</si>
  <si>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</si>
  <si>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</si>
  <si>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</si>
  <si>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</si>
  <si>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</si>
  <si>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</si>
  <si>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</si>
  <si>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</si>
  <si>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</si>
  <si>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</si>
  <si>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</si>
  <si>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</si>
  <si>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</si>
  <si>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</si>
  <si>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</si>
  <si>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</si>
  <si>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</si>
  <si>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</si>
  <si>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</si>
  <si>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</si>
  <si>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</si>
  <si>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</si>
  <si>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</si>
  <si>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</si>
  <si>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</si>
  <si>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</si>
  <si>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</si>
  <si>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</si>
  <si>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</si>
  <si>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</si>
  <si>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</si>
  <si>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</si>
  <si>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</si>
  <si>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</si>
  <si>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</si>
  <si>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</si>
  <si>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</si>
  <si>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</si>
  <si>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</si>
  <si>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</si>
  <si>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</si>
  <si>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</si>
  <si>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</si>
  <si>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</si>
  <si>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</si>
  <si>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</si>
  <si>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</si>
  <si>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</si>
  <si>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</si>
  <si>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</si>
  <si>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</si>
  <si>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</si>
  <si>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</si>
  <si>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</si>
  <si>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</si>
  <si>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</si>
  <si>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</si>
  <si>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</si>
  <si>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</si>
  <si>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</si>
  <si>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</si>
  <si>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</si>
  <si>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</si>
  <si>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</si>
  <si>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</si>
  <si>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</si>
  <si>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</si>
  <si>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</si>
  <si>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</si>
  <si>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</si>
  <si>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</si>
  <si>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</si>
  <si>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</si>
  <si>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</si>
  <si>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</si>
  <si>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</si>
  <si>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</si>
  <si>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</si>
  <si>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</si>
  <si>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</si>
  <si>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</si>
  <si>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</si>
  <si>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</si>
  <si>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</si>
  <si>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</si>
  <si>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</si>
  <si>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</si>
  <si>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</si>
  <si>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</si>
  <si>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</si>
  <si>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</si>
  <si>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</si>
  <si>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</si>
  <si>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</si>
  <si>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</si>
  <si>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</si>
  <si>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</si>
  <si>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</si>
  <si>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</si>
  <si>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</si>
  <si>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</si>
  <si>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</si>
  <si>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</si>
  <si>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</si>
  <si>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</si>
  <si>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</si>
  <si>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</si>
  <si>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</si>
  <si>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</si>
  <si>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DANILO KONATAR</t>
  </si>
  <si>
    <t>TATJANA CETKOVIC</t>
  </si>
  <si>
    <t>ORIOL GARCIA</t>
  </si>
  <si>
    <t>05:02</t>
  </si>
  <si>
    <t>08:48</t>
  </si>
  <si>
    <t>08:00</t>
  </si>
  <si>
    <t>04:27</t>
  </si>
  <si>
    <t>03:10</t>
  </si>
  <si>
    <t>03:07</t>
  </si>
  <si>
    <t>09:10</t>
  </si>
  <si>
    <t>08:38</t>
  </si>
  <si>
    <t>06:15</t>
  </si>
  <si>
    <t>Please test both computers before we need to remind. On scouting take care on deflections relating steals. Well done on communication and corrections during the game.</t>
  </si>
  <si>
    <t>C:\Users\oriol.garcia\OneDrive - EUROLEAGUE\Documents\Season 25-26\Reports\Eurocup\Buducnost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</si>
</sst>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6" sqref="N2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14_138_BUD_LKB_U2025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46036.791666666664</v>
      </c>
      <c r="C3" s="157"/>
      <c r="D3" s="39">
        <v>545</v>
      </c>
      <c r="E3" s="29"/>
      <c r="F3" s="26">
        <f>SUBTOTAL(3,I17:I106)</f>
        <v>11</v>
      </c>
      <c r="G3" s="27">
        <f>IF(OR(D3="",D3=0),"",F3/D3)</f>
        <v>2.0183486238532111E-2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Buducnost VOLI Podgorica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BUD</v>
      </c>
      <c r="I4" s="5"/>
      <c r="J4" s="119" t="s">
        <v>714</v>
      </c>
      <c r="K4" s="54" t="s">
        <v>743</v>
      </c>
      <c r="L4" s="5"/>
      <c r="M4" s="167" t="s">
        <v>838</v>
      </c>
      <c r="N4" s="168"/>
      <c r="O4" s="2"/>
      <c r="P4" s="2"/>
      <c r="Q4" s="84" t="s">
        <v>175</v>
      </c>
      <c r="R4" s="94">
        <f>(IF(G3="",0,G3))</f>
        <v>2.0183486238532111E-2</v>
      </c>
      <c r="S4" s="61">
        <f>SUM(I13:M13)</f>
        <v>0</v>
      </c>
      <c r="T4" s="78"/>
      <c r="U4" s="61">
        <f>AC18</f>
        <v>4</v>
      </c>
      <c r="V4" s="61">
        <f>+AC22</f>
        <v>4</v>
      </c>
      <c r="W4" s="61">
        <f>AC24</f>
        <v>0</v>
      </c>
      <c r="X4" s="61">
        <f>AC29</f>
        <v>2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Lietkabelis Panevezys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2.0183486238532113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4</v>
      </c>
      <c r="W5" s="70">
        <f t="shared" si="1"/>
        <v>0</v>
      </c>
      <c r="X5" s="70">
        <f t="shared" si="1"/>
        <v>2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719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718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12.01834862385321</v>
      </c>
      <c r="N7" s="58"/>
      <c r="O7" s="2"/>
      <c r="P7" s="2"/>
      <c r="Q7" s="86">
        <f>SUM(R5,S5,AC16)</f>
        <v>12.01834862385321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12.01834862385321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138</v>
      </c>
      <c r="D17" s="32" t="s">
        <v>829</v>
      </c>
      <c r="E17" s="33">
        <v>1</v>
      </c>
      <c r="F17" s="36">
        <v>12</v>
      </c>
      <c r="G17" s="36">
        <v>11</v>
      </c>
      <c r="H17" s="38" t="str">
        <f>IF(I17="","",$I$14)</f>
        <v>SCOUTING</v>
      </c>
      <c r="I17" s="34">
        <v>50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138</v>
      </c>
      <c r="D18" s="32" t="s">
        <v>830</v>
      </c>
      <c r="E18" s="33">
        <v>2</v>
      </c>
      <c r="F18" s="36">
        <v>26</v>
      </c>
      <c r="G18" s="36">
        <v>27</v>
      </c>
      <c r="H18" s="38" t="str">
        <f t="shared" ref="H18:H81" si="8">IF(I18="","",$I$14)</f>
        <v>SCOUTING</v>
      </c>
      <c r="I18" s="34">
        <v>122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138</v>
      </c>
      <c r="D19" s="32" t="s">
        <v>831</v>
      </c>
      <c r="E19" s="33">
        <v>2</v>
      </c>
      <c r="F19" s="36">
        <v>26</v>
      </c>
      <c r="G19" s="36">
        <v>29</v>
      </c>
      <c r="H19" s="38" t="str">
        <f t="shared" si="8"/>
        <v>SCOUTING</v>
      </c>
      <c r="I19" s="34">
        <v>130</v>
      </c>
      <c r="J19" s="13" t="s">
        <v>4</v>
      </c>
      <c r="K19" s="13" t="s">
        <v>63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3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138</v>
      </c>
      <c r="D20" s="32" t="s">
        <v>832</v>
      </c>
      <c r="E20" s="33">
        <v>2</v>
      </c>
      <c r="F20" s="36">
        <v>34</v>
      </c>
      <c r="G20" s="36">
        <v>40</v>
      </c>
      <c r="H20" s="38" t="str">
        <f t="shared" si="8"/>
        <v>SCOUTING</v>
      </c>
      <c r="I20" s="34">
        <v>181</v>
      </c>
      <c r="J20" s="13" t="s">
        <v>4</v>
      </c>
      <c r="K20" s="13" t="s">
        <v>62</v>
      </c>
      <c r="L20" s="13" t="s">
        <v>48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138</v>
      </c>
      <c r="D21" s="32" t="s">
        <v>833</v>
      </c>
      <c r="E21" s="33">
        <v>2</v>
      </c>
      <c r="F21" s="36">
        <v>37</v>
      </c>
      <c r="G21" s="36">
        <v>44</v>
      </c>
      <c r="H21" s="38" t="str">
        <f t="shared" si="8"/>
        <v>SCOUTING</v>
      </c>
      <c r="I21" s="34">
        <v>208</v>
      </c>
      <c r="J21" s="13" t="s">
        <v>4</v>
      </c>
      <c r="K21" s="13" t="s">
        <v>63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138</v>
      </c>
      <c r="D22" s="32" t="s">
        <v>834</v>
      </c>
      <c r="E22" s="33">
        <v>2</v>
      </c>
      <c r="F22" s="36">
        <v>37</v>
      </c>
      <c r="G22" s="36">
        <v>44</v>
      </c>
      <c r="H22" s="38" t="str">
        <f t="shared" si="8"/>
        <v>SCOUTING</v>
      </c>
      <c r="I22" s="34">
        <v>210</v>
      </c>
      <c r="J22" s="13" t="s">
        <v>4</v>
      </c>
      <c r="K22" s="13" t="s">
        <v>62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138</v>
      </c>
      <c r="D23" s="32" t="s">
        <v>835</v>
      </c>
      <c r="E23" s="33">
        <v>3</v>
      </c>
      <c r="F23" s="36">
        <v>47</v>
      </c>
      <c r="G23" s="36">
        <v>53</v>
      </c>
      <c r="H23" s="38" t="str">
        <f t="shared" si="8"/>
        <v>SCOUTING</v>
      </c>
      <c r="I23" s="34">
        <v>297</v>
      </c>
      <c r="J23" s="13" t="s">
        <v>4</v>
      </c>
      <c r="K23" s="13" t="s">
        <v>61</v>
      </c>
      <c r="L23" s="13" t="s">
        <v>75</v>
      </c>
      <c r="M23" s="13" t="s">
        <v>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138</v>
      </c>
      <c r="D24" s="32" t="s">
        <v>835</v>
      </c>
      <c r="E24" s="33">
        <v>3</v>
      </c>
      <c r="F24" s="36">
        <v>47</v>
      </c>
      <c r="G24" s="36">
        <v>53</v>
      </c>
      <c r="H24" s="38" t="str">
        <f t="shared" si="8"/>
        <v>SCOUTING</v>
      </c>
      <c r="I24" s="34">
        <v>298</v>
      </c>
      <c r="J24" s="13" t="s">
        <v>4</v>
      </c>
      <c r="K24" s="13" t="s">
        <v>61</v>
      </c>
      <c r="L24" s="13" t="s">
        <v>75</v>
      </c>
      <c r="M24" s="13" t="s">
        <v>78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138</v>
      </c>
      <c r="D25" s="32" t="s">
        <v>836</v>
      </c>
      <c r="E25" s="33">
        <v>4</v>
      </c>
      <c r="F25" s="36">
        <v>71</v>
      </c>
      <c r="G25" s="36">
        <v>69</v>
      </c>
      <c r="H25" s="38" t="str">
        <f t="shared" si="8"/>
        <v>SCOUTING</v>
      </c>
      <c r="I25" s="34">
        <v>418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138</v>
      </c>
      <c r="D26" s="32" t="s">
        <v>837</v>
      </c>
      <c r="E26" s="33">
        <v>4</v>
      </c>
      <c r="F26" s="36">
        <v>74</v>
      </c>
      <c r="G26" s="36">
        <v>74</v>
      </c>
      <c r="H26" s="38" t="str">
        <f t="shared" si="8"/>
        <v>SCOUTING</v>
      </c>
      <c r="I26" s="34">
        <v>465</v>
      </c>
      <c r="J26" s="13" t="s">
        <v>4</v>
      </c>
      <c r="K26" s="13" t="s">
        <v>63</v>
      </c>
      <c r="L26" s="13" t="s">
        <v>6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138</v>
      </c>
      <c r="D27" s="32" t="s">
        <v>837</v>
      </c>
      <c r="E27" s="33">
        <v>4</v>
      </c>
      <c r="F27" s="36">
        <v>74</v>
      </c>
      <c r="G27" s="36">
        <v>74</v>
      </c>
      <c r="H27" s="38" t="str">
        <f t="shared" si="8"/>
        <v>SCOUTING</v>
      </c>
      <c r="I27" s="34">
        <v>466</v>
      </c>
      <c r="J27" s="13" t="s">
        <v>4</v>
      </c>
      <c r="K27" s="13" t="s">
        <v>61</v>
      </c>
      <c r="L27" s="13" t="s">
        <v>6</v>
      </c>
      <c r="M27" s="13" t="s">
        <v>25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4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REPORT_U2025138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"U2025138"</v>
      </c>
      <c r="F3" s="45" t="str">
        <f t="shared" ref="F3:F16" si="0">""""&amp;B3&amp;"""" &amp; " : " &amp;C3&amp;","</f>
        <v>"name" : "U2025138",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"U138"</v>
      </c>
      <c r="F4" s="45" t="str">
        <f t="shared" si="0"/>
        <v>"cod" : "U138",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138</v>
      </c>
      <c r="F6" s="45" t="str">
        <f t="shared" si="0"/>
        <v>"number" : 138,</v>
      </c>
    </row>
    <row r="7" spans="2:6" x14ac:dyDescent="0.25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5">
      <c r="B8" s="43" t="s">
        <v>125</v>
      </c>
      <c r="C8" s="43" t="str">
        <f>""""&amp;'SCOUT &amp; LOGISTICS'!D4 &amp;""""</f>
        <v>"Buducnost VOLI Podgorica"</v>
      </c>
      <c r="F8" s="45" t="str">
        <f t="shared" si="0"/>
        <v>"home_team" : "Buducnost VOLI Podgorica",</v>
      </c>
    </row>
    <row r="9" spans="2:6" x14ac:dyDescent="0.25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"LAZAR VUJICIC"</v>
      </c>
      <c r="F10" s="45" t="str">
        <f t="shared" si="0"/>
        <v>"Data_entry" : "LAZAR VUJICIC",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"PETAR VUJACIC"</v>
      </c>
      <c r="F11" s="45" t="str">
        <f t="shared" si="0"/>
        <v>"Caller_1" : "PETAR VUJACIC",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"DANILO KONATAR"</v>
      </c>
      <c r="F12" s="45" t="str">
        <f t="shared" si="0"/>
        <v>"Caller_2" : "DANILO KONATAR",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"TATJANA CETKOVIC"</v>
      </c>
      <c r="F13" s="45" t="str">
        <f t="shared" si="0"/>
        <v>"Timerkeeper" : "TATJANA CETKOVIC",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"KAROLINA RADINOVIC"</v>
      </c>
      <c r="F14" s="45" t="str">
        <f t="shared" si="0"/>
        <v>"Shotclock" : "KAROLINA RADINOVIC",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545</v>
      </c>
      <c r="F25" s="45" t="str">
        <f t="shared" ref="F25:F48" si="1">""""&amp;C25&amp;"""" &amp; " : " &amp;D25&amp;","</f>
        <v>"total_actions" : 545,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3</v>
      </c>
      <c r="F30" s="45" t="str">
        <f t="shared" si="1"/>
        <v>"away_team" : 3,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"Please test both computers before we need to remind. On scouting take care on deflections relating steals. Well done on communication and corrections during the game."</v>
      </c>
      <c r="F51" s="45" t="str">
        <f>""""&amp;B51&amp;"""" &amp; " : " &amp;C51&amp;","</f>
        <v>"comments" : "Please test both computers before we need to remind. On scouting take care on deflections relating steals. Well done on communication and corrections during the game.",</v>
      </c>
    </row>
    <row r="52" spans="2:6" x14ac:dyDescent="0.25">
      <c r="B52" s="43" t="s">
        <v>153</v>
      </c>
      <c r="C52" s="43" t="str">
        <f>TEXT('SCOUT &amp; LOGISTICS'!F1,"0,0")</f>
        <v>14_138_BUD_LKB_U2025</v>
      </c>
      <c r="F52" s="45" t="str">
        <f>""""&amp;B52&amp;"""" &amp; " : " &amp;C52</f>
        <v>"result" : 14_138_BUD_LKB_U2025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U138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14/01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Buducnost Voli Podgorica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Lietkabelis Panevezys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LAZAR VUJICIC</v>
      </c>
      <c r="C8" s="206"/>
      <c r="D8" s="206"/>
      <c r="E8" s="206"/>
      <c r="F8" s="206"/>
      <c r="G8" s="206" t="str">
        <f>IF('SCOUT &amp; LOGISTICS'!D7="","",'SCOUT &amp; LOGISTICS'!D7)</f>
        <v>PETAR VUJACIC</v>
      </c>
      <c r="H8" s="206"/>
      <c r="I8" s="206"/>
      <c r="J8" s="206"/>
      <c r="K8" s="206"/>
      <c r="L8" s="206" t="str">
        <f>IF('SCOUT &amp; LOGISTICS'!D8="","",'SCOUT &amp; LOGISTICS'!D8)</f>
        <v>DANILO KONATAR</v>
      </c>
      <c r="M8" s="206"/>
      <c r="N8" s="206"/>
      <c r="O8" s="206"/>
      <c r="P8" s="206"/>
      <c r="Q8" s="206" t="str">
        <f>IF('SCOUT &amp; LOGISTICS'!D9="","",'SCOUT &amp; LOGISTICS'!D9)</f>
        <v>TATJANA CETKOVIC</v>
      </c>
      <c r="R8" s="206"/>
      <c r="S8" s="206"/>
      <c r="T8" s="206"/>
      <c r="U8" s="206"/>
      <c r="V8" s="206" t="str">
        <f>IF('SCOUT &amp; LOGISTICS'!D10="","",'SCOUT &amp; LOGISTICS'!D10)</f>
        <v>KAROLINA RADINOVIC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2.0183486238532111E-2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3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Please test both computers before we need to remind. On scouting take care on deflections relating steals. Well done on communication and corrections during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12.01834862385321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1091AE-53EF-43C0-8904-9E16D697CBA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2026-01-07T21:11:15Z</cp:lastPrinted>
  <dcterms:created xsi:type="dcterms:W3CDTF">2023-09-19T19:50:35Z</dcterms:created>
  <dcterms:modified xsi:type="dcterms:W3CDTF">2026-01-14T21:05:26Z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