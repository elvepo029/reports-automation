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30" documentId="8_{8EA9632C-703A-476A-B725-9D840D944ADB}" xr6:coauthVersionLast="47" xr6:coauthVersionMax="47" xr10:uidLastSave="{75CC25DC-D058-4D32-9AAB-49C44ADC57CC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<sst xmlns="http://schemas.openxmlformats.org/spreadsheetml/2006/main" count="3250" uniqueCount="757">
  <si>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</si>
  <si>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</si>
  <si>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</si>
  <si>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</si>
  <si>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</si>
  <si>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</si>
  <si>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</si>
  <si>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</si>
  <si>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</si>
  <si>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</si>
  <si>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</si>
  <si>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</si>
  <si>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</si>
  <si>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</si>
  <si>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</si>
  <si>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</si>
  <si>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</si>
  <si>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</si>
  <si>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</si>
  <si>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</si>
  <si>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</si>
  <si>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</si>
  <si>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</si>
  <si>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</si>
  <si>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</si>
  <si>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</si>
  <si>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</si>
  <si>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</si>
  <si>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</si>
  <si>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</si>
  <si>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</si>
  <si>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</si>
  <si>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</si>
  <si>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</si>
  <si>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</si>
  <si>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</si>
  <si>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</si>
  <si>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</si>
  <si>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</si>
  <si>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</si>
  <si>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</si>
  <si>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</si>
  <si>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</si>
  <si>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</si>
  <si>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</si>
  <si>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</si>
  <si>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</si>
  <si>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</si>
  <si>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</si>
  <si>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</si>
  <si>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</si>
  <si>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</si>
  <si>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</si>
  <si>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</si>
  <si>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</si>
  <si>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</si>
  <si>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</si>
  <si>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</si>
  <si>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</si>
  <si>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</si>
  <si>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</si>
  <si>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</si>
  <si>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</si>
  <si>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</si>
  <si>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</si>
  <si>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</si>
  <si>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</si>
  <si>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</si>
  <si>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</si>
  <si>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</si>
  <si>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</si>
  <si>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</si>
  <si>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</si>
  <si>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</si>
  <si>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</si>
  <si>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</si>
  <si>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</si>
  <si>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</si>
  <si>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</si>
  <si>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</si>
  <si>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</si>
  <si>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</si>
  <si>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</si>
  <si>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</si>
  <si>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</si>
  <si>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</si>
  <si>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</si>
  <si>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</si>
  <si>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</si>
  <si>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</si>
  <si>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</si>
  <si>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</si>
  <si>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</si>
  <si>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</si>
  <si>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</si>
  <si>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</si>
  <si>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</si>
  <si>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</si>
  <si>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</si>
  <si>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</si>
  <si>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</si>
  <si>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</si>
  <si>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</si>
  <si>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</si>
  <si>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</si>
  <si>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</si>
  <si>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</si>
  <si>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</si>
  <si>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</si>
  <si>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</si>
  <si>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</si>
  <si>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</si>
  <si>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</si>
  <si>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</si>
  <si>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</si>
  <si>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</si>
  <si>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</si>
  <si>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</si>
  <si>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</si>
  <si>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</si>
  <si>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</si>
  <si>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</si>
  <si>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</si>
  <si>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</si>
  <si>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</si>
  <si>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</si>
  <si>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</si>
  <si>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</si>
  <si>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</si>
  <si>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</si>
  <si>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</si>
  <si>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</si>
  <si>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</si>
  <si>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</si>
  <si>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</si>
  <si>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</si>
  <si>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</si>
  <si>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</si>
  <si>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</si>
  <si>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</si>
  <si>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</si>
  <si>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</si>
  <si>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</si>
  <si>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</si>
  <si>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</si>
  <si>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</si>
  <si>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</si>
  <si>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</si>
  <si>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</si>
  <si>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</si>
  <si>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</si>
  <si>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</si>
  <si>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</si>
  <si>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</si>
  <si>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</si>
  <si>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</si>
  <si>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</si>
  <si>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</si>
  <si>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</si>
  <si>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</si>
  <si>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</si>
  <si>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</si>
  <si>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</si>
  <si>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</si>
  <si>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</si>
  <si>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</si>
  <si>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</si>
  <si>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</si>
  <si>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</si>
  <si>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</si>
  <si>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</si>
  <si>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</si>
  <si>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</si>
  <si>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</si>
  <si>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</si>
  <si>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</si>
  <si>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</si>
  <si>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</si>
  <si>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</si>
  <si>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</si>
  <si>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</si>
  <si>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</si>
  <si>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</si>
  <si>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</si>
  <si>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</si>
  <si>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</si>
  <si>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</si>
  <si>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</si>
  <si>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</si>
  <si>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</si>
  <si>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</si>
  <si>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</si>
  <si>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</si>
  <si>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</si>
  <si>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</si>
  <si>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</si>
  <si>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</si>
  <si>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</si>
  <si>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</si>
  <si>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</si>
  <si>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</si>
  <si>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</si>
  <si>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</si>
  <si>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</si>
  <si>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</si>
  <si>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</si>
  <si>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</si>
  <si>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</si>
  <si>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</si>
  <si>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</si>
  <si>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</si>
  <si>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</si>
  <si>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</si>
  <si>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</si>
  <si>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</si>
  <si>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</si>
  <si>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</si>
  <si>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</si>
  <si>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</si>
  <si>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</si>
  <si>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</si>
  <si>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</si>
  <si>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</si>
  <si>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</si>
  <si>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</si>
  <si>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</si>
  <si>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</si>
  <si>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</si>
  <si>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</si>
  <si>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</si>
  <si>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</si>
  <si>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</si>
  <si>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</si>
  <si>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</si>
  <si>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</si>
  <si>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</si>
  <si>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</si>
  <si>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</si>
  <si>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</si>
  <si>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</si>
  <si>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</si>
  <si>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</si>
  <si>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</si>
  <si>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</si>
  <si>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</si>
  <si>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</si>
  <si>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</si>
  <si>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</si>
  <si>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</si>
  <si>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</si>
  <si>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</si>
  <si>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</si>
  <si>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</si>
  <si>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</si>
  <si>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</si>
  <si>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</si>
  <si>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</si>
  <si>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</si>
  <si>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</si>
  <si>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</si>
  <si>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</si>
  <si>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</si>
  <si>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</si>
  <si>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</si>
  <si>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</si>
  <si>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</si>
  <si>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</si>
  <si>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</si>
  <si>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</si>
  <si>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</si>
  <si>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</si>
  <si>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</si>
  <si>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</si>
  <si>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</si>
  <si>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</si>
  <si>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</si>
  <si>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</si>
  <si>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</si>
  <si>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</si>
  <si>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</si>
  <si>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</si>
  <si>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</si>
  <si>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</si>
  <si>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</si>
  <si>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</si>
  <si>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</si>
  <si>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</si>
  <si>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</si>
  <si>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</si>
  <si>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</si>
  <si>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</si>
  <si>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</si>
  <si>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</si>
  <si>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</si>
  <si>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</si>
  <si>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</si>
  <si>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</si>
  <si>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</si>
  <si>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</si>
  <si>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</si>
  <si>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</si>
  <si>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</si>
  <si>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</si>
  <si>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</si>
  <si>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</si>
  <si>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</si>
  <si>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</si>
  <si>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</si>
  <si>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</si>
  <si>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</si>
  <si>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</si>
  <si>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</si>
  <si>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</si>
  <si>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</si>
  <si>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</si>
  <si>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</si>
  <si>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</si>
  <si>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</si>
  <si>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</si>
  <si>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</si>
  <si>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</si>
  <si>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</si>
  <si>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</si>
  <si>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</si>
  <si>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</si>
  <si>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</si>
  <si>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</si>
  <si>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</si>
  <si>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</si>
  <si>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</si>
  <si>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</si>
  <si>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</si>
  <si>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</si>
  <si>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</si>
  <si>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</si>
  <si>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</si>
  <si>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</si>
  <si>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</si>
  <si>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</si>
  <si>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</si>
  <si>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</si>
  <si>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</si>
  <si>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</si>
  <si>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</si>
  <si>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</si>
  <si>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</si>
  <si>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</si>
  <si>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</si>
  <si>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</si>
  <si>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</si>
  <si>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</si>
  <si>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</si>
  <si>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</si>
  <si>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</si>
  <si>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</si>
  <si>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</si>
  <si>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</si>
  <si>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</si>
  <si>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</si>
  <si>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</si>
  <si>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</si>
  <si>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</si>
  <si>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</si>
  <si>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</si>
  <si>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</si>
  <si>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</si>
  <si>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</si>
  <si>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</si>
  <si>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</si>
  <si>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</si>
  <si>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</si>
  <si>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</si>
  <si>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</si>
  <si>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</si>
  <si>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</si>
  <si>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</si>
  <si>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</si>
  <si>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</si>
  <si>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</si>
  <si>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</si>
  <si>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</si>
  <si>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</si>
  <si>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</si>
  <si>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</si>
  <si>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</si>
  <si>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</si>
  <si>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</si>
  <si>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</si>
  <si>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</si>
  <si>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</si>
  <si>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</si>
  <si>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</si>
  <si>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</si>
  <si>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</si>
  <si>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</si>
  <si>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</si>
  <si>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</si>
  <si>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</si>
  <si>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</si>
  <si>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</si>
  <si>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</si>
  <si>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</si>
  <si>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</si>
  <si>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</si>
  <si>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</si>
  <si>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</si>
  <si>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</si>
  <si>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</si>
  <si>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</si>
  <si>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</si>
  <si>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</si>
  <si>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</si>
  <si>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</si>
  <si>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</si>
  <si>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</si>
  <si>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</si>
  <si>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</si>
  <si>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</si>
  <si>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</si>
  <si>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</si>
  <si>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</si>
  <si>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</si>
  <si>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</si>
  <si>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</si>
  <si>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</si>
  <si>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</si>
  <si>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</si>
  <si>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</si>
  <si>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</si>
  <si>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</si>
  <si>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</si>
  <si>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</si>
  <si>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</si>
  <si>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</si>
  <si>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</si>
  <si>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</si>
  <si>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</si>
  <si>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</si>
  <si>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</si>
  <si>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</si>
  <si>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</si>
  <si>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</si>
  <si>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</si>
  <si>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</si>
  <si>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</si>
  <si>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</si>
  <si>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</si>
  <si>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</si>
  <si>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</si>
  <si>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</si>
  <si>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</si>
  <si>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</si>
  <si>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</si>
  <si>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</si>
  <si>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</si>
  <si>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</si>
  <si>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</si>
  <si>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</si>
  <si>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</si>
  <si>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</si>
  <si>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</si>
  <si>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</si>
  <si>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</si>
  <si>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</si>
  <si>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</si>
  <si>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</si>
  <si>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</si>
  <si>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</si>
  <si>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</si>
  <si>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</si>
  <si>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</si>
  <si>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</si>
  <si>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</si>
  <si>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</si>
  <si>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</si>
  <si>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</si>
  <si>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</si>
  <si>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</si>
  <si>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</si>
  <si>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</si>
  <si>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</si>
  <si>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</si>
  <si>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</si>
  <si>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</si>
  <si>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</si>
  <si>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</si>
  <si>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</si>
  <si>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</si>
  <si>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</si>
  <si>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</si>
  <si>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</si>
  <si>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</si>
  <si>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</si>
  <si>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</si>
  <si>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</si>
  <si>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</si>
  <si>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</si>
  <si>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</si>
  <si>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</si>
  <si>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</si>
  <si>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</si>
  <si>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</si>
  <si>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</si>
  <si>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</si>
  <si>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</si>
  <si>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</si>
  <si>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</si>
  <si>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</si>
  <si>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</si>
  <si>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</si>
  <si>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</si>
  <si>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</si>
  <si>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</si>
  <si>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</si>
  <si>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</si>
  <si>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</si>
  <si>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</si>
  <si>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</si>
  <si>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</si>
  <si>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</si>
  <si>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</si>
  <si>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</si>
  <si>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</si>
  <si>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</si>
  <si>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</si>
  <si>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</si>
  <si>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</si>
  <si>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</si>
  <si>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</si>
  <si>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</si>
  <si>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</si>
  <si>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</si>
  <si>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</si>
  <si>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</si>
  <si>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</si>
  <si>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</si>
  <si>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</si>
  <si>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</si>
  <si>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</si>
  <si>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</si>
  <si>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</si>
  <si>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</si>
  <si>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</si>
  <si>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</si>
  <si>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</si>
  <si>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</si>
  <si>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</si>
  <si>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</si>
  <si>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</si>
  <si>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</si>
  <si>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</si>
  <si>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</si>
  <si>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</si>
  <si>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</si>
  <si>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</si>
  <si>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</si>
  <si>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</si>
  <si>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</si>
  <si>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</si>
  <si>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</si>
  <si>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</si>
  <si>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</si>
  <si>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</si>
  <si>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</si>
  <si>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</si>
  <si>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</si>
  <si>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</si>
  <si>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</si>
  <si>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</si>
  <si>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</si>
  <si>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</si>
  <si>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</si>
  <si>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</si>
  <si>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</si>
  <si>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</si>
  <si>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</si>
  <si>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</si>
  <si>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</si>
  <si>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</si>
  <si>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</si>
  <si>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</si>
  <si>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</si>
  <si>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</si>
  <si>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</si>
  <si>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</si>
  <si>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</si>
  <si>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</si>
  <si>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</si>
  <si>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</si>
  <si>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</si>
  <si>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</si>
  <si>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</si>
  <si>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</si>
  <si>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</si>
  <si>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</si>
  <si>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</si>
  <si>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</si>
  <si>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</si>
  <si>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</si>
  <si>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</si>
  <si>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</si>
  <si>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</si>
  <si>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</si>
  <si>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</si>
  <si>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</si>
  <si>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</si>
  <si>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</si>
  <si>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</si>
  <si>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</si>
  <si>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</si>
  <si>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</si>
  <si>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</si>
  <si>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</si>
  <si>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</si>
  <si>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</si>
  <si>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</si>
  <si>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</si>
  <si>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</si>
  <si>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</si>
  <si>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</si>
  <si>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</si>
  <si>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</si>
  <si>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</si>
  <si>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</si>
  <si>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</si>
  <si>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</si>
  <si>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</si>
  <si>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</si>
  <si>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</si>
  <si>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</si>
  <si>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</si>
  <si>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</si>
  <si>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</si>
  <si>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</si>
  <si>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</si>
  <si>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</si>
  <si>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</si>
  <si>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</si>
  <si>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</si>
  <si>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</si>
  <si>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</si>
  <si>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</si>
  <si>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</si>
  <si>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</si>
  <si>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</si>
  <si>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</si>
  <si>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</si>
  <si>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</si>
  <si>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</si>
  <si>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</si>
  <si>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</si>
  <si>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</si>
  <si>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</si>
  <si>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</si>
  <si>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</si>
  <si>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</si>
  <si>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</si>
  <si>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</si>
  <si>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</si>
  <si>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</si>
  <si>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</si>
  <si>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</si>
  <si>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</si>
  <si>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</si>
  <si>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</si>
  <si>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</si>
  <si>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</si>
  <si>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</si>
  <si>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</si>
  <si>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</si>
  <si>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</si>
  <si>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</si>
  <si>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</si>
  <si>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</si>
  <si>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</si>
  <si>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</si>
  <si>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</si>
  <si>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</si>
  <si>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</si>
  <si>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</si>
  <si>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</si>
  <si>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</si>
  <si>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</si>
  <si>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</si>
  <si>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</si>
  <si>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</si>
  <si>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</si>
  <si>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</si>
  <si>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</si>
  <si>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</si>
  <si>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</si>
  <si>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</si>
  <si>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</si>
  <si>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</si>
  <si>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</si>
  <si>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</si>
  <si>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</si>
  <si>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</si>
  <si>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</si>
  <si>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</si>
  <si>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</si>
  <si>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</si>
  <si>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</si>
  <si>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</si>
  <si>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</si>
  <si>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</si>
  <si>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</si>
  <si>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</si>
  <si>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</si>
  <si>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</si>
  <si>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</si>
  <si>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</si>
  <si>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</si>
  <si>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</si>
  <si>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</si>
  <si>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</si>
  <si>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</si>
  <si>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</si>
  <si>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</si>
  <si>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</si>
  <si>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</si>
  <si>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</si>
  <si>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</si>
  <si>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</si>
  <si>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</si>
  <si>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</si>
  <si>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</si>
  <si>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</si>
  <si>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</si>
  <si>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</si>
  <si>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</si>
  <si>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</si>
  <si>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</si>
  <si>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</si>
  <si>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</si>
  <si>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</si>
  <si>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</si>
  <si>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</si>
  <si>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</si>
  <si>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</si>
  <si>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</si>
  <si>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</si>
  <si>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</si>
  <si>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</si>
  <si>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</si>
  <si>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</si>
  <si>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</si>
  <si>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</si>
  <si>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</si>
  <si>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ATHINA KAROUMPALOU</t>
  </si>
  <si>
    <t>THEODOROS TZAMALOUKAS</t>
  </si>
  <si>
    <t>PANAGIOTIS KALESIORIS</t>
  </si>
  <si>
    <t>HECTOR GUILLEN</t>
  </si>
  <si>
    <t>C:\Users\hector.guillen\EUROLEAGUE\EB STATS - Documents\General\SEASON 2025-26\Reports\Euroleague</t>
  </si>
  <si>
    <t>C:\Users\hector.guillen\EUROLEAGUE\EB STATS - Documents\General\SEASON 2025-26\Reports\Euroleague\PDF</t>
  </si>
  <si>
    <t>9:43</t>
  </si>
  <si>
    <t>Very good game!!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</si>
</sst>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14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14_139_PAN_PAM_E2025</v>
      </c>
      <c r="G1" s="5"/>
      <c r="H1" s="5"/>
      <c r="I1" s="5"/>
      <c r="J1" s="8" t="s">
        <v>707</v>
      </c>
      <c r="K1" s="121" t="s">
        <v>753</v>
      </c>
      <c r="L1" s="121"/>
      <c r="M1" s="122" t="s">
        <v>239</v>
      </c>
      <c r="N1" s="121" t="s">
        <v>754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139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45996.885416666664</v>
      </c>
      <c r="C3" s="157"/>
      <c r="D3" s="39">
        <v>667</v>
      </c>
      <c r="E3" s="29"/>
      <c r="F3" s="26">
        <f>SUBTOTAL(3,I17:I106)</f>
        <v>1</v>
      </c>
      <c r="G3" s="27">
        <f>IF(OR(D3="",D3=0),"",F3/D3)</f>
        <v>1.4992503748125937E-3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Panathinaikos AKTOR Athens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PAN</v>
      </c>
      <c r="I4" s="5"/>
      <c r="J4" s="119" t="s">
        <v>714</v>
      </c>
      <c r="K4" s="54" t="s">
        <v>742</v>
      </c>
      <c r="L4" s="5"/>
      <c r="M4" s="167" t="s">
        <v>756</v>
      </c>
      <c r="N4" s="168"/>
      <c r="O4" s="2"/>
      <c r="P4" s="2"/>
      <c r="Q4" s="84" t="s">
        <v>175</v>
      </c>
      <c r="R4" s="94">
        <f>(IF(G3="",0,G3))</f>
        <v>1.4992503748125937E-3</v>
      </c>
      <c r="S4" s="61">
        <f>SUM(I13:M13)</f>
        <v>0</v>
      </c>
      <c r="T4" s="78"/>
      <c r="U4" s="61">
        <f>AC18</f>
        <v>1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Valencia Basket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PAM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0.14992503748125938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729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749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0.6499250374812594</v>
      </c>
      <c r="N7" s="58"/>
      <c r="O7" s="2"/>
      <c r="P7" s="2"/>
      <c r="Q7" s="86">
        <f>SUM(R5,S5,AC16)</f>
        <v>0.6499250374812594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731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0.6499250374812594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732</v>
      </c>
      <c r="E9" s="179"/>
      <c r="F9" s="179"/>
      <c r="G9" s="180"/>
      <c r="H9" s="130" t="str">
        <f>VLOOKUP($H$4,Teams!$B$3:$O$44,3,FALSE)</f>
        <v>EMMANOUIL SMPOKOS</v>
      </c>
      <c r="I9" s="130" t="str">
        <f>VLOOKUP($H$4,Teams!$B$3:$O$44,3,FALSE)</f>
        <v>EMMANOUIL SMPOKOS</v>
      </c>
      <c r="J9" s="130" t="str">
        <f>VLOOKUP($H$4,Teams!$B$3:$O$44,5,FALSE)</f>
        <v>PANAGIOTIS MORAITIS</v>
      </c>
      <c r="K9" s="130" t="str">
        <f>VLOOKUP($H$4,Teams!$B$3:$O$44,6,FALSE)</f>
        <v>MARIA MERIKA</v>
      </c>
      <c r="L9" s="130" t="str">
        <f>VLOOKUP($H$4,Teams!$B$3:$O$44,7,FALSE)</f>
        <v>PANAGIOTA TSICHLI</v>
      </c>
      <c r="M9" s="131" t="str">
        <f>VLOOKUP($H$4,Teams!$B$3:$O$44,8,FALSE)</f>
        <v>KONSTANTINOS TROUPIS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750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751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139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752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0.5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139</v>
      </c>
      <c r="D17" s="32" t="s">
        <v>755</v>
      </c>
      <c r="E17" s="33">
        <v>3</v>
      </c>
      <c r="F17" s="36">
        <v>44</v>
      </c>
      <c r="G17" s="36">
        <v>40</v>
      </c>
      <c r="H17" s="38" t="str">
        <f>IF(I17="","",$I$14)</f>
        <v>SCOUTING</v>
      </c>
      <c r="I17" s="34">
        <v>326</v>
      </c>
      <c r="J17" s="13" t="s">
        <v>4</v>
      </c>
      <c r="K17" s="13" t="s">
        <v>63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REPORT_E2025139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"E2025139"</v>
      </c>
      <c r="F3" s="45" t="str">
        <f t="shared" ref="F3:F16" si="0">""""&amp;B3&amp;"""" &amp; " : " &amp;C3&amp;","</f>
        <v>"name" : "E2025139",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"E139"</v>
      </c>
      <c r="F4" s="45" t="str">
        <f t="shared" si="0"/>
        <v>"cod" : "E139",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139</v>
      </c>
      <c r="F6" s="45" t="str">
        <f t="shared" si="0"/>
        <v>"number" : 139,</v>
      </c>
    </row>
    <row r="7" spans="2:6" x14ac:dyDescent="0.25">
      <c r="B7" s="43" t="s">
        <v>116</v>
      </c>
      <c r="C7" s="43" t="str">
        <f ca="1">""""&amp;TEXT('SCOUT &amp; LOGISTICS'!B3,"dd/mm/aaaa")&amp;""""</f>
        <v>"05/12/Friday"</v>
      </c>
      <c r="F7" s="45" t="str">
        <f t="shared" ca="1" si="0"/>
        <v>"date" : "05/12/Friday",</v>
      </c>
    </row>
    <row r="8" spans="2:6" x14ac:dyDescent="0.25">
      <c r="B8" s="43" t="s">
        <v>125</v>
      </c>
      <c r="C8" s="43" t="str">
        <f>""""&amp;'SCOUT &amp; LOGISTICS'!D4 &amp;""""</f>
        <v>"Panathinaikos AKTOR Athens"</v>
      </c>
      <c r="F8" s="45" t="str">
        <f t="shared" si="0"/>
        <v>"home_team" : "Panathinaikos AKTOR Athens",</v>
      </c>
    </row>
    <row r="9" spans="2:6" x14ac:dyDescent="0.25">
      <c r="B9" s="43" t="s">
        <v>126</v>
      </c>
      <c r="C9" s="43" t="str">
        <f>""""&amp;'SCOUT &amp; LOGISTICS'!D5&amp;""""</f>
        <v>"Valencia Basket"</v>
      </c>
      <c r="F9" s="45" t="str">
        <f t="shared" si="0"/>
        <v>"away_team" : "Valencia Basket",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"EMMANOUIL SMPOKOS"</v>
      </c>
      <c r="F10" s="45" t="str">
        <f t="shared" si="0"/>
        <v>"Data_entry" : "EMMANOUIL SMPOKOS",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"ATHINA KAROUMPALOU"</v>
      </c>
      <c r="F11" s="45" t="str">
        <f t="shared" si="0"/>
        <v>"Caller_1" : "ATHINA KAROUMPALOU",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"PANAGIOTIS MORAITIS"</v>
      </c>
      <c r="F12" s="45" t="str">
        <f t="shared" si="0"/>
        <v>"Caller_2" : "PANAGIOTIS MORAITIS",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"MARIA MERIKA"</v>
      </c>
      <c r="F13" s="45" t="str">
        <f t="shared" si="0"/>
        <v>"Timerkeeper" : "MARIA MERIKA",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"THEODOROS TZAMALOUKAS"</v>
      </c>
      <c r="F14" s="45" t="str">
        <f t="shared" si="0"/>
        <v>"Shotclock" : "THEODOROS TZAMALOUKAS",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"PANAGIOTIS KALESIORIS"</v>
      </c>
      <c r="F15" s="45" t="str">
        <f t="shared" si="0"/>
        <v>"IRS" : "PANAGIOTIS KALESIORIS",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667</v>
      </c>
      <c r="F25" s="45" t="str">
        <f t="shared" ref="F25:F48" si="1">""""&amp;C25&amp;"""" &amp; " : " &amp;D25&amp;","</f>
        <v>"total_actions" : 667,</v>
      </c>
    </row>
    <row r="26" spans="2:6" x14ac:dyDescent="0.25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game!! Keep it up!"</v>
      </c>
      <c r="F51" s="45" t="str">
        <f>""""&amp;B51&amp;"""" &amp; " : " &amp;C51&amp;","</f>
        <v>"comments" : "Very good game!! Keep it up!",</v>
      </c>
    </row>
    <row r="52" spans="2:6" x14ac:dyDescent="0.25">
      <c r="B52" s="43" t="s">
        <v>153</v>
      </c>
      <c r="C52" s="43" t="str">
        <f>TEXT('SCOUT &amp; LOGISTICS'!F1,"0,0")</f>
        <v>14_139_PAN_PAM_E2025</v>
      </c>
      <c r="F52" s="45" t="str">
        <f>""""&amp;B52&amp;"""" &amp; " : " &amp;C52</f>
        <v>"result" : 14_139_PAN_PAM_E2025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E139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05/12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Panathinaikos Aktor Athens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Valencia Basket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EMMANOUIL SMPOKOS</v>
      </c>
      <c r="C8" s="206"/>
      <c r="D8" s="206"/>
      <c r="E8" s="206"/>
      <c r="F8" s="206"/>
      <c r="G8" s="206" t="str">
        <f>IF('SCOUT &amp; LOGISTICS'!D7="","",'SCOUT &amp; LOGISTICS'!D7)</f>
        <v>ATHINA KAROUMPALOU</v>
      </c>
      <c r="H8" s="206"/>
      <c r="I8" s="206"/>
      <c r="J8" s="206"/>
      <c r="K8" s="206"/>
      <c r="L8" s="206" t="str">
        <f>IF('SCOUT &amp; LOGISTICS'!D8="","",'SCOUT &amp; LOGISTICS'!D8)</f>
        <v>PANAGIOTIS MORAITIS</v>
      </c>
      <c r="M8" s="206"/>
      <c r="N8" s="206"/>
      <c r="O8" s="206"/>
      <c r="P8" s="206"/>
      <c r="Q8" s="206" t="str">
        <f>IF('SCOUT &amp; LOGISTICS'!D9="","",'SCOUT &amp; LOGISTICS'!D9)</f>
        <v>MARIA MERIKA</v>
      </c>
      <c r="R8" s="206"/>
      <c r="S8" s="206"/>
      <c r="T8" s="206"/>
      <c r="U8" s="206"/>
      <c r="V8" s="206" t="str">
        <f>IF('SCOUT &amp; LOGISTICS'!D10="","",'SCOUT &amp; LOGISTICS'!D10)</f>
        <v>THEODOROS TZAMALOUKAS</v>
      </c>
      <c r="W8" s="206"/>
      <c r="X8" s="206"/>
      <c r="Y8" s="206"/>
      <c r="Z8" s="206"/>
      <c r="AA8" s="206" t="str">
        <f>IF('SCOUT &amp; LOGISTICS'!D11="","",'SCOUT &amp; LOGISTICS'!D11)</f>
        <v>PANAGIOTIS KALESIORIS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667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1.4992503748125937E-3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1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game!! Keep it up!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0.6499250374812594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914AFAB-6876-419D-BB08-EF3DE5F417F4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2025-12-09T20:29:33Z</cp:lastPrinted>
  <dcterms:created xsi:type="dcterms:W3CDTF">2023-09-19T19:50:35Z</dcterms:created>
  <dcterms:modified xsi:type="dcterms:W3CDTF">2025-12-09T20:30:27Z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