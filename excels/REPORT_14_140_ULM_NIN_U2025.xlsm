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21F7DBD1-2EF1-438D-8A76-2EB88D9D663A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<sst xmlns="http://schemas.openxmlformats.org/spreadsheetml/2006/main" count="3342" uniqueCount="835">
  <si>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</si>
  <si>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</si>
  <si>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</si>
  <si>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</si>
  <si>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</si>
  <si>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</si>
  <si>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</si>
  <si>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</si>
  <si>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</si>
  <si>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</si>
  <si>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</si>
  <si>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</si>
  <si>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</si>
  <si>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</si>
  <si>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</si>
  <si>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</si>
  <si>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</si>
  <si>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</si>
  <si>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</si>
  <si>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</si>
  <si>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</si>
  <si>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</si>
  <si>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</si>
  <si>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</si>
  <si>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</si>
  <si>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</si>
  <si>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</si>
  <si>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</si>
  <si>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</si>
  <si>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</si>
  <si>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</si>
  <si>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</si>
  <si>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</si>
  <si>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</si>
  <si>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</si>
  <si>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</si>
  <si>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</si>
  <si>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</si>
  <si>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</si>
  <si>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</si>
  <si>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</si>
  <si>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</si>
  <si>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</si>
  <si>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</si>
  <si>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</si>
  <si>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</si>
  <si>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</si>
  <si>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</si>
  <si>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</si>
  <si>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</si>
  <si>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</si>
  <si>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</si>
  <si>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</si>
  <si>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</si>
  <si>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</si>
  <si>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</si>
  <si>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</si>
  <si>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</si>
  <si>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</si>
  <si>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</si>
  <si>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</si>
  <si>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</si>
  <si>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</si>
  <si>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</si>
  <si>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</si>
  <si>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</si>
  <si>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</si>
  <si>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</si>
  <si>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</si>
  <si>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</si>
  <si>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</si>
  <si>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</si>
  <si>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</si>
  <si>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</si>
  <si>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</si>
  <si>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</si>
  <si>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</si>
  <si>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</si>
  <si>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</si>
  <si>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</si>
  <si>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</si>
  <si>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</si>
  <si>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</si>
  <si>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</si>
  <si>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</si>
  <si>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</si>
  <si>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</si>
  <si>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</si>
  <si>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</si>
  <si>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</si>
  <si>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</si>
  <si>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</si>
  <si>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</si>
  <si>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</si>
  <si>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</si>
  <si>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</si>
  <si>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</si>
  <si>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</si>
  <si>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</si>
  <si>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</si>
  <si>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</si>
  <si>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</si>
  <si>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</si>
  <si>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</si>
  <si>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</si>
  <si>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</si>
  <si>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</si>
  <si>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</si>
  <si>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</si>
  <si>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</si>
  <si>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</si>
  <si>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</si>
  <si>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</si>
  <si>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</si>
  <si>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</si>
  <si>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</si>
  <si>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</si>
  <si>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</si>
  <si>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</si>
  <si>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</si>
  <si>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</si>
  <si>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</si>
  <si>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</si>
  <si>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</si>
  <si>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</si>
  <si>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</si>
  <si>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</si>
  <si>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</si>
  <si>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</si>
  <si>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</si>
  <si>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</si>
  <si>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</si>
  <si>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</si>
  <si>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</si>
  <si>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</si>
  <si>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</si>
  <si>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</si>
  <si>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</si>
  <si>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</si>
  <si>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</si>
  <si>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</si>
  <si>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</si>
  <si>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</si>
  <si>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</si>
  <si>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</si>
  <si>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</si>
  <si>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</si>
  <si>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</si>
  <si>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</si>
  <si>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</si>
  <si>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</si>
  <si>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</si>
  <si>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</si>
  <si>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</si>
  <si>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</si>
  <si>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</si>
  <si>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</si>
  <si>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</si>
  <si>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</si>
  <si>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</si>
  <si>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</si>
  <si>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</si>
  <si>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</si>
  <si>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</si>
  <si>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</si>
  <si>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</si>
  <si>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</si>
  <si>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</si>
  <si>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</si>
  <si>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</si>
  <si>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</si>
  <si>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</si>
  <si>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</si>
  <si>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</si>
  <si>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</si>
  <si>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</si>
  <si>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</si>
  <si>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</si>
  <si>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</si>
  <si>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</si>
  <si>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</si>
  <si>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</si>
  <si>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</si>
  <si>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</si>
  <si>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</si>
  <si>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</si>
  <si>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</si>
  <si>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</si>
  <si>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</si>
  <si>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</si>
  <si>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</si>
  <si>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</si>
  <si>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</si>
  <si>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</si>
  <si>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</si>
  <si>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</si>
  <si>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</si>
  <si>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</si>
  <si>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</si>
  <si>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</si>
  <si>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</si>
  <si>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</si>
  <si>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</si>
  <si>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</si>
  <si>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</si>
  <si>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</si>
  <si>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</si>
  <si>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</si>
  <si>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</si>
  <si>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</si>
  <si>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</si>
  <si>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</si>
  <si>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</si>
  <si>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</si>
  <si>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</si>
  <si>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</si>
  <si>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</si>
  <si>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</si>
  <si>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</si>
  <si>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</si>
  <si>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</si>
  <si>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</si>
  <si>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</si>
  <si>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</si>
  <si>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</si>
  <si>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</si>
  <si>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</si>
  <si>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</si>
  <si>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</si>
  <si>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</si>
  <si>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</si>
  <si>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</si>
  <si>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</si>
  <si>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</si>
  <si>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</si>
  <si>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</si>
  <si>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</si>
  <si>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</si>
  <si>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</si>
  <si>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</si>
  <si>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</si>
  <si>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</si>
  <si>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</si>
  <si>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</si>
  <si>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</si>
  <si>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</si>
  <si>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</si>
  <si>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</si>
  <si>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</si>
  <si>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</si>
  <si>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</si>
  <si>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</si>
  <si>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</si>
  <si>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</si>
  <si>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</si>
  <si>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</si>
  <si>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</si>
  <si>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</si>
  <si>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</si>
  <si>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</si>
  <si>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</si>
  <si>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</si>
  <si>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</si>
  <si>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</si>
  <si>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</si>
  <si>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</si>
  <si>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</si>
  <si>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</si>
  <si>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</si>
  <si>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</si>
  <si>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</si>
  <si>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</si>
  <si>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</si>
  <si>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</si>
  <si>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</si>
  <si>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</si>
  <si>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</si>
  <si>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</si>
  <si>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</si>
  <si>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</si>
  <si>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</si>
  <si>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</si>
  <si>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</si>
  <si>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</si>
  <si>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</si>
  <si>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</si>
  <si>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</si>
  <si>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</si>
  <si>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</si>
  <si>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</si>
  <si>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</si>
  <si>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</si>
  <si>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</si>
  <si>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</si>
  <si>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</si>
  <si>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</si>
  <si>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</si>
  <si>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</si>
  <si>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</si>
  <si>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</si>
  <si>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</si>
  <si>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</si>
  <si>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</si>
  <si>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</si>
  <si>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</si>
  <si>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</si>
  <si>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</si>
  <si>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</si>
  <si>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</si>
  <si>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</si>
  <si>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</si>
  <si>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</si>
  <si>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</si>
  <si>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</si>
  <si>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</si>
  <si>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</si>
  <si>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</si>
  <si>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</si>
  <si>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</si>
  <si>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</si>
  <si>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</si>
  <si>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</si>
  <si>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</si>
  <si>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</si>
  <si>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</si>
  <si>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</si>
  <si>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</si>
  <si>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</si>
  <si>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</si>
  <si>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</si>
  <si>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</si>
  <si>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</si>
  <si>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</si>
  <si>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</si>
  <si>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</si>
  <si>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</si>
  <si>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</si>
  <si>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</si>
  <si>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</si>
  <si>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</si>
  <si>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</si>
  <si>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</si>
  <si>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</si>
  <si>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</si>
  <si>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</si>
  <si>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</si>
  <si>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</si>
  <si>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</si>
  <si>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</si>
  <si>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</si>
  <si>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</si>
  <si>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</si>
  <si>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</si>
  <si>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</si>
  <si>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</si>
  <si>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</si>
  <si>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</si>
  <si>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</si>
  <si>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</si>
  <si>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</si>
  <si>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</si>
  <si>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</si>
  <si>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</si>
  <si>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</si>
  <si>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</si>
  <si>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</si>
  <si>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</si>
  <si>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</si>
  <si>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</si>
  <si>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</si>
  <si>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</si>
  <si>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</si>
  <si>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</si>
  <si>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</si>
  <si>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</si>
  <si>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</si>
  <si>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</si>
  <si>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</si>
  <si>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</si>
  <si>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</si>
  <si>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</si>
  <si>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</si>
  <si>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</si>
  <si>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</si>
  <si>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</si>
  <si>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</si>
  <si>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</si>
  <si>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</si>
  <si>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</si>
  <si>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</si>
  <si>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</si>
  <si>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</si>
  <si>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</si>
  <si>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</si>
  <si>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</si>
  <si>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</si>
  <si>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</si>
  <si>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</si>
  <si>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</si>
  <si>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</si>
  <si>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</si>
  <si>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</si>
  <si>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</si>
  <si>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</si>
  <si>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</si>
  <si>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</si>
  <si>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</si>
  <si>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</si>
  <si>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</si>
  <si>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</si>
  <si>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</si>
  <si>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</si>
  <si>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</si>
  <si>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</si>
  <si>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</si>
  <si>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</si>
  <si>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</si>
  <si>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</si>
  <si>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</si>
  <si>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</si>
  <si>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</si>
  <si>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</si>
  <si>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</si>
  <si>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</si>
  <si>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</si>
  <si>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</si>
  <si>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</si>
  <si>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</si>
  <si>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</si>
  <si>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</si>
  <si>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</si>
  <si>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</si>
  <si>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</si>
  <si>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</si>
  <si>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</si>
  <si>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</si>
  <si>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</si>
  <si>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</si>
  <si>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</si>
  <si>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</si>
  <si>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</si>
  <si>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</si>
  <si>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</si>
  <si>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</si>
  <si>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</si>
  <si>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</si>
  <si>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</si>
  <si>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</si>
  <si>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</si>
  <si>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</si>
  <si>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</si>
  <si>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</si>
  <si>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</si>
  <si>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</si>
  <si>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</si>
  <si>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</si>
  <si>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</si>
  <si>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</si>
  <si>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</si>
  <si>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</si>
  <si>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</si>
  <si>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</si>
  <si>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</si>
  <si>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</si>
  <si>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</si>
  <si>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</si>
  <si>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</si>
  <si>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</si>
  <si>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</si>
  <si>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</si>
  <si>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</si>
  <si>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</si>
  <si>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</si>
  <si>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</si>
  <si>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</si>
  <si>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</si>
  <si>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</si>
  <si>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</si>
  <si>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</si>
  <si>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</si>
  <si>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</si>
  <si>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</si>
  <si>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</si>
  <si>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</si>
  <si>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</si>
  <si>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</si>
  <si>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</si>
  <si>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</si>
  <si>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</si>
  <si>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</si>
  <si>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</si>
  <si>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</si>
  <si>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</si>
  <si>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</si>
  <si>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</si>
  <si>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</si>
  <si>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</si>
  <si>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</si>
  <si>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</si>
  <si>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</si>
  <si>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</si>
  <si>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</si>
  <si>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</si>
  <si>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</si>
  <si>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</si>
  <si>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</si>
  <si>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</si>
  <si>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</si>
  <si>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</si>
  <si>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</si>
  <si>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</si>
  <si>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</si>
  <si>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</si>
  <si>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</si>
  <si>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</si>
  <si>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</si>
  <si>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</si>
  <si>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</si>
  <si>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</si>
  <si>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</si>
  <si>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</si>
  <si>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</si>
  <si>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</si>
  <si>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</si>
  <si>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</si>
  <si>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</si>
  <si>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</si>
  <si>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</si>
  <si>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</si>
  <si>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</si>
  <si>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</si>
  <si>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</si>
  <si>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</si>
  <si>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</si>
  <si>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</si>
  <si>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</si>
  <si>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</si>
  <si>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</si>
  <si>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</si>
  <si>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</si>
  <si>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</si>
  <si>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</si>
  <si>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</si>
  <si>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</si>
  <si>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</si>
  <si>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</si>
  <si>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</si>
  <si>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</si>
  <si>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</si>
  <si>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</si>
  <si>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</si>
  <si>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</si>
  <si>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</si>
  <si>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</si>
  <si>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</si>
  <si>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</si>
  <si>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</si>
  <si>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</si>
  <si>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</si>
  <si>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</si>
  <si>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</si>
  <si>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</si>
  <si>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</si>
  <si>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</si>
  <si>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</si>
  <si>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</si>
  <si>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</si>
  <si>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</si>
  <si>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</si>
  <si>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</si>
  <si>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</si>
  <si>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</si>
  <si>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</si>
  <si>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</si>
  <si>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</si>
  <si>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</si>
  <si>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</si>
  <si>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</si>
  <si>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</si>
  <si>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</si>
  <si>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</si>
  <si>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</si>
  <si>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</si>
  <si>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</si>
  <si>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</si>
  <si>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</si>
  <si>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</si>
  <si>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</si>
  <si>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</si>
  <si>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</si>
  <si>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</si>
  <si>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</si>
  <si>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</si>
  <si>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</si>
  <si>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</si>
  <si>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</si>
  <si>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</si>
  <si>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</si>
  <si>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</si>
  <si>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</si>
  <si>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</si>
  <si>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</si>
  <si>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</si>
  <si>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</si>
  <si>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</si>
  <si>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</si>
  <si>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</si>
  <si>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</si>
  <si>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</si>
  <si>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</si>
  <si>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</si>
  <si>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</si>
  <si>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</si>
  <si>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</si>
  <si>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</si>
  <si>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</si>
  <si>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</si>
  <si>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</si>
  <si>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</si>
  <si>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</si>
  <si>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</si>
  <si>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</si>
  <si>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</si>
  <si>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</si>
  <si>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</si>
  <si>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</si>
  <si>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</si>
  <si>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</si>
  <si>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</si>
  <si>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</si>
  <si>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</si>
  <si>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</si>
  <si>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</si>
  <si>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</si>
  <si>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</si>
  <si>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</si>
  <si>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</si>
  <si>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</si>
  <si>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</si>
  <si>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</si>
  <si>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</si>
  <si>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</si>
  <si>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</si>
  <si>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</si>
  <si>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</si>
  <si>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</si>
  <si>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</si>
  <si>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</si>
  <si>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</si>
  <si>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</si>
  <si>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</si>
  <si>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</si>
  <si>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</si>
  <si>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</si>
  <si>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</si>
  <si>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</si>
  <si>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</si>
  <si>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</si>
  <si>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</si>
  <si>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</si>
  <si>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</si>
  <si>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</si>
  <si>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</si>
  <si>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</si>
  <si>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</si>
  <si>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</si>
  <si>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</si>
  <si>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</si>
  <si>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</si>
  <si>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</si>
  <si>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</si>
  <si>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</si>
  <si>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</si>
  <si>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</si>
  <si>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</si>
  <si>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</si>
  <si>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</si>
  <si>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</si>
  <si>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</si>
  <si>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</si>
  <si>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</si>
  <si>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</si>
  <si>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</si>
  <si>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</si>
  <si>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</si>
  <si>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</si>
  <si>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</si>
  <si>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</si>
  <si>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</si>
  <si>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</si>
  <si>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</si>
  <si>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</si>
  <si>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</si>
  <si>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</si>
  <si>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</si>
  <si>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</si>
  <si>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</si>
  <si>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</si>
  <si>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</si>
  <si>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</si>
  <si>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</si>
  <si>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</si>
  <si>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</si>
  <si>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</si>
  <si>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</si>
  <si>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</si>
  <si>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</si>
  <si>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</si>
  <si>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</si>
  <si>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</si>
  <si>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</si>
  <si>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</si>
  <si>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</si>
  <si>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</si>
  <si>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</si>
  <si>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</si>
  <si>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</si>
  <si>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</si>
  <si>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</si>
  <si>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</si>
  <si>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</si>
  <si>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</si>
  <si>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</si>
  <si>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</si>
  <si>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</si>
  <si>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</si>
  <si>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</si>
  <si>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</si>
  <si>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</si>
  <si>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</si>
  <si>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</si>
  <si>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</si>
  <si>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</si>
  <si>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</si>
  <si>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</si>
  <si>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</si>
  <si>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</si>
  <si>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</si>
  <si>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</si>
  <si>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</si>
  <si>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</si>
  <si>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</si>
  <si>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</si>
  <si>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</si>
  <si>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</si>
  <si>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</si>
  <si>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</si>
  <si>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</si>
  <si>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</si>
  <si>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</si>
  <si>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</si>
  <si>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</si>
  <si>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</si>
  <si>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</si>
  <si>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</si>
  <si>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</si>
  <si>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</si>
  <si>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</si>
  <si>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</si>
  <si>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</si>
  <si>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</si>
  <si>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</si>
  <si>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</si>
  <si>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</si>
  <si>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</si>
  <si>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</si>
  <si>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</si>
  <si>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</si>
  <si>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</si>
  <si>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</si>
  <si>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</si>
  <si>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</si>
  <si>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</si>
  <si>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</si>
  <si>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</si>
  <si>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</si>
  <si>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</si>
  <si>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</si>
  <si>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</si>
  <si>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</si>
  <si>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</si>
  <si>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</si>
  <si>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</si>
  <si>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</si>
  <si>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</si>
  <si>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</si>
  <si>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</si>
  <si>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</si>
  <si>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</si>
  <si>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</si>
  <si>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</si>
  <si>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</si>
  <si>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</si>
  <si>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</si>
  <si>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</si>
  <si>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</si>
  <si>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</si>
  <si>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</si>
  <si>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</si>
  <si>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</si>
  <si>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</si>
  <si>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</si>
  <si>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</si>
  <si>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</si>
  <si>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</si>
  <si>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</si>
  <si>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</si>
  <si>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</si>
  <si>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</si>
  <si>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</si>
  <si>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</si>
  <si>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</si>
  <si>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</si>
  <si>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</si>
  <si>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</si>
  <si>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</si>
  <si>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</si>
  <si>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</si>
  <si>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</si>
  <si>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</si>
  <si>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</si>
  <si>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</si>
  <si>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</si>
  <si>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</si>
  <si>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</si>
  <si>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</si>
  <si>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OSCAR CUESTA</t>
  </si>
  <si>
    <t>FLROIAN GLOECKLER</t>
  </si>
  <si>
    <t>ANDREAS PAUL LANGBEIN</t>
  </si>
  <si>
    <t>LEONIE VALENTINA HEINRICH</t>
  </si>
  <si>
    <t>ANTONIO SIERRA LOIS</t>
  </si>
  <si>
    <t>CHRISTIAN GRUPP</t>
  </si>
  <si>
    <t>8:41</t>
  </si>
  <si>
    <t>5:09</t>
  </si>
  <si>
    <t>Great performance, guys. So reliable on tricky plays. Keep on like this!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</si>
</sst>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14_140_ULM_NIN_U2025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140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46036.791666666664</v>
      </c>
      <c r="C3" s="157"/>
      <c r="D3" s="39">
        <v>0</v>
      </c>
      <c r="E3" s="29"/>
      <c r="F3" s="26">
        <f>SUBTOTAL(3,I17:I106)</f>
        <v>2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ratiopharm Ulm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743</v>
      </c>
      <c r="L4" s="5"/>
      <c r="M4" s="167" t="s">
        <v>834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NINERS Chemnitz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NIN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</v>
      </c>
      <c r="N7" s="58"/>
      <c r="O7" s="2"/>
      <c r="P7" s="2"/>
      <c r="Q7" s="86">
        <f>SUM(R5,S5,AC16)</f>
        <v>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830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140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140</v>
      </c>
      <c r="D17" s="32" t="s">
        <v>832</v>
      </c>
      <c r="E17" s="33">
        <v>4</v>
      </c>
      <c r="F17" s="36">
        <v>67</v>
      </c>
      <c r="G17" s="36">
        <v>66</v>
      </c>
      <c r="H17" s="38" t="str">
        <f>IF(I17="","",$I$14)</f>
        <v>SCOUTING</v>
      </c>
      <c r="I17" s="34">
        <v>451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140</v>
      </c>
      <c r="D18" s="32" t="s">
        <v>833</v>
      </c>
      <c r="E18" s="33">
        <v>4</v>
      </c>
      <c r="F18" s="36">
        <v>79</v>
      </c>
      <c r="G18" s="36">
        <v>71</v>
      </c>
      <c r="H18" s="38" t="str">
        <f t="shared" ref="H18:H81" si="8">IF(I18="","",$I$14)</f>
        <v>SCOUTING</v>
      </c>
      <c r="I18" s="34">
        <v>513</v>
      </c>
      <c r="J18" s="13" t="s">
        <v>4</v>
      </c>
      <c r="K18" s="13" t="s">
        <v>63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REPORT_U2025140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"U2025140"</v>
      </c>
      <c r="F3" s="45" t="str">
        <f t="shared" ref="F3:F16" si="0">""""&amp;B3&amp;"""" &amp; " : " &amp;C3&amp;","</f>
        <v>"name" : "U2025140",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"U140"</v>
      </c>
      <c r="F4" s="45" t="str">
        <f t="shared" si="0"/>
        <v>"cod" : "U140",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140</v>
      </c>
      <c r="F6" s="45" t="str">
        <f t="shared" si="0"/>
        <v>"number" : 140,</v>
      </c>
    </row>
    <row r="7" spans="2:6" x14ac:dyDescent="0.25">
      <c r="B7" s="43" t="s">
        <v>116</v>
      </c>
      <c r="C7" s="43" t="str">
        <f ca="1">""""&amp;TEXT('SCOUT &amp; LOGISTICS'!B3,"dd/mm/aaaa")&amp;""""</f>
        <v>"14/01/2026"</v>
      </c>
      <c r="F7" s="45" t="str">
        <f t="shared" ca="1" si="0"/>
        <v>"date" : "14/01/2026",</v>
      </c>
    </row>
    <row r="8" spans="2:6" x14ac:dyDescent="0.25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5">
      <c r="B9" s="43" t="s">
        <v>126</v>
      </c>
      <c r="C9" s="43" t="str">
        <f>""""&amp;'SCOUT &amp; LOGISTICS'!D5&amp;""""</f>
        <v>"NINERS Chemnitz"</v>
      </c>
      <c r="F9" s="45" t="str">
        <f t="shared" si="0"/>
        <v>"away_team" : "NINERS Chemnitz",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"FLROIAN GLOECKLER"</v>
      </c>
      <c r="F10" s="45" t="str">
        <f t="shared" si="0"/>
        <v>"Data_entry" : "FLROIAN GLOECKLER",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"ANDREAS PAUL LANGBEIN"</v>
      </c>
      <c r="F11" s="45" t="str">
        <f t="shared" si="0"/>
        <v>"Caller_1" : "ANDREAS PAUL LANGBEIN",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"LEONIE VALENTINA HEINRICH"</v>
      </c>
      <c r="F12" s="45" t="str">
        <f t="shared" si="0"/>
        <v>"Caller_2" : "LEONIE VALENTINA HEINRICH",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"ANTONIO SIERRA LOIS"</v>
      </c>
      <c r="F13" s="45" t="str">
        <f t="shared" si="0"/>
        <v>"Timerkeeper" : "ANTONIO SIERRA LOIS",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"CHRISTIAN GRUPP"</v>
      </c>
      <c r="F14" s="45" t="str">
        <f t="shared" si="0"/>
        <v>"Shotclock" : "CHRISTIAN GRUPP",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performance, guys. So reliable on tricky plays. Keep on like this!"</v>
      </c>
      <c r="F51" s="45" t="str">
        <f>""""&amp;B51&amp;"""" &amp; " : " &amp;C51&amp;","</f>
        <v>"comments" : "Great performance, guys. So reliable on tricky plays. Keep on like this!",</v>
      </c>
    </row>
    <row r="52" spans="2:6" x14ac:dyDescent="0.25">
      <c r="B52" s="43" t="s">
        <v>153</v>
      </c>
      <c r="C52" s="43" t="str">
        <f>TEXT('SCOUT &amp; LOGISTICS'!F1,"0,0")</f>
        <v>14_140_ULM_NIN_U2025</v>
      </c>
      <c r="F52" s="45" t="str">
        <f>""""&amp;B52&amp;"""" &amp; " : " &amp;C52</f>
        <v>"result" : 14_140_ULM_NIN_U2025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U140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14/01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Ratiopharm Ulm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Niners Chemnitz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FLROIAN GLOECKLER</v>
      </c>
      <c r="C8" s="206"/>
      <c r="D8" s="206"/>
      <c r="E8" s="206"/>
      <c r="F8" s="206"/>
      <c r="G8" s="206" t="str">
        <f>IF('SCOUT &amp; LOGISTICS'!D7="","",'SCOUT &amp; LOGISTICS'!D7)</f>
        <v>ANDREAS PAUL LANGBEIN</v>
      </c>
      <c r="H8" s="206"/>
      <c r="I8" s="206"/>
      <c r="J8" s="206"/>
      <c r="K8" s="206"/>
      <c r="L8" s="206" t="str">
        <f>IF('SCOUT &amp; LOGISTICS'!D8="","",'SCOUT &amp; LOGISTICS'!D8)</f>
        <v>LEONIE VALENTINA HEINRICH</v>
      </c>
      <c r="M8" s="206"/>
      <c r="N8" s="206"/>
      <c r="O8" s="206"/>
      <c r="P8" s="206"/>
      <c r="Q8" s="206" t="str">
        <f>IF('SCOUT &amp; LOGISTICS'!D9="","",'SCOUT &amp; LOGISTICS'!D9)</f>
        <v>ANTONIO SIERRA LOIS</v>
      </c>
      <c r="R8" s="206"/>
      <c r="S8" s="206"/>
      <c r="T8" s="206"/>
      <c r="U8" s="206"/>
      <c r="V8" s="206" t="str">
        <f>IF('SCOUT &amp; LOGISTICS'!D10="","",'SCOUT &amp; LOGISTICS'!D10)</f>
        <v>CHRISTIAN GRUPP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Great performance, guys. So reliable on tricky plays. Keep on like this!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ECE005-6F14-4F45-B802-D6A0ACCF3876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2026-01-14T21:06:48Z</cp:lastPrinted>
  <dcterms:created xsi:type="dcterms:W3CDTF">2023-09-19T19:50:35Z</dcterms:created>
  <dcterms:modified xsi:type="dcterms:W3CDTF">2026-01-14T21:06:56Z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