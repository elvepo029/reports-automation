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8" documentId="8_{3E2767BD-9A6F-4510-A3E1-F36919E8FB0B}" xr6:coauthVersionLast="47" xr6:coauthVersionMax="47" xr10:uidLastSave="{C12AD282-09F1-4CCD-BE4C-3163F2E0108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<sst xmlns="http://schemas.openxmlformats.org/spreadsheetml/2006/main" count="3265" uniqueCount="763">
  <si>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</si>
  <si>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</si>
  <si>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</si>
  <si>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</si>
  <si>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</si>
  <si>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</si>
  <si>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</si>
  <si>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</si>
  <si>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</si>
  <si>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</si>
  <si>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</si>
  <si>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</si>
  <si>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</si>
  <si>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</si>
  <si>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</si>
  <si>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</si>
  <si>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</si>
  <si>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</si>
  <si>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</si>
  <si>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</si>
  <si>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</si>
  <si>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</si>
  <si>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</si>
  <si>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</si>
  <si>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</si>
  <si>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</si>
  <si>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</si>
  <si>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</si>
  <si>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</si>
  <si>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</si>
  <si>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</si>
  <si>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</si>
  <si>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</si>
  <si>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</si>
  <si>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</si>
  <si>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</si>
  <si>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</si>
  <si>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</si>
  <si>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</si>
  <si>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</si>
  <si>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</si>
  <si>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</si>
  <si>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</si>
  <si>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</si>
  <si>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</si>
  <si>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</si>
  <si>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</si>
  <si>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</si>
  <si>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</si>
  <si>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</si>
  <si>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</si>
  <si>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</si>
  <si>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</si>
  <si>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</si>
  <si>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</si>
  <si>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</si>
  <si>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</si>
  <si>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</si>
  <si>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</si>
  <si>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</si>
  <si>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</si>
  <si>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</si>
  <si>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</si>
  <si>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</si>
  <si>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</si>
  <si>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</si>
  <si>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</si>
  <si>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</si>
  <si>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</si>
  <si>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</si>
  <si>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</si>
  <si>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</si>
  <si>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</si>
  <si>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</si>
  <si>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</si>
  <si>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</si>
  <si>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</si>
  <si>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</si>
  <si>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</si>
  <si>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</si>
  <si>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</si>
  <si>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</si>
  <si>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</si>
  <si>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</si>
  <si>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</si>
  <si>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</si>
  <si>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</si>
  <si>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</si>
  <si>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</si>
  <si>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</si>
  <si>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</si>
  <si>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</si>
  <si>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</si>
  <si>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</si>
  <si>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</si>
  <si>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</si>
  <si>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</si>
  <si>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</si>
  <si>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</si>
  <si>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</si>
  <si>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</si>
  <si>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</si>
  <si>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</si>
  <si>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</si>
  <si>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</si>
  <si>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</si>
  <si>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</si>
  <si>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</si>
  <si>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</si>
  <si>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</si>
  <si>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</si>
  <si>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</si>
  <si>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</si>
  <si>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</si>
  <si>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</si>
  <si>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</si>
  <si>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</si>
  <si>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</si>
  <si>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</si>
  <si>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</si>
  <si>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</si>
  <si>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</si>
  <si>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</si>
  <si>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</si>
  <si>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</si>
  <si>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</si>
  <si>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</si>
  <si>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</si>
  <si>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</si>
  <si>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</si>
  <si>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</si>
  <si>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</si>
  <si>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</si>
  <si>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</si>
  <si>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</si>
  <si>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</si>
  <si>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</si>
  <si>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</si>
  <si>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</si>
  <si>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</si>
  <si>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</si>
  <si>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</si>
  <si>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</si>
  <si>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</si>
  <si>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</si>
  <si>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</si>
  <si>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</si>
  <si>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</si>
  <si>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</si>
  <si>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</si>
  <si>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</si>
  <si>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</si>
  <si>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</si>
  <si>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</si>
  <si>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</si>
  <si>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</si>
  <si>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</si>
  <si>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</si>
  <si>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</si>
  <si>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</si>
  <si>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</si>
  <si>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</si>
  <si>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</si>
  <si>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</si>
  <si>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</si>
  <si>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</si>
  <si>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</si>
  <si>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</si>
  <si>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</si>
  <si>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</si>
  <si>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</si>
  <si>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</si>
  <si>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</si>
  <si>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</si>
  <si>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</si>
  <si>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</si>
  <si>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</si>
  <si>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</si>
  <si>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</si>
  <si>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</si>
  <si>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</si>
  <si>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</si>
  <si>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</si>
  <si>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</si>
  <si>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</si>
  <si>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</si>
  <si>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</si>
  <si>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</si>
  <si>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</si>
  <si>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</si>
  <si>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</si>
  <si>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</si>
  <si>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</si>
  <si>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</si>
  <si>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</si>
  <si>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</si>
  <si>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</si>
  <si>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</si>
  <si>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</si>
  <si>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</si>
  <si>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</si>
  <si>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</si>
  <si>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</si>
  <si>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</si>
  <si>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</si>
  <si>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</si>
  <si>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</si>
  <si>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</si>
  <si>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</si>
  <si>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</si>
  <si>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</si>
  <si>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</si>
  <si>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</si>
  <si>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</si>
  <si>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</si>
  <si>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</si>
  <si>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</si>
  <si>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</si>
  <si>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</si>
  <si>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</si>
  <si>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</si>
  <si>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</si>
  <si>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</si>
  <si>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</si>
  <si>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</si>
  <si>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</si>
  <si>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</si>
  <si>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</si>
  <si>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</si>
  <si>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</si>
  <si>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</si>
  <si>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</si>
  <si>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</si>
  <si>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</si>
  <si>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</si>
  <si>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</si>
  <si>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</si>
  <si>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</si>
  <si>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</si>
  <si>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</si>
  <si>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</si>
  <si>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</si>
  <si>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</si>
  <si>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</si>
  <si>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</si>
  <si>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</si>
  <si>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</si>
  <si>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</si>
  <si>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</si>
  <si>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</si>
  <si>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</si>
  <si>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</si>
  <si>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</si>
  <si>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</si>
  <si>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</si>
  <si>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</si>
  <si>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</si>
  <si>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</si>
  <si>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</si>
  <si>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</si>
  <si>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</si>
  <si>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</si>
  <si>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</si>
  <si>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</si>
  <si>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</si>
  <si>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</si>
  <si>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</si>
  <si>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</si>
  <si>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</si>
  <si>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</si>
  <si>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</si>
  <si>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</si>
  <si>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</si>
  <si>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</si>
  <si>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</si>
  <si>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</si>
  <si>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</si>
  <si>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</si>
  <si>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</si>
  <si>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</si>
  <si>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</si>
  <si>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</si>
  <si>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</si>
  <si>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</si>
  <si>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</si>
  <si>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</si>
  <si>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</si>
  <si>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</si>
  <si>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</si>
  <si>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</si>
  <si>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</si>
  <si>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</si>
  <si>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</si>
  <si>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</si>
  <si>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</si>
  <si>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</si>
  <si>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</si>
  <si>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</si>
  <si>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</si>
  <si>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</si>
  <si>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</si>
  <si>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</si>
  <si>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</si>
  <si>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</si>
  <si>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</si>
  <si>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</si>
  <si>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</si>
  <si>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</si>
  <si>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</si>
  <si>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</si>
  <si>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</si>
  <si>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</si>
  <si>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</si>
  <si>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</si>
  <si>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</si>
  <si>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</si>
  <si>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</si>
  <si>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</si>
  <si>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</si>
  <si>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</si>
  <si>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</si>
  <si>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</si>
  <si>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</si>
  <si>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</si>
  <si>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</si>
  <si>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</si>
  <si>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</si>
  <si>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</si>
  <si>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</si>
  <si>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</si>
  <si>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</si>
  <si>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</si>
  <si>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</si>
  <si>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</si>
  <si>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</si>
  <si>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</si>
  <si>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</si>
  <si>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</si>
  <si>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</si>
  <si>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</si>
  <si>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</si>
  <si>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</si>
  <si>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</si>
  <si>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</si>
  <si>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</si>
  <si>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</si>
  <si>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</si>
  <si>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</si>
  <si>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</si>
  <si>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</si>
  <si>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</si>
  <si>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</si>
  <si>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</si>
  <si>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</si>
  <si>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</si>
  <si>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</si>
  <si>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</si>
  <si>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</si>
  <si>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</si>
  <si>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</si>
  <si>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</si>
  <si>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</si>
  <si>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</si>
  <si>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</si>
  <si>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</si>
  <si>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</si>
  <si>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</si>
  <si>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</si>
  <si>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</si>
  <si>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</si>
  <si>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</si>
  <si>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</si>
  <si>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</si>
  <si>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</si>
  <si>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</si>
  <si>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</si>
  <si>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</si>
  <si>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</si>
  <si>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</si>
  <si>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</si>
  <si>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</si>
  <si>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</si>
  <si>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</si>
  <si>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</si>
  <si>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</si>
  <si>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</si>
  <si>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</si>
  <si>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</si>
  <si>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</si>
  <si>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</si>
  <si>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</si>
  <si>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</si>
  <si>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</si>
  <si>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</si>
  <si>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</si>
  <si>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</si>
  <si>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</si>
  <si>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</si>
  <si>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</si>
  <si>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</si>
  <si>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</si>
  <si>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</si>
  <si>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</si>
  <si>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</si>
  <si>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</si>
  <si>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</si>
  <si>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</si>
  <si>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</si>
  <si>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</si>
  <si>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</si>
  <si>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</si>
  <si>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</si>
  <si>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</si>
  <si>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</si>
  <si>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</si>
  <si>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</si>
  <si>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</si>
  <si>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</si>
  <si>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</si>
  <si>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</si>
  <si>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</si>
  <si>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</si>
  <si>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</si>
  <si>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</si>
  <si>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</si>
  <si>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</si>
  <si>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</si>
  <si>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</si>
  <si>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</si>
  <si>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</si>
  <si>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</si>
  <si>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</si>
  <si>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</si>
  <si>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</si>
  <si>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</si>
  <si>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</si>
  <si>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</si>
  <si>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</si>
  <si>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</si>
  <si>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</si>
  <si>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</si>
  <si>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</si>
  <si>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</si>
  <si>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</si>
  <si>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</si>
  <si>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</si>
  <si>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</si>
  <si>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</si>
  <si>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</si>
  <si>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</si>
  <si>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</si>
  <si>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</si>
  <si>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</si>
  <si>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</si>
  <si>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</si>
  <si>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</si>
  <si>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</si>
  <si>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</si>
  <si>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</si>
  <si>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</si>
  <si>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</si>
  <si>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</si>
  <si>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</si>
  <si>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</si>
  <si>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</si>
  <si>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</si>
  <si>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</si>
  <si>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</si>
  <si>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</si>
  <si>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</si>
  <si>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</si>
  <si>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</si>
  <si>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</si>
  <si>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</si>
  <si>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</si>
  <si>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</si>
  <si>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</si>
  <si>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</si>
  <si>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</si>
  <si>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</si>
  <si>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</si>
  <si>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</si>
  <si>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</si>
  <si>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</si>
  <si>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</si>
  <si>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</si>
  <si>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</si>
  <si>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</si>
  <si>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</si>
  <si>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</si>
  <si>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</si>
  <si>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</si>
  <si>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</si>
  <si>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</si>
  <si>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</si>
  <si>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</si>
  <si>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</si>
  <si>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</si>
  <si>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</si>
  <si>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</si>
  <si>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</si>
  <si>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</si>
  <si>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</si>
  <si>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</si>
  <si>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</si>
  <si>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</si>
  <si>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</si>
  <si>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</si>
  <si>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</si>
  <si>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</si>
  <si>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</si>
  <si>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</si>
  <si>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</si>
  <si>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</si>
  <si>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</si>
  <si>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</si>
  <si>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</si>
  <si>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</si>
  <si>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</si>
  <si>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</si>
  <si>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</si>
  <si>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</si>
  <si>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</si>
  <si>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</si>
  <si>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</si>
  <si>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</si>
  <si>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</si>
  <si>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</si>
  <si>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</si>
  <si>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</si>
  <si>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</si>
  <si>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</si>
  <si>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</si>
  <si>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</si>
  <si>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</si>
  <si>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</si>
  <si>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</si>
  <si>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</si>
  <si>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</si>
  <si>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</si>
  <si>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</si>
  <si>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</si>
  <si>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</si>
  <si>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</si>
  <si>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</si>
  <si>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</si>
  <si>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</si>
  <si>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</si>
  <si>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</si>
  <si>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</si>
  <si>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</si>
  <si>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</si>
  <si>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</si>
  <si>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</si>
  <si>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</si>
  <si>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</si>
  <si>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</si>
  <si>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</si>
  <si>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</si>
  <si>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</si>
  <si>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</si>
  <si>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</si>
  <si>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</si>
  <si>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</si>
  <si>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</si>
  <si>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</si>
  <si>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</si>
  <si>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</si>
  <si>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</si>
  <si>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</si>
  <si>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</si>
  <si>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</si>
  <si>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</si>
  <si>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</si>
  <si>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</si>
  <si>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</si>
  <si>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</si>
  <si>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</si>
  <si>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</si>
  <si>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</si>
  <si>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</si>
  <si>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</si>
  <si>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</si>
  <si>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</si>
  <si>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</si>
  <si>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</si>
  <si>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</si>
  <si>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</si>
  <si>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</si>
  <si>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</si>
  <si>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</si>
  <si>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</si>
  <si>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</si>
  <si>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</si>
  <si>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</si>
  <si>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</si>
  <si>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</si>
  <si>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</si>
  <si>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</si>
  <si>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</si>
  <si>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</si>
  <si>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</si>
  <si>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</si>
  <si>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</si>
  <si>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</si>
  <si>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</si>
  <si>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</si>
  <si>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</si>
  <si>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</si>
  <si>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</si>
  <si>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</si>
  <si>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</si>
  <si>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</si>
  <si>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</si>
  <si>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</si>
  <si>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</si>
  <si>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</si>
  <si>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</si>
  <si>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</si>
  <si>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</si>
  <si>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</si>
  <si>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</si>
  <si>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</si>
  <si>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</si>
  <si>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</si>
  <si>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</si>
  <si>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</si>
  <si>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</si>
  <si>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</si>
  <si>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</si>
  <si>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</si>
  <si>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</si>
  <si>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</si>
  <si>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</si>
  <si>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</si>
  <si>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</si>
  <si>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</si>
  <si>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</si>
  <si>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</si>
  <si>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</si>
  <si>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</si>
  <si>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</si>
  <si>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</si>
  <si>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</si>
  <si>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</si>
  <si>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</si>
  <si>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</si>
  <si>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</si>
  <si>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</si>
  <si>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</si>
  <si>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</si>
  <si>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</si>
  <si>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</si>
  <si>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</si>
  <si>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</si>
  <si>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</si>
  <si>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</si>
  <si>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</si>
  <si>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</si>
  <si>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</si>
  <si>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</si>
  <si>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</si>
  <si>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</si>
  <si>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</si>
  <si>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</si>
  <si>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</si>
  <si>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</si>
  <si>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</si>
  <si>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</si>
  <si>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</si>
  <si>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</si>
  <si>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</si>
  <si>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</si>
  <si>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</si>
  <si>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</si>
  <si>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</si>
  <si>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</si>
  <si>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</si>
  <si>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</si>
  <si>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</si>
  <si>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</si>
  <si>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</si>
  <si>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</si>
  <si>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</si>
  <si>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</si>
  <si>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</si>
  <si>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</si>
  <si>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</si>
  <si>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</si>
  <si>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</si>
  <si>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</si>
  <si>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</si>
  <si>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</si>
  <si>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</si>
  <si>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</si>
  <si>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</si>
  <si>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</si>
  <si>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</si>
  <si>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</si>
  <si>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</si>
  <si>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</si>
  <si>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</si>
  <si>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</si>
  <si>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</si>
  <si>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</si>
  <si>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</si>
  <si>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</si>
  <si>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</si>
  <si>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</si>
  <si>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</si>
  <si>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</si>
  <si>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</si>
  <si>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</si>
  <si>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</si>
  <si>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</si>
  <si>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</si>
  <si>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</si>
  <si>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</si>
  <si>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</si>
  <si>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</si>
  <si>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</si>
  <si>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</si>
  <si>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</si>
  <si>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</si>
  <si>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</si>
  <si>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</si>
  <si>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</si>
  <si>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</si>
  <si>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</si>
  <si>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</si>
  <si>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</si>
  <si>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</si>
  <si>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</si>
  <si>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</si>
  <si>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</si>
  <si>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</si>
  <si>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</si>
  <si>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</si>
  <si>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</si>
  <si>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</si>
  <si>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</si>
  <si>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</si>
  <si>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</si>
  <si>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</si>
  <si>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</si>
  <si>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</si>
  <si>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</si>
  <si>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</si>
  <si>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</si>
  <si>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</si>
  <si>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</si>
  <si>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</si>
  <si>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4:11</t>
  </si>
  <si>
    <t>BAR GAL ON</t>
  </si>
  <si>
    <t>ELAD CIFLIK</t>
  </si>
  <si>
    <t>EILAM NUSBOUM</t>
  </si>
  <si>
    <t>OMER OVADIA</t>
  </si>
  <si>
    <t>RON GLAZER</t>
  </si>
  <si>
    <t>HADAS MALKIN</t>
  </si>
  <si>
    <t>3:10</t>
  </si>
  <si>
    <t>8:15</t>
  </si>
  <si>
    <t>0:44</t>
  </si>
  <si>
    <t>You did a very good job.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</si>
</sst>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15_141_TEL_ASV_E2025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46002.836805555555</v>
      </c>
      <c r="C3" s="178"/>
      <c r="D3" s="39">
        <v>590</v>
      </c>
      <c r="E3" s="29"/>
      <c r="F3" s="26">
        <f>SUBTOTAL(3,I17:I106)</f>
        <v>4</v>
      </c>
      <c r="G3" s="27">
        <f>IF(OR(D3="",D3=0),"",F3/D3)</f>
        <v>6.7796610169491523E-3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742</v>
      </c>
      <c r="L4" s="5"/>
      <c r="M4" s="185" t="s">
        <v>762</v>
      </c>
      <c r="N4" s="186"/>
      <c r="O4" s="2"/>
      <c r="P4" s="2"/>
      <c r="Q4" s="84" t="s">
        <v>175</v>
      </c>
      <c r="R4" s="94">
        <f>(IF(G3="",0,G3))</f>
        <v>6.7796610169491523E-3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0.67796610169491522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753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2.6779661016949152</v>
      </c>
      <c r="N7" s="58"/>
      <c r="O7" s="2"/>
      <c r="P7" s="2"/>
      <c r="Q7" s="86">
        <f>SUM(R5,S5,AC16)</f>
        <v>2.6779661016949152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755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2.6779661016949152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757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758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141</v>
      </c>
      <c r="D17" s="32" t="s">
        <v>752</v>
      </c>
      <c r="E17" s="33">
        <v>2</v>
      </c>
      <c r="F17" s="36">
        <v>43</v>
      </c>
      <c r="G17" s="36">
        <v>32</v>
      </c>
      <c r="H17" s="38" t="str">
        <f>IF(I17="","",$I$14)</f>
        <v>SCOUTING</v>
      </c>
      <c r="I17" s="34">
        <v>240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141</v>
      </c>
      <c r="D18" s="32" t="s">
        <v>759</v>
      </c>
      <c r="E18" s="33">
        <v>2</v>
      </c>
      <c r="F18" s="36">
        <v>44</v>
      </c>
      <c r="G18" s="36">
        <v>34</v>
      </c>
      <c r="H18" s="38" t="str">
        <f t="shared" ref="H18:H81" si="8">IF(I18="","",$I$14)</f>
        <v>SCOUTING</v>
      </c>
      <c r="I18" s="34">
        <v>251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141</v>
      </c>
      <c r="D19" s="32" t="s">
        <v>760</v>
      </c>
      <c r="E19" s="33">
        <v>3</v>
      </c>
      <c r="F19" s="36">
        <v>65</v>
      </c>
      <c r="G19" s="36">
        <v>62</v>
      </c>
      <c r="H19" s="38" t="str">
        <f t="shared" si="8"/>
        <v>SCOUTING</v>
      </c>
      <c r="I19" s="34">
        <v>353</v>
      </c>
      <c r="J19" s="13" t="s">
        <v>4</v>
      </c>
      <c r="K19" s="13" t="s">
        <v>62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141</v>
      </c>
      <c r="D20" s="32" t="s">
        <v>761</v>
      </c>
      <c r="E20" s="33">
        <v>3</v>
      </c>
      <c r="F20" s="36">
        <v>65</v>
      </c>
      <c r="G20" s="36">
        <v>62</v>
      </c>
      <c r="H20" s="38" t="str">
        <f t="shared" si="8"/>
        <v>SCOUTING</v>
      </c>
      <c r="I20" s="34">
        <v>461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"E2025141"</v>
      </c>
      <c r="F3" s="45" t="str">
        <f t="shared" ref="F3:F16" si="0">""""&amp;B3&amp;"""" &amp; " : " &amp;C3&amp;","</f>
        <v>"name" : "E2025141",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"E141"</v>
      </c>
      <c r="F4" s="45" t="str">
        <f t="shared" si="0"/>
        <v>"cod" : "E141",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141</v>
      </c>
      <c r="F6" s="45" t="str">
        <f t="shared" si="0"/>
        <v>"number" : 141,</v>
      </c>
    </row>
    <row r="7" spans="2:6" x14ac:dyDescent="0.25">
      <c r="B7" s="43" t="s">
        <v>116</v>
      </c>
      <c r="C7" s="43" t="str">
        <f ca="1">""""&amp;TEXT('SCOUT &amp; LOGISTICS'!B3,"dd/mm/aaaa")&amp;""""</f>
        <v>"11/12/Thursday"</v>
      </c>
      <c r="F7" s="45" t="str">
        <f t="shared" ca="1" si="0"/>
        <v>"date" : "11/12/Thursday",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"OMER OVADIA"</v>
      </c>
      <c r="F13" s="45" t="str">
        <f t="shared" si="0"/>
        <v>"Timerkeeper" : "OMER OVADIA",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"RON GLAZER"</v>
      </c>
      <c r="F14" s="45" t="str">
        <f t="shared" si="0"/>
        <v>"Shotclock" : "RON GLAZER",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"HADAS MALKIN"</v>
      </c>
      <c r="F15" s="45" t="str">
        <f t="shared" si="0"/>
        <v>"IRS" : "HADAS MALKIN",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590</v>
      </c>
      <c r="F25" s="45" t="str">
        <f t="shared" ref="F25:F48" si="1">""""&amp;C25&amp;"""" &amp; " : " &amp;D25&amp;","</f>
        <v>"total_actions" : 590,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did a very good job. Keep it up!!"</v>
      </c>
      <c r="F51" s="45" t="str">
        <f>""""&amp;B51&amp;"""" &amp; " : " &amp;C51&amp;","</f>
        <v>"comments" : "You did a very good job. Keep it up!!",</v>
      </c>
    </row>
    <row r="52" spans="2:6" x14ac:dyDescent="0.25">
      <c r="B52" s="43" t="s">
        <v>153</v>
      </c>
      <c r="C52" s="43" t="str">
        <f>TEXT('SCOUT &amp; LOGISTICS'!F1,"0,0")</f>
        <v>15_141_TEL_ASV_E2025</v>
      </c>
      <c r="F52" s="45" t="str">
        <f>""""&amp;B52&amp;"""" &amp; " : " &amp;C52</f>
        <v>"result" : 15_141_TEL_ASV_E2025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11/12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OMER OVADIA</v>
      </c>
      <c r="R8" s="201"/>
      <c r="S8" s="201"/>
      <c r="T8" s="201"/>
      <c r="U8" s="201"/>
      <c r="V8" s="201" t="str">
        <f>IF('SCOUT &amp; LOGISTICS'!D10="","",'SCOUT &amp; LOGISTICS'!D10)</f>
        <v>RON GLAZER</v>
      </c>
      <c r="W8" s="201"/>
      <c r="X8" s="201"/>
      <c r="Y8" s="201"/>
      <c r="Z8" s="201"/>
      <c r="AA8" s="201" t="str">
        <f>IF('SCOUT &amp; LOGISTICS'!D11="","",'SCOUT &amp; LOGISTICS'!D11)</f>
        <v>HADAS MALKIN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590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6.7796610169491523E-3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 did a very good job. Keep it up!!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2.6779661016949152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592ADFF-F6C9-4A1B-ADB3-55B8A8A4F95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2025-12-12T18:17:10Z</cp:lastPrinted>
  <dcterms:created xsi:type="dcterms:W3CDTF">2023-09-19T19:50:35Z</dcterms:created>
  <dcterms:modified xsi:type="dcterms:W3CDTF">2025-12-12T18:17:17Z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