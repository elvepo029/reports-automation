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7" documentId="8_{A14F0CED-287E-4AD4-B6E0-6321C02CD62E}" xr6:coauthVersionLast="47" xr6:coauthVersionMax="47" xr10:uidLastSave="{67E99C37-6789-488D-810D-C7B75D6998F1}"/>
  <bookViews>
    <workbookView xWindow="-22395" yWindow="375" windowWidth="19185" windowHeight="1126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<sst xmlns="http://schemas.openxmlformats.org/spreadsheetml/2006/main" count="3346" uniqueCount="835">
  <si>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</si>
  <si>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</si>
  <si>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</si>
  <si>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</si>
  <si>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</si>
  <si>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</si>
  <si>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</si>
  <si>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</si>
  <si>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</si>
  <si>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</si>
  <si>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</si>
  <si>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</si>
  <si>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</si>
  <si>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</si>
  <si>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</si>
  <si>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</si>
  <si>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</si>
  <si>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</si>
  <si>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</si>
  <si>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</si>
  <si>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</si>
  <si>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</si>
  <si>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</si>
  <si>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</si>
  <si>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</si>
  <si>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</si>
  <si>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</si>
  <si>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</si>
  <si>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</si>
  <si>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</si>
  <si>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</si>
  <si>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</si>
  <si>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</si>
  <si>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</si>
  <si>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</si>
  <si>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</si>
  <si>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</si>
  <si>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</si>
  <si>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</si>
  <si>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</si>
  <si>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</si>
  <si>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</si>
  <si>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</si>
  <si>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</si>
  <si>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</si>
  <si>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</si>
  <si>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</si>
  <si>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</si>
  <si>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</si>
  <si>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</si>
  <si>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</si>
  <si>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</si>
  <si>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</si>
  <si>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</si>
  <si>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</si>
  <si>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</si>
  <si>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</si>
  <si>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</si>
  <si>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</si>
  <si>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</si>
  <si>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</si>
  <si>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</si>
  <si>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</si>
  <si>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</si>
  <si>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</si>
  <si>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</si>
  <si>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</si>
  <si>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</si>
  <si>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</si>
  <si>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</si>
  <si>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</si>
  <si>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</si>
  <si>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</si>
  <si>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</si>
  <si>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</si>
  <si>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</si>
  <si>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</si>
  <si>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</si>
  <si>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</si>
  <si>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</si>
  <si>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</si>
  <si>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</si>
  <si>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</si>
  <si>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</si>
  <si>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</si>
  <si>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</si>
  <si>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</si>
  <si>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</si>
  <si>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</si>
  <si>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</si>
  <si>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</si>
  <si>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</si>
  <si>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</si>
  <si>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</si>
  <si>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</si>
  <si>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</si>
  <si>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</si>
  <si>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</si>
  <si>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</si>
  <si>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</si>
  <si>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</si>
  <si>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</si>
  <si>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</si>
  <si>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</si>
  <si>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</si>
  <si>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</si>
  <si>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</si>
  <si>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</si>
  <si>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</si>
  <si>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</si>
  <si>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</si>
  <si>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</si>
  <si>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</si>
  <si>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</si>
  <si>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</si>
  <si>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</si>
  <si>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</si>
  <si>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</si>
  <si>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</si>
  <si>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</si>
  <si>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</si>
  <si>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</si>
  <si>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</si>
  <si>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</si>
  <si>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</si>
  <si>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</si>
  <si>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</si>
  <si>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</si>
  <si>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</si>
  <si>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</si>
  <si>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</si>
  <si>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</si>
  <si>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</si>
  <si>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</si>
  <si>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</si>
  <si>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</si>
  <si>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</si>
  <si>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</si>
  <si>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</si>
  <si>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</si>
  <si>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</si>
  <si>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</si>
  <si>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</si>
  <si>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</si>
  <si>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</si>
  <si>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</si>
  <si>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</si>
  <si>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</si>
  <si>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</si>
  <si>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</si>
  <si>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</si>
  <si>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</si>
  <si>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</si>
  <si>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</si>
  <si>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</si>
  <si>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</si>
  <si>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</si>
  <si>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</si>
  <si>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</si>
  <si>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</si>
  <si>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</si>
  <si>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</si>
  <si>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</si>
  <si>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</si>
  <si>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</si>
  <si>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</si>
  <si>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</si>
  <si>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</si>
  <si>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</si>
  <si>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</si>
  <si>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</si>
  <si>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</si>
  <si>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</si>
  <si>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</si>
  <si>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</si>
  <si>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</si>
  <si>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</si>
  <si>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</si>
  <si>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</si>
  <si>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</si>
  <si>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</si>
  <si>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</si>
  <si>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</si>
  <si>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</si>
  <si>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</si>
  <si>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</si>
  <si>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</si>
  <si>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</si>
  <si>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</si>
  <si>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</si>
  <si>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</si>
  <si>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</si>
  <si>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</si>
  <si>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</si>
  <si>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</si>
  <si>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</si>
  <si>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</si>
  <si>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</si>
  <si>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</si>
  <si>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</si>
  <si>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</si>
  <si>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</si>
  <si>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</si>
  <si>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</si>
  <si>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</si>
  <si>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</si>
  <si>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</si>
  <si>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</si>
  <si>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</si>
  <si>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</si>
  <si>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</si>
  <si>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</si>
  <si>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</si>
  <si>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</si>
  <si>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</si>
  <si>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</si>
  <si>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</si>
  <si>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</si>
  <si>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</si>
  <si>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</si>
  <si>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</si>
  <si>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</si>
  <si>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</si>
  <si>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</si>
  <si>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</si>
  <si>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</si>
  <si>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</si>
  <si>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</si>
  <si>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</si>
  <si>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</si>
  <si>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</si>
  <si>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</si>
  <si>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</si>
  <si>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</si>
  <si>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</si>
  <si>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</si>
  <si>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</si>
  <si>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</si>
  <si>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</si>
  <si>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</si>
  <si>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</si>
  <si>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</si>
  <si>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</si>
  <si>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</si>
  <si>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</si>
  <si>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</si>
  <si>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</si>
  <si>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</si>
  <si>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</si>
  <si>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</si>
  <si>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</si>
  <si>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</si>
  <si>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</si>
  <si>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</si>
  <si>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</si>
  <si>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</si>
  <si>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</si>
  <si>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</si>
  <si>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</si>
  <si>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</si>
  <si>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</si>
  <si>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</si>
  <si>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</si>
  <si>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</si>
  <si>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</si>
  <si>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</si>
  <si>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</si>
  <si>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</si>
  <si>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</si>
  <si>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</si>
  <si>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</si>
  <si>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</si>
  <si>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</si>
  <si>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</si>
  <si>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</si>
  <si>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</si>
  <si>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</si>
  <si>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</si>
  <si>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</si>
  <si>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</si>
  <si>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</si>
  <si>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</si>
  <si>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</si>
  <si>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</si>
  <si>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</si>
  <si>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</si>
  <si>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</si>
  <si>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</si>
  <si>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</si>
  <si>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</si>
  <si>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</si>
  <si>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</si>
  <si>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</si>
  <si>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</si>
  <si>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</si>
  <si>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</si>
  <si>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</si>
  <si>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</si>
  <si>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</si>
  <si>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</si>
  <si>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</si>
  <si>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</si>
  <si>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</si>
  <si>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</si>
  <si>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</si>
  <si>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</si>
  <si>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</si>
  <si>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</si>
  <si>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</si>
  <si>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</si>
  <si>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</si>
  <si>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</si>
  <si>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</si>
  <si>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</si>
  <si>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</si>
  <si>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</si>
  <si>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</si>
  <si>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</si>
  <si>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</si>
  <si>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</si>
  <si>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</si>
  <si>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</si>
  <si>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</si>
  <si>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</si>
  <si>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</si>
  <si>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</si>
  <si>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</si>
  <si>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</si>
  <si>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</si>
  <si>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</si>
  <si>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</si>
  <si>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</si>
  <si>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</si>
  <si>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</si>
  <si>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</si>
  <si>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</si>
  <si>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</si>
  <si>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</si>
  <si>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</si>
  <si>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</si>
  <si>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</si>
  <si>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</si>
  <si>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</si>
  <si>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</si>
  <si>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</si>
  <si>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</si>
  <si>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</si>
  <si>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</si>
  <si>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</si>
  <si>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</si>
  <si>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</si>
  <si>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</si>
  <si>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</si>
  <si>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</si>
  <si>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</si>
  <si>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</si>
  <si>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</si>
  <si>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</si>
  <si>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</si>
  <si>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</si>
  <si>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</si>
  <si>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</si>
  <si>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</si>
  <si>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</si>
  <si>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</si>
  <si>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</si>
  <si>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</si>
  <si>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</si>
  <si>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</si>
  <si>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</si>
  <si>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</si>
  <si>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</si>
  <si>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</si>
  <si>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</si>
  <si>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</si>
  <si>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</si>
  <si>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</si>
  <si>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</si>
  <si>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</si>
  <si>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</si>
  <si>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</si>
  <si>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</si>
  <si>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</si>
  <si>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</si>
  <si>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</si>
  <si>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</si>
  <si>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</si>
  <si>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</si>
  <si>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</si>
  <si>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</si>
  <si>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</si>
  <si>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</si>
  <si>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</si>
  <si>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</si>
  <si>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</si>
  <si>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</si>
  <si>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</si>
  <si>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</si>
  <si>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</si>
  <si>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</si>
  <si>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</si>
  <si>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</si>
  <si>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</si>
  <si>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</si>
  <si>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</si>
  <si>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</si>
  <si>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</si>
  <si>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</si>
  <si>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</si>
  <si>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</si>
  <si>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</si>
  <si>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</si>
  <si>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</si>
  <si>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</si>
  <si>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</si>
  <si>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</si>
  <si>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</si>
  <si>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</si>
  <si>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</si>
  <si>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</si>
  <si>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</si>
  <si>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</si>
  <si>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</si>
  <si>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</si>
  <si>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</si>
  <si>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</si>
  <si>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</si>
  <si>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</si>
  <si>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</si>
  <si>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</si>
  <si>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</si>
  <si>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</si>
  <si>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</si>
  <si>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</si>
  <si>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</si>
  <si>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</si>
  <si>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</si>
  <si>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</si>
  <si>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</si>
  <si>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</si>
  <si>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</si>
  <si>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</si>
  <si>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</si>
  <si>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</si>
  <si>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</si>
  <si>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</si>
  <si>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</si>
  <si>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</si>
  <si>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</si>
  <si>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</si>
  <si>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</si>
  <si>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</si>
  <si>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</si>
  <si>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</si>
  <si>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</si>
  <si>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</si>
  <si>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</si>
  <si>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</si>
  <si>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</si>
  <si>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</si>
  <si>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</si>
  <si>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</si>
  <si>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</si>
  <si>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</si>
  <si>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</si>
  <si>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</si>
  <si>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</si>
  <si>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</si>
  <si>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</si>
  <si>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</si>
  <si>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</si>
  <si>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</si>
  <si>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</si>
  <si>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</si>
  <si>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</si>
  <si>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</si>
  <si>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</si>
  <si>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</si>
  <si>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</si>
  <si>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</si>
  <si>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</si>
  <si>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</si>
  <si>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</si>
  <si>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</si>
  <si>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</si>
  <si>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</si>
  <si>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</si>
  <si>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</si>
  <si>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</si>
  <si>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</si>
  <si>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</si>
  <si>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</si>
  <si>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</si>
  <si>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</si>
  <si>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</si>
  <si>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</si>
  <si>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</si>
  <si>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</si>
  <si>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</si>
  <si>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</si>
  <si>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</si>
  <si>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</si>
  <si>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</si>
  <si>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</si>
  <si>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</si>
  <si>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</si>
  <si>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</si>
  <si>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</si>
  <si>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</si>
  <si>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</si>
  <si>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</si>
  <si>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</si>
  <si>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</si>
  <si>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</si>
  <si>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</si>
  <si>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</si>
  <si>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</si>
  <si>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</si>
  <si>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</si>
  <si>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</si>
  <si>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</si>
  <si>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</si>
  <si>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</si>
  <si>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</si>
  <si>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</si>
  <si>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</si>
  <si>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</si>
  <si>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</si>
  <si>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</si>
  <si>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</si>
  <si>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</si>
  <si>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</si>
  <si>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</si>
  <si>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</si>
  <si>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</si>
  <si>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</si>
  <si>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</si>
  <si>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</si>
  <si>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</si>
  <si>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</si>
  <si>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</si>
  <si>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</si>
  <si>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</si>
  <si>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</si>
  <si>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</si>
  <si>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</si>
  <si>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</si>
  <si>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</si>
  <si>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</si>
  <si>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</si>
  <si>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</si>
  <si>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</si>
  <si>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</si>
  <si>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</si>
  <si>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</si>
  <si>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</si>
  <si>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</si>
  <si>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</si>
  <si>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</si>
  <si>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</si>
  <si>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</si>
  <si>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</si>
  <si>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</si>
  <si>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</si>
  <si>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</si>
  <si>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</si>
  <si>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</si>
  <si>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</si>
  <si>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</si>
  <si>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</si>
  <si>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</si>
  <si>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</si>
  <si>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</si>
  <si>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</si>
  <si>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</si>
  <si>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</si>
  <si>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</si>
  <si>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</si>
  <si>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</si>
  <si>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</si>
  <si>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</si>
  <si>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</si>
  <si>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</si>
  <si>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</si>
  <si>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</si>
  <si>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</si>
  <si>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</si>
  <si>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</si>
  <si>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</si>
  <si>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</si>
  <si>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</si>
  <si>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</si>
  <si>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</si>
  <si>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</si>
  <si>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</si>
  <si>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</si>
  <si>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</si>
  <si>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</si>
  <si>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</si>
  <si>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</si>
  <si>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</si>
  <si>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</si>
  <si>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</si>
  <si>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</si>
  <si>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</si>
  <si>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</si>
  <si>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</si>
  <si>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</si>
  <si>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</si>
  <si>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</si>
  <si>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</si>
  <si>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</si>
  <si>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</si>
  <si>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</si>
  <si>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</si>
  <si>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</si>
  <si>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</si>
  <si>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</si>
  <si>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</si>
  <si>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</si>
  <si>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</si>
  <si>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</si>
  <si>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</si>
  <si>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</si>
  <si>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</si>
  <si>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</si>
  <si>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</si>
  <si>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</si>
  <si>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</si>
  <si>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</si>
  <si>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</si>
  <si>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</si>
  <si>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</si>
  <si>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</si>
  <si>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</si>
  <si>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</si>
  <si>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</si>
  <si>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</si>
  <si>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</si>
  <si>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</si>
  <si>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</si>
  <si>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</si>
  <si>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</si>
  <si>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</si>
  <si>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</si>
  <si>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</si>
  <si>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</si>
  <si>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</si>
  <si>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</si>
  <si>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</si>
  <si>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</si>
  <si>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</si>
  <si>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</si>
  <si>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</si>
  <si>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</si>
  <si>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</si>
  <si>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</si>
  <si>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</si>
  <si>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</si>
  <si>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</si>
  <si>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</si>
  <si>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</si>
  <si>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</si>
  <si>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</si>
  <si>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</si>
  <si>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</si>
  <si>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</si>
  <si>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</si>
  <si>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</si>
  <si>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</si>
  <si>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</si>
  <si>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</si>
  <si>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</si>
  <si>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</si>
  <si>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</si>
  <si>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</si>
  <si>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</si>
  <si>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</si>
  <si>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</si>
  <si>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</si>
  <si>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</si>
  <si>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</si>
  <si>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</si>
  <si>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</si>
  <si>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</si>
  <si>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</si>
  <si>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</si>
  <si>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</si>
  <si>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</si>
  <si>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</si>
  <si>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</si>
  <si>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</si>
  <si>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</si>
  <si>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</si>
  <si>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</si>
  <si>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</si>
  <si>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</si>
  <si>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</si>
  <si>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</si>
  <si>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</si>
  <si>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</si>
  <si>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</si>
  <si>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</si>
  <si>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</si>
  <si>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</si>
  <si>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</si>
  <si>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</si>
  <si>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</si>
  <si>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</si>
  <si>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</si>
  <si>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</si>
  <si>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</si>
  <si>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</si>
  <si>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</si>
  <si>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</si>
  <si>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</si>
  <si>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</si>
  <si>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</si>
  <si>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</si>
  <si>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</si>
  <si>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</si>
  <si>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</si>
  <si>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</si>
  <si>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</si>
  <si>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</si>
  <si>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</si>
  <si>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</si>
  <si>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</si>
  <si>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</si>
  <si>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</si>
  <si>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</si>
  <si>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</si>
  <si>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</si>
  <si>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</si>
  <si>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</si>
  <si>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</si>
  <si>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</si>
  <si>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</si>
  <si>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</si>
  <si>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</si>
  <si>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</si>
  <si>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</si>
  <si>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</si>
  <si>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</si>
  <si>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</si>
  <si>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</si>
  <si>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</si>
  <si>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</si>
  <si>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</si>
  <si>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</si>
  <si>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</si>
  <si>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</si>
  <si>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</si>
  <si>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</si>
  <si>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</si>
  <si>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</si>
  <si>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</si>
  <si>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</si>
  <si>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</si>
  <si>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</si>
  <si>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</si>
  <si>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</si>
  <si>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</si>
  <si>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</si>
  <si>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</si>
  <si>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</si>
  <si>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</si>
  <si>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</si>
  <si>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</si>
  <si>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</si>
  <si>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</si>
  <si>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</si>
  <si>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</si>
  <si>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</si>
  <si>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</si>
  <si>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</si>
  <si>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</si>
  <si>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</si>
  <si>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</si>
  <si>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</si>
  <si>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</si>
  <si>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</si>
  <si>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</si>
  <si>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</si>
  <si>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</si>
  <si>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</si>
  <si>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</si>
  <si>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</si>
  <si>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</si>
  <si>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</si>
  <si>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</si>
  <si>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</si>
  <si>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</si>
  <si>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</si>
  <si>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</si>
  <si>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</si>
  <si>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</si>
  <si>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</si>
  <si>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</si>
  <si>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</si>
  <si>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</si>
  <si>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</si>
  <si>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</si>
  <si>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</si>
  <si>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</si>
  <si>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</si>
  <si>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</si>
  <si>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</si>
  <si>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</si>
  <si>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</si>
  <si>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</si>
  <si>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</si>
  <si>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</si>
  <si>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</si>
  <si>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</si>
  <si>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</si>
  <si>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</si>
  <si>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</si>
  <si>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</si>
  <si>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</si>
  <si>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</si>
  <si>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</si>
  <si>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</si>
  <si>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</si>
  <si>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</si>
  <si>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</si>
  <si>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AGNIESZKA WYSOCKA</t>
  </si>
  <si>
    <t>DOROTA RECZUCH</t>
  </si>
  <si>
    <t>KATARZYNA LESIECKA</t>
  </si>
  <si>
    <t>JOANNA LECH</t>
  </si>
  <si>
    <t>MATEUSZ KOJKA</t>
  </si>
  <si>
    <t>MARC VENTURA</t>
  </si>
  <si>
    <t>05:31</t>
  </si>
  <si>
    <t>04:03</t>
  </si>
  <si>
    <t>04:16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</si>
</sst>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9" sqref="N19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15_141_WRO_ARI_U2025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46042.791666666664</v>
      </c>
      <c r="C3" s="178"/>
      <c r="D3" s="39">
        <v>0</v>
      </c>
      <c r="E3" s="29"/>
      <c r="F3" s="26">
        <f>SUBTOTAL(3,I17:I106)</f>
        <v>3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Slask Wroclaw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WRO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2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Aris Thessaloniki Betsson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2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</v>
      </c>
      <c r="N7" s="58"/>
      <c r="O7" s="2"/>
      <c r="P7" s="2"/>
      <c r="Q7" s="86">
        <f>SUM(R5,S5,AC16)</f>
        <v>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141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141</v>
      </c>
      <c r="D17" s="32" t="s">
        <v>832</v>
      </c>
      <c r="E17" s="33">
        <v>2</v>
      </c>
      <c r="F17" s="36">
        <v>30</v>
      </c>
      <c r="G17" s="36">
        <v>35</v>
      </c>
      <c r="H17" s="38" t="str">
        <f>IF(I17="","",$I$14)</f>
        <v>SCOUTING</v>
      </c>
      <c r="I17" s="34">
        <v>220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141</v>
      </c>
      <c r="D18" s="32" t="s">
        <v>833</v>
      </c>
      <c r="E18" s="33">
        <v>2</v>
      </c>
      <c r="F18" s="36">
        <v>33</v>
      </c>
      <c r="G18" s="36">
        <v>40</v>
      </c>
      <c r="H18" s="38" t="str">
        <f t="shared" ref="H18:H81" si="8">IF(I18="","",$I$14)</f>
        <v>SCOUTING</v>
      </c>
      <c r="I18" s="34">
        <v>251</v>
      </c>
      <c r="J18" s="13" t="s">
        <v>4</v>
      </c>
      <c r="K18" s="13" t="s">
        <v>62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141</v>
      </c>
      <c r="D19" s="32" t="s">
        <v>834</v>
      </c>
      <c r="E19" s="33">
        <v>3</v>
      </c>
      <c r="F19" s="36">
        <v>63</v>
      </c>
      <c r="G19" s="36">
        <v>61</v>
      </c>
      <c r="H19" s="38" t="str">
        <f t="shared" si="8"/>
        <v>SCOUTING</v>
      </c>
      <c r="I19" s="34">
        <v>398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REPORT_U2025141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"U2025141"</v>
      </c>
      <c r="F3" s="45" t="str">
        <f t="shared" ref="F3:F16" si="0">""""&amp;B3&amp;"""" &amp; " : " &amp;C3&amp;","</f>
        <v>"name" : "U2025141",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"U141"</v>
      </c>
      <c r="F4" s="45" t="str">
        <f t="shared" si="0"/>
        <v>"cod" : "U141",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141</v>
      </c>
      <c r="F6" s="45" t="str">
        <f t="shared" si="0"/>
        <v>"number" : 141,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"Slask Wroclaw"</v>
      </c>
      <c r="F8" s="45" t="str">
        <f t="shared" si="0"/>
        <v>"home_team" : "Slask Wroclaw",</v>
      </c>
    </row>
    <row r="9" spans="2:6" x14ac:dyDescent="0.25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"AGNIESZKA WYSOCKA"</v>
      </c>
      <c r="F10" s="45" t="str">
        <f t="shared" si="0"/>
        <v>"Data_entry" : "AGNIESZKA WYSOCKA",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"DOROTA RECZUCH"</v>
      </c>
      <c r="F11" s="45" t="str">
        <f t="shared" si="0"/>
        <v>"Caller_1" : "DOROTA RECZUCH",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"KATARZYNA LESIECKA"</v>
      </c>
      <c r="F12" s="45" t="str">
        <f t="shared" si="0"/>
        <v>"Caller_2" : "KATARZYNA LESIECKA",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"JOANNA LECH"</v>
      </c>
      <c r="F13" s="45" t="str">
        <f t="shared" si="0"/>
        <v>"Timerkeeper" : "JOANNA LECH",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"MATEUSZ KOJKA"</v>
      </c>
      <c r="F14" s="45" t="str">
        <f t="shared" si="0"/>
        <v>"Shotclock" : "MATEUSZ KOJKA",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5">
      <c r="B52" s="43" t="s">
        <v>153</v>
      </c>
      <c r="C52" s="43" t="str">
        <f>TEXT('SCOUT &amp; LOGISTICS'!F1,"0,0")</f>
        <v>15_141_WRO_ARI_U2025</v>
      </c>
      <c r="F52" s="45" t="str">
        <f>""""&amp;B52&amp;"""" &amp; " : " &amp;C52</f>
        <v>"result" : 15_141_WRO_ARI_U2025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U141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Slask Wroclaw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Aris Thessaloniki Betsson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AGNIESZKA WYSOCKA</v>
      </c>
      <c r="C8" s="201"/>
      <c r="D8" s="201"/>
      <c r="E8" s="201"/>
      <c r="F8" s="201"/>
      <c r="G8" s="201" t="str">
        <f>IF('SCOUT &amp; LOGISTICS'!D7="","",'SCOUT &amp; LOGISTICS'!D7)</f>
        <v>DOROTA RECZUCH</v>
      </c>
      <c r="H8" s="201"/>
      <c r="I8" s="201"/>
      <c r="J8" s="201"/>
      <c r="K8" s="201"/>
      <c r="L8" s="201" t="str">
        <f>IF('SCOUT &amp; LOGISTICS'!D8="","",'SCOUT &amp; LOGISTICS'!D8)</f>
        <v>KATARZYNA LESIECKA</v>
      </c>
      <c r="M8" s="201"/>
      <c r="N8" s="201"/>
      <c r="O8" s="201"/>
      <c r="P8" s="201"/>
      <c r="Q8" s="201" t="str">
        <f>IF('SCOUT &amp; LOGISTICS'!D9="","",'SCOUT &amp; LOGISTICS'!D9)</f>
        <v>JOANNA LECH</v>
      </c>
      <c r="R8" s="201"/>
      <c r="S8" s="201"/>
      <c r="T8" s="201"/>
      <c r="U8" s="201"/>
      <c r="V8" s="201" t="str">
        <f>IF('SCOUT &amp; LOGISTICS'!D10="","",'SCOUT &amp; LOGISTICS'!D10)</f>
        <v>MATEUSZ KOJKA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65DE28D5-5EE0-43AB-AD1A-1A1491FD20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2026-01-07T21:11:55Z</cp:lastPrinted>
  <dcterms:created xsi:type="dcterms:W3CDTF">2023-09-19T19:50:35Z</dcterms:created>
  <dcterms:modified xsi:type="dcterms:W3CDTF">2026-05-05T18:49:17Z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