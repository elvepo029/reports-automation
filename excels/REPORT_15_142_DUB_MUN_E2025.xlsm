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0" documentId="8_{2212DE64-30CB-4CD4-AB04-6606F2F9634B}" xr6:coauthVersionLast="47" xr6:coauthVersionMax="47" xr10:uidLastSave="{D5B670CE-1998-4A3D-AE45-49752F7A9DD6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<sst xmlns="http://schemas.openxmlformats.org/spreadsheetml/2006/main" count="3260" uniqueCount="762">
  <si>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</si>
  <si>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</si>
  <si>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</si>
  <si>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</si>
  <si>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</si>
  <si>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</si>
  <si>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</si>
  <si>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</si>
  <si>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</si>
  <si>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</si>
  <si>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</si>
  <si>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</si>
  <si>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</si>
  <si>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</si>
  <si>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</si>
  <si>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</si>
  <si>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</si>
  <si>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</si>
  <si>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</si>
  <si>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</si>
  <si>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</si>
  <si>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</si>
  <si>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</si>
  <si>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</si>
  <si>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</si>
  <si>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</si>
  <si>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</si>
  <si>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</si>
  <si>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</si>
  <si>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</si>
  <si>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</si>
  <si>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</si>
  <si>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</si>
  <si>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</si>
  <si>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</si>
  <si>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</si>
  <si>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</si>
  <si>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</si>
  <si>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</si>
  <si>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</si>
  <si>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</si>
  <si>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</si>
  <si>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</si>
  <si>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</si>
  <si>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</si>
  <si>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</si>
  <si>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</si>
  <si>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</si>
  <si>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</si>
  <si>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</si>
  <si>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</si>
  <si>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</si>
  <si>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</si>
  <si>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</si>
  <si>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</si>
  <si>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</si>
  <si>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</si>
  <si>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</si>
  <si>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</si>
  <si>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</si>
  <si>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</si>
  <si>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</si>
  <si>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</si>
  <si>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</si>
  <si>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</si>
  <si>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</si>
  <si>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</si>
  <si>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</si>
  <si>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</si>
  <si>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</si>
  <si>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</si>
  <si>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</si>
  <si>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</si>
  <si>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</si>
  <si>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</si>
  <si>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</si>
  <si>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</si>
  <si>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</si>
  <si>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</si>
  <si>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</si>
  <si>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</si>
  <si>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</si>
  <si>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</si>
  <si>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</si>
  <si>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</si>
  <si>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</si>
  <si>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</si>
  <si>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</si>
  <si>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</si>
  <si>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</si>
  <si>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</si>
  <si>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</si>
  <si>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</si>
  <si>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</si>
  <si>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</si>
  <si>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</si>
  <si>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</si>
  <si>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</si>
  <si>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</si>
  <si>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</si>
  <si>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</si>
  <si>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</si>
  <si>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</si>
  <si>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</si>
  <si>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</si>
  <si>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</si>
  <si>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</si>
  <si>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</si>
  <si>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</si>
  <si>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</si>
  <si>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</si>
  <si>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</si>
  <si>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</si>
  <si>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</si>
  <si>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</si>
  <si>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</si>
  <si>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</si>
  <si>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</si>
  <si>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</si>
  <si>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</si>
  <si>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</si>
  <si>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</si>
  <si>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</si>
  <si>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</si>
  <si>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</si>
  <si>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</si>
  <si>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</si>
  <si>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</si>
  <si>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</si>
  <si>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</si>
  <si>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</si>
  <si>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</si>
  <si>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</si>
  <si>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</si>
  <si>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</si>
  <si>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</si>
  <si>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</si>
  <si>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</si>
  <si>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</si>
  <si>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</si>
  <si>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</si>
  <si>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</si>
  <si>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</si>
  <si>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</si>
  <si>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</si>
  <si>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</si>
  <si>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</si>
  <si>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</si>
  <si>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</si>
  <si>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</si>
  <si>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</si>
  <si>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</si>
  <si>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</si>
  <si>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</si>
  <si>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</si>
  <si>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</si>
  <si>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</si>
  <si>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</si>
  <si>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</si>
  <si>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</si>
  <si>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</si>
  <si>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</si>
  <si>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</si>
  <si>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</si>
  <si>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</si>
  <si>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</si>
  <si>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</si>
  <si>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</si>
  <si>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</si>
  <si>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</si>
  <si>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</si>
  <si>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</si>
  <si>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</si>
  <si>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</si>
  <si>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</si>
  <si>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</si>
  <si>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</si>
  <si>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</si>
  <si>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</si>
  <si>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</si>
  <si>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</si>
  <si>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</si>
  <si>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</si>
  <si>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</si>
  <si>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</si>
  <si>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</si>
  <si>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</si>
  <si>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</si>
  <si>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</si>
  <si>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</si>
  <si>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</si>
  <si>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</si>
  <si>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</si>
  <si>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</si>
  <si>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</si>
  <si>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</si>
  <si>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</si>
  <si>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</si>
  <si>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</si>
  <si>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</si>
  <si>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</si>
  <si>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</si>
  <si>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</si>
  <si>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</si>
  <si>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</si>
  <si>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</si>
  <si>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</si>
  <si>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</si>
  <si>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</si>
  <si>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</si>
  <si>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</si>
  <si>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</si>
  <si>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</si>
  <si>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</si>
  <si>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</si>
  <si>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</si>
  <si>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</si>
  <si>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</si>
  <si>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</si>
  <si>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</si>
  <si>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</si>
  <si>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</si>
  <si>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</si>
  <si>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</si>
  <si>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</si>
  <si>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</si>
  <si>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</si>
  <si>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</si>
  <si>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</si>
  <si>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</si>
  <si>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</si>
  <si>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</si>
  <si>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</si>
  <si>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</si>
  <si>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</si>
  <si>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</si>
  <si>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</si>
  <si>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</si>
  <si>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</si>
  <si>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</si>
  <si>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</si>
  <si>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</si>
  <si>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</si>
  <si>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</si>
  <si>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</si>
  <si>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</si>
  <si>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</si>
  <si>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</si>
  <si>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</si>
  <si>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</si>
  <si>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</si>
  <si>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</si>
  <si>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</si>
  <si>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</si>
  <si>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</si>
  <si>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</si>
  <si>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</si>
  <si>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</si>
  <si>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</si>
  <si>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</si>
  <si>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</si>
  <si>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</si>
  <si>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</si>
  <si>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</si>
  <si>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</si>
  <si>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</si>
  <si>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</si>
  <si>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</si>
  <si>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</si>
  <si>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</si>
  <si>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</si>
  <si>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</si>
  <si>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</si>
  <si>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</si>
  <si>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</si>
  <si>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</si>
  <si>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</si>
  <si>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</si>
  <si>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</si>
  <si>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</si>
  <si>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</si>
  <si>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</si>
  <si>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</si>
  <si>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</si>
  <si>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</si>
  <si>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</si>
  <si>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</si>
  <si>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</si>
  <si>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</si>
  <si>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</si>
  <si>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</si>
  <si>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</si>
  <si>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</si>
  <si>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</si>
  <si>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</si>
  <si>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</si>
  <si>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</si>
  <si>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</si>
  <si>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</si>
  <si>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</si>
  <si>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</si>
  <si>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</si>
  <si>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</si>
  <si>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</si>
  <si>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</si>
  <si>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</si>
  <si>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</si>
  <si>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</si>
  <si>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</si>
  <si>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</si>
  <si>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</si>
  <si>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</si>
  <si>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</si>
  <si>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</si>
  <si>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</si>
  <si>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</si>
  <si>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</si>
  <si>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</si>
  <si>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</si>
  <si>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</si>
  <si>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</si>
  <si>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</si>
  <si>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</si>
  <si>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</si>
  <si>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</si>
  <si>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</si>
  <si>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</si>
  <si>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</si>
  <si>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</si>
  <si>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</si>
  <si>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</si>
  <si>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</si>
  <si>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</si>
  <si>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</si>
  <si>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</si>
  <si>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</si>
  <si>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</si>
  <si>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</si>
  <si>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</si>
  <si>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</si>
  <si>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</si>
  <si>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</si>
  <si>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</si>
  <si>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</si>
  <si>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</si>
  <si>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</si>
  <si>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</si>
  <si>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</si>
  <si>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</si>
  <si>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</si>
  <si>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</si>
  <si>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</si>
  <si>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</si>
  <si>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</si>
  <si>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</si>
  <si>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</si>
  <si>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</si>
  <si>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</si>
  <si>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</si>
  <si>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</si>
  <si>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</si>
  <si>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</si>
  <si>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</si>
  <si>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</si>
  <si>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</si>
  <si>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</si>
  <si>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</si>
  <si>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</si>
  <si>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</si>
  <si>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</si>
  <si>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</si>
  <si>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</si>
  <si>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</si>
  <si>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</si>
  <si>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</si>
  <si>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</si>
  <si>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</si>
  <si>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</si>
  <si>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</si>
  <si>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</si>
  <si>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</si>
  <si>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</si>
  <si>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</si>
  <si>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</si>
  <si>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</si>
  <si>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</si>
  <si>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</si>
  <si>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</si>
  <si>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</si>
  <si>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</si>
  <si>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</si>
  <si>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</si>
  <si>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</si>
  <si>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</si>
  <si>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</si>
  <si>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</si>
  <si>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</si>
  <si>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</si>
  <si>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</si>
  <si>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</si>
  <si>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</si>
  <si>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</si>
  <si>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</si>
  <si>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</si>
  <si>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</si>
  <si>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</si>
  <si>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</si>
  <si>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</si>
  <si>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</si>
  <si>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</si>
  <si>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</si>
  <si>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</si>
  <si>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</si>
  <si>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</si>
  <si>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</si>
  <si>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</si>
  <si>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</si>
  <si>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</si>
  <si>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</si>
  <si>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</si>
  <si>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</si>
  <si>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</si>
  <si>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</si>
  <si>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</si>
  <si>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</si>
  <si>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</si>
  <si>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</si>
  <si>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</si>
  <si>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</si>
  <si>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</si>
  <si>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</si>
  <si>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</si>
  <si>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</si>
  <si>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</si>
  <si>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</si>
  <si>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</si>
  <si>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</si>
  <si>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</si>
  <si>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</si>
  <si>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</si>
  <si>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</si>
  <si>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</si>
  <si>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</si>
  <si>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</si>
  <si>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</si>
  <si>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</si>
  <si>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</si>
  <si>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</si>
  <si>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</si>
  <si>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</si>
  <si>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</si>
  <si>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</si>
  <si>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</si>
  <si>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</si>
  <si>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</si>
  <si>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</si>
  <si>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</si>
  <si>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</si>
  <si>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</si>
  <si>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</si>
  <si>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</si>
  <si>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</si>
  <si>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</si>
  <si>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</si>
  <si>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</si>
  <si>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</si>
  <si>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</si>
  <si>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</si>
  <si>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</si>
  <si>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</si>
  <si>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</si>
  <si>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</si>
  <si>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</si>
  <si>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</si>
  <si>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</si>
  <si>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</si>
  <si>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</si>
  <si>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</si>
  <si>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</si>
  <si>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</si>
  <si>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</si>
  <si>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</si>
  <si>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</si>
  <si>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</si>
  <si>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</si>
  <si>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</si>
  <si>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</si>
  <si>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</si>
  <si>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</si>
  <si>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</si>
  <si>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</si>
  <si>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</si>
  <si>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</si>
  <si>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</si>
  <si>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</si>
  <si>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</si>
  <si>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</si>
  <si>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</si>
  <si>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</si>
  <si>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</si>
  <si>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</si>
  <si>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</si>
  <si>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</si>
  <si>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</si>
  <si>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</si>
  <si>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</si>
  <si>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</si>
  <si>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</si>
  <si>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</si>
  <si>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</si>
  <si>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</si>
  <si>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</si>
  <si>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</si>
  <si>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</si>
  <si>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</si>
  <si>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</si>
  <si>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</si>
  <si>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</si>
  <si>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</si>
  <si>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</si>
  <si>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</si>
  <si>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</si>
  <si>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</si>
  <si>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</si>
  <si>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</si>
  <si>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</si>
  <si>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</si>
  <si>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</si>
  <si>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</si>
  <si>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</si>
  <si>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</si>
  <si>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</si>
  <si>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</si>
  <si>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</si>
  <si>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</si>
  <si>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</si>
  <si>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</si>
  <si>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</si>
  <si>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</si>
  <si>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</si>
  <si>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</si>
  <si>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</si>
  <si>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</si>
  <si>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</si>
  <si>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</si>
  <si>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</si>
  <si>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</si>
  <si>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</si>
  <si>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</si>
  <si>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</si>
  <si>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</si>
  <si>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</si>
  <si>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</si>
  <si>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</si>
  <si>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</si>
  <si>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</si>
  <si>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</si>
  <si>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</si>
  <si>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</si>
  <si>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</si>
  <si>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</si>
  <si>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</si>
  <si>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</si>
  <si>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</si>
  <si>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</si>
  <si>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</si>
  <si>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</si>
  <si>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</si>
  <si>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</si>
  <si>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</si>
  <si>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</si>
  <si>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</si>
  <si>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</si>
  <si>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</si>
  <si>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</si>
  <si>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</si>
  <si>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</si>
  <si>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</si>
  <si>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</si>
  <si>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</si>
  <si>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</si>
  <si>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</si>
  <si>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</si>
  <si>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</si>
  <si>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</si>
  <si>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</si>
  <si>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</si>
  <si>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</si>
  <si>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</si>
  <si>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</si>
  <si>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</si>
  <si>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</si>
  <si>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</si>
  <si>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</si>
  <si>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</si>
  <si>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</si>
  <si>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</si>
  <si>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</si>
  <si>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</si>
  <si>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</si>
  <si>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</si>
  <si>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</si>
  <si>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</si>
  <si>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</si>
  <si>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</si>
  <si>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</si>
  <si>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</si>
  <si>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</si>
  <si>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</si>
  <si>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</si>
  <si>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</si>
  <si>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</si>
  <si>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</si>
  <si>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</si>
  <si>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</si>
  <si>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</si>
  <si>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</si>
  <si>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</si>
  <si>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</si>
  <si>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</si>
  <si>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</si>
  <si>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</si>
  <si>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</si>
  <si>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</si>
  <si>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</si>
  <si>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</si>
  <si>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</si>
  <si>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</si>
  <si>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</si>
  <si>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</si>
  <si>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</si>
  <si>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</si>
  <si>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</si>
  <si>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</si>
  <si>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</si>
  <si>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</si>
  <si>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</si>
  <si>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</si>
  <si>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</si>
  <si>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</si>
  <si>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</si>
  <si>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</si>
  <si>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</si>
  <si>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</si>
  <si>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</si>
  <si>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</si>
  <si>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</si>
  <si>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</si>
  <si>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</si>
  <si>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</si>
  <si>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</si>
  <si>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</si>
  <si>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</si>
  <si>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</si>
  <si>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</si>
  <si>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</si>
  <si>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</si>
  <si>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</si>
  <si>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</si>
  <si>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</si>
  <si>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</si>
  <si>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</si>
  <si>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</si>
  <si>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</si>
  <si>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</si>
  <si>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</si>
  <si>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</si>
  <si>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</si>
  <si>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</si>
  <si>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</si>
  <si>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</si>
  <si>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</si>
  <si>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</si>
  <si>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</si>
  <si>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</si>
  <si>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</si>
  <si>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</si>
  <si>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</si>
  <si>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</si>
  <si>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</si>
  <si>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</si>
  <si>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</si>
  <si>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</si>
  <si>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</si>
  <si>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</si>
  <si>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</si>
  <si>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</si>
  <si>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</si>
  <si>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</si>
  <si>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</si>
  <si>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</si>
  <si>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</si>
  <si>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</si>
  <si>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</si>
  <si>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</si>
  <si>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</si>
  <si>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</si>
  <si>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</si>
  <si>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</si>
  <si>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</si>
  <si>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</si>
  <si>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</si>
  <si>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</si>
  <si>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</si>
  <si>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</si>
  <si>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</si>
  <si>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</si>
  <si>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</si>
  <si>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</si>
  <si>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</si>
  <si>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</si>
  <si>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</si>
  <si>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</si>
  <si>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</si>
  <si>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</si>
  <si>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</si>
  <si>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</si>
  <si>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</si>
  <si>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</si>
  <si>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</si>
  <si>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</si>
  <si>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</si>
  <si>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</si>
  <si>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</si>
  <si>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</si>
  <si>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</si>
  <si>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</si>
  <si>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</si>
  <si>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</si>
  <si>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</si>
  <si>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</si>
  <si>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</si>
  <si>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</si>
  <si>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</si>
  <si>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</si>
  <si>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</si>
  <si>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</si>
  <si>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</si>
  <si>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</si>
  <si>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</si>
  <si>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</si>
  <si>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</si>
  <si>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</si>
  <si>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</si>
  <si>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</si>
  <si>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</si>
  <si>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</si>
  <si>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</si>
  <si>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</si>
  <si>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C:\Users\hector.guillen\EUROLEAGUE\EB STATS - Documents\General\SEASON 2025-26\Reports\Euroleague</t>
  </si>
  <si>
    <t>C:\Users\hector.guillen\EUROLEAGUE\EB STATS - Documents\General\SEASON 2025-26\Reports\Euroleague\PDF</t>
  </si>
  <si>
    <t>DANILO VESOVIC</t>
  </si>
  <si>
    <t>MARKO LEPOVIC</t>
  </si>
  <si>
    <t>FRANCESC SENPAU VILLANUEVA</t>
  </si>
  <si>
    <t>SANJA RSOVAC</t>
  </si>
  <si>
    <t>MIROSLAVA DERIKONJIC</t>
  </si>
  <si>
    <t>JOVANA DOJCINOVIC</t>
  </si>
  <si>
    <t>HECTOR GUILLEN</t>
  </si>
  <si>
    <t>7:10</t>
  </si>
  <si>
    <t>7:43</t>
  </si>
  <si>
    <t>4:54</t>
  </si>
  <si>
    <t>Very good job!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</si>
</sst>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15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15_142_DUB_MUN_E2025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142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46003.833333333336</v>
      </c>
      <c r="C3" s="157"/>
      <c r="D3" s="39">
        <v>601</v>
      </c>
      <c r="E3" s="29"/>
      <c r="F3" s="26">
        <f>SUBTOTAL(3,I17:I106)</f>
        <v>3</v>
      </c>
      <c r="G3" s="27">
        <f>IF(OR(D3="",D3=0),"",F3/D3)</f>
        <v>4.9916805324459234E-3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Dubai Basketball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DUB</v>
      </c>
      <c r="I4" s="5"/>
      <c r="J4" s="119" t="s">
        <v>714</v>
      </c>
      <c r="K4" s="54" t="s">
        <v>742</v>
      </c>
      <c r="L4" s="5"/>
      <c r="M4" s="167" t="s">
        <v>761</v>
      </c>
      <c r="N4" s="168"/>
      <c r="O4" s="2"/>
      <c r="P4" s="2"/>
      <c r="Q4" s="84" t="s">
        <v>175</v>
      </c>
      <c r="R4" s="94">
        <f>(IF(G3="",0,G3))</f>
        <v>4.9916805324459234E-3</v>
      </c>
      <c r="S4" s="61">
        <f>SUM(I13:M13)</f>
        <v>0</v>
      </c>
      <c r="T4" s="78"/>
      <c r="U4" s="61">
        <f>AC18</f>
        <v>3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FC Bayern Munich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0.49916805324459235</v>
      </c>
      <c r="S5" s="70">
        <f t="shared" ref="S5" si="0">S4*S3</f>
        <v>0</v>
      </c>
      <c r="T5" s="92"/>
      <c r="U5" s="70">
        <f t="shared" ref="U5:AG5" si="1">U4*U3</f>
        <v>1.5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1.9991680532445923</v>
      </c>
      <c r="N7" s="58"/>
      <c r="O7" s="2"/>
      <c r="P7" s="2"/>
      <c r="Q7" s="86">
        <f>SUM(R5,S5,AC16)</f>
        <v>1.9991680532445923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1.9991680532445923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142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757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1.5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142</v>
      </c>
      <c r="D17" s="32" t="s">
        <v>758</v>
      </c>
      <c r="E17" s="33">
        <v>2</v>
      </c>
      <c r="F17" s="36">
        <v>28</v>
      </c>
      <c r="G17" s="36">
        <v>29</v>
      </c>
      <c r="H17" s="38" t="str">
        <f>IF(I17="","",$I$14)</f>
        <v>SCOUTING</v>
      </c>
      <c r="I17" s="34">
        <v>184</v>
      </c>
      <c r="J17" s="13" t="s">
        <v>4</v>
      </c>
      <c r="K17" s="13" t="s">
        <v>62</v>
      </c>
      <c r="L17" s="13" t="s">
        <v>5</v>
      </c>
      <c r="M17" s="13" t="s">
        <v>26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142</v>
      </c>
      <c r="D18" s="32" t="s">
        <v>759</v>
      </c>
      <c r="E18" s="33">
        <v>3</v>
      </c>
      <c r="F18" s="36">
        <v>44</v>
      </c>
      <c r="G18" s="36">
        <v>48</v>
      </c>
      <c r="H18" s="38" t="str">
        <f t="shared" ref="H18:H81" si="8">IF(I18="","",$I$14)</f>
        <v>SCOUTING</v>
      </c>
      <c r="I18" s="34">
        <v>317</v>
      </c>
      <c r="J18" s="13" t="s">
        <v>4</v>
      </c>
      <c r="K18" s="13" t="s">
        <v>63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3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142</v>
      </c>
      <c r="D19" s="32" t="s">
        <v>760</v>
      </c>
      <c r="E19" s="33">
        <v>4</v>
      </c>
      <c r="F19" s="36">
        <v>72</v>
      </c>
      <c r="G19" s="36">
        <v>76</v>
      </c>
      <c r="H19" s="38" t="str">
        <f t="shared" si="8"/>
        <v>SCOUTING</v>
      </c>
      <c r="I19" s="34">
        <v>529</v>
      </c>
      <c r="J19" s="13" t="s">
        <v>4</v>
      </c>
      <c r="K19" s="13" t="s">
        <v>62</v>
      </c>
      <c r="L19" s="13" t="s">
        <v>5</v>
      </c>
      <c r="M19" s="13" t="s">
        <v>12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REPORT_E2025142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"E2025142"</v>
      </c>
      <c r="F3" s="45" t="str">
        <f t="shared" ref="F3:F16" si="0">""""&amp;B3&amp;"""" &amp; " : " &amp;C3&amp;","</f>
        <v>"name" : "E2025142",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"E142"</v>
      </c>
      <c r="F4" s="45" t="str">
        <f t="shared" si="0"/>
        <v>"cod" : "E142",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142</v>
      </c>
      <c r="F6" s="45" t="str">
        <f t="shared" si="0"/>
        <v>"number" : 142,</v>
      </c>
    </row>
    <row r="7" spans="2:6" x14ac:dyDescent="0.25">
      <c r="B7" s="43" t="s">
        <v>116</v>
      </c>
      <c r="C7" s="43" t="str">
        <f ca="1">""""&amp;TEXT('SCOUT &amp; LOGISTICS'!B3,"dd/mm/aaaa")&amp;""""</f>
        <v>"12/12/Friday"</v>
      </c>
      <c r="F7" s="45" t="str">
        <f t="shared" ca="1" si="0"/>
        <v>"date" : "12/12/Friday",</v>
      </c>
    </row>
    <row r="8" spans="2:6" x14ac:dyDescent="0.25">
      <c r="B8" s="43" t="s">
        <v>125</v>
      </c>
      <c r="C8" s="43" t="str">
        <f>""""&amp;'SCOUT &amp; LOGISTICS'!D4 &amp;""""</f>
        <v>"Dubai Basketball"</v>
      </c>
      <c r="F8" s="45" t="str">
        <f t="shared" si="0"/>
        <v>"home_team" : "Dubai Basketball",</v>
      </c>
    </row>
    <row r="9" spans="2:6" x14ac:dyDescent="0.25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"DANILO VESOVIC"</v>
      </c>
      <c r="F10" s="45" t="str">
        <f t="shared" si="0"/>
        <v>"Data_entry" : "DANILO VESOVIC",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"MARKO LEPOVIC"</v>
      </c>
      <c r="F11" s="45" t="str">
        <f t="shared" si="0"/>
        <v>"Caller_1" : "MARKO LEPOVIC",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"FRANCESC SENPAU VILLANUEVA"</v>
      </c>
      <c r="F12" s="45" t="str">
        <f t="shared" si="0"/>
        <v>"Caller_2" : "FRANCESC SENPAU VILLANUEVA",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"SANJA RSOVAC"</v>
      </c>
      <c r="F13" s="45" t="str">
        <f t="shared" si="0"/>
        <v>"Timerkeeper" : "SANJA RSOVAC",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"MIROSLAVA DERIKONJIC"</v>
      </c>
      <c r="F14" s="45" t="str">
        <f t="shared" si="0"/>
        <v>"Shotclock" : "MIROSLAVA DERIKONJIC",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"JOVANA DOJCINOVIC"</v>
      </c>
      <c r="F15" s="45" t="str">
        <f t="shared" si="0"/>
        <v>"IRS" : "JOVANA DOJCINOVIC",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601</v>
      </c>
      <c r="F25" s="45" t="str">
        <f t="shared" ref="F25:F48" si="1">""""&amp;C25&amp;"""" &amp; " : " &amp;D25&amp;","</f>
        <v>"total_actions" : 601,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"00%"</v>
      </c>
      <c r="F27" s="45" t="str">
        <f t="shared" si="1"/>
        <v>"%_corrections" : "00%",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3</v>
      </c>
      <c r="F39" s="45" t="str">
        <f t="shared" si="1"/>
        <v>"missidentity" : 3,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Keep it up!"</v>
      </c>
      <c r="F51" s="45" t="str">
        <f>""""&amp;B51&amp;"""" &amp; " : " &amp;C51&amp;","</f>
        <v>"comments" : "Very good job! Keep it up!",</v>
      </c>
    </row>
    <row r="52" spans="2:6" x14ac:dyDescent="0.25">
      <c r="B52" s="43" t="s">
        <v>153</v>
      </c>
      <c r="C52" s="43" t="str">
        <f>TEXT('SCOUT &amp; LOGISTICS'!F1,"0,0")</f>
        <v>15_142_DUB_MUN_E2025</v>
      </c>
      <c r="F52" s="45" t="str">
        <f>""""&amp;B52&amp;"""" &amp; " : " &amp;C52</f>
        <v>"result" : 15_142_DUB_MUN_E2025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E142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12/12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Dubai Basketball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Fc Bayern Munich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DANILO VESOVIC</v>
      </c>
      <c r="C8" s="206"/>
      <c r="D8" s="206"/>
      <c r="E8" s="206"/>
      <c r="F8" s="206"/>
      <c r="G8" s="206" t="str">
        <f>IF('SCOUT &amp; LOGISTICS'!D7="","",'SCOUT &amp; LOGISTICS'!D7)</f>
        <v>MARKO LEPOVIC</v>
      </c>
      <c r="H8" s="206"/>
      <c r="I8" s="206"/>
      <c r="J8" s="206"/>
      <c r="K8" s="206"/>
      <c r="L8" s="206" t="str">
        <f>IF('SCOUT &amp; LOGISTICS'!D8="","",'SCOUT &amp; LOGISTICS'!D8)</f>
        <v>FRANCESC SENPAU VILLANUEVA</v>
      </c>
      <c r="M8" s="206"/>
      <c r="N8" s="206"/>
      <c r="O8" s="206"/>
      <c r="P8" s="206"/>
      <c r="Q8" s="206" t="str">
        <f>IF('SCOUT &amp; LOGISTICS'!D9="","",'SCOUT &amp; LOGISTICS'!D9)</f>
        <v>SANJA RSOVAC</v>
      </c>
      <c r="R8" s="206"/>
      <c r="S8" s="206"/>
      <c r="T8" s="206"/>
      <c r="U8" s="206"/>
      <c r="V8" s="206" t="str">
        <f>IF('SCOUT &amp; LOGISTICS'!D10="","",'SCOUT &amp; LOGISTICS'!D10)</f>
        <v>MIROSLAVA DERIKONJIC</v>
      </c>
      <c r="W8" s="206"/>
      <c r="X8" s="206"/>
      <c r="Y8" s="206"/>
      <c r="Z8" s="206"/>
      <c r="AA8" s="206" t="str">
        <f>IF('SCOUT &amp; LOGISTICS'!D11="","",'SCOUT &amp; LOGISTICS'!D11)</f>
        <v>JOVANA DOJCINOVIC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601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4.9916805324459234E-3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0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3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1.9991680532445923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6D9F49C-DB5C-407D-96EF-1858F4C7DC01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2025-12-12T18:23:06Z</cp:lastPrinted>
  <dcterms:created xsi:type="dcterms:W3CDTF">2023-09-19T19:50:35Z</dcterms:created>
  <dcterms:modified xsi:type="dcterms:W3CDTF">2025-12-12T18:23:08Z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