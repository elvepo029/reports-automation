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73F0E6C-EC80-4C84-BED7-B304E964B34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<sst xmlns="http://schemas.openxmlformats.org/spreadsheetml/2006/main" count="3346" uniqueCount="835">
  <si>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</si>
  <si>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</si>
  <si>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</si>
  <si>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</si>
  <si>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</si>
  <si>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</si>
  <si>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</si>
  <si>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</si>
  <si>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</si>
  <si>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</si>
  <si>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</si>
  <si>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</si>
  <si>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</si>
  <si>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</si>
  <si>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</si>
  <si>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</si>
  <si>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</si>
  <si>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</si>
  <si>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</si>
  <si>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</si>
  <si>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</si>
  <si>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</si>
  <si>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</si>
  <si>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</si>
  <si>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</si>
  <si>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</si>
  <si>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</si>
  <si>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</si>
  <si>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</si>
  <si>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</si>
  <si>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</si>
  <si>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</si>
  <si>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</si>
  <si>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</si>
  <si>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</si>
  <si>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</si>
  <si>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</si>
  <si>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</si>
  <si>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</si>
  <si>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</si>
  <si>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</si>
  <si>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</si>
  <si>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</si>
  <si>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</si>
  <si>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</si>
  <si>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</si>
  <si>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</si>
  <si>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</si>
  <si>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</si>
  <si>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</si>
  <si>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</si>
  <si>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</si>
  <si>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</si>
  <si>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</si>
  <si>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</si>
  <si>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</si>
  <si>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</si>
  <si>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</si>
  <si>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</si>
  <si>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</si>
  <si>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</si>
  <si>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</si>
  <si>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</si>
  <si>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</si>
  <si>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</si>
  <si>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</si>
  <si>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</si>
  <si>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</si>
  <si>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</si>
  <si>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</si>
  <si>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</si>
  <si>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</si>
  <si>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</si>
  <si>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</si>
  <si>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</si>
  <si>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</si>
  <si>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</si>
  <si>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</si>
  <si>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</si>
  <si>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</si>
  <si>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</si>
  <si>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</si>
  <si>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</si>
  <si>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</si>
  <si>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</si>
  <si>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</si>
  <si>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</si>
  <si>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</si>
  <si>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</si>
  <si>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</si>
  <si>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</si>
  <si>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</si>
  <si>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</si>
  <si>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</si>
  <si>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</si>
  <si>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</si>
  <si>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</si>
  <si>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</si>
  <si>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</si>
  <si>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</si>
  <si>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</si>
  <si>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</si>
  <si>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</si>
  <si>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</si>
  <si>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</si>
  <si>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</si>
  <si>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</si>
  <si>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</si>
  <si>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</si>
  <si>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</si>
  <si>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</si>
  <si>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</si>
  <si>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</si>
  <si>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</si>
  <si>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</si>
  <si>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</si>
  <si>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</si>
  <si>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</si>
  <si>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</si>
  <si>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</si>
  <si>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</si>
  <si>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</si>
  <si>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</si>
  <si>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</si>
  <si>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</si>
  <si>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</si>
  <si>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</si>
  <si>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</si>
  <si>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</si>
  <si>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</si>
  <si>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</si>
  <si>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</si>
  <si>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</si>
  <si>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</si>
  <si>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</si>
  <si>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</si>
  <si>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</si>
  <si>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</si>
  <si>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</si>
  <si>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</si>
  <si>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</si>
  <si>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</si>
  <si>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</si>
  <si>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</si>
  <si>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</si>
  <si>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</si>
  <si>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</si>
  <si>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</si>
  <si>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</si>
  <si>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</si>
  <si>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</si>
  <si>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</si>
  <si>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</si>
  <si>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</si>
  <si>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</si>
  <si>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</si>
  <si>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</si>
  <si>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</si>
  <si>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</si>
  <si>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</si>
  <si>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</si>
  <si>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</si>
  <si>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</si>
  <si>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</si>
  <si>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</si>
  <si>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</si>
  <si>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</si>
  <si>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</si>
  <si>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</si>
  <si>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</si>
  <si>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</si>
  <si>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</si>
  <si>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</si>
  <si>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</si>
  <si>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</si>
  <si>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</si>
  <si>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</si>
  <si>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</si>
  <si>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</si>
  <si>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</si>
  <si>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</si>
  <si>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</si>
  <si>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</si>
  <si>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</si>
  <si>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</si>
  <si>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</si>
  <si>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</si>
  <si>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</si>
  <si>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</si>
  <si>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</si>
  <si>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</si>
  <si>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</si>
  <si>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</si>
  <si>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</si>
  <si>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</si>
  <si>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</si>
  <si>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</si>
  <si>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</si>
  <si>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</si>
  <si>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</si>
  <si>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</si>
  <si>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</si>
  <si>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</si>
  <si>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</si>
  <si>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</si>
  <si>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</si>
  <si>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</si>
  <si>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</si>
  <si>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</si>
  <si>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</si>
  <si>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</si>
  <si>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</si>
  <si>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</si>
  <si>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</si>
  <si>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</si>
  <si>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</si>
  <si>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</si>
  <si>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</si>
  <si>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</si>
  <si>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</si>
  <si>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</si>
  <si>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</si>
  <si>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</si>
  <si>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</si>
  <si>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</si>
  <si>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</si>
  <si>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</si>
  <si>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</si>
  <si>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</si>
  <si>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</si>
  <si>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</si>
  <si>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</si>
  <si>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</si>
  <si>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</si>
  <si>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</si>
  <si>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</si>
  <si>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</si>
  <si>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</si>
  <si>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</si>
  <si>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</si>
  <si>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</si>
  <si>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</si>
  <si>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</si>
  <si>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</si>
  <si>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</si>
  <si>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</si>
  <si>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</si>
  <si>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</si>
  <si>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</si>
  <si>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</si>
  <si>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</si>
  <si>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</si>
  <si>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</si>
  <si>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</si>
  <si>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</si>
  <si>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</si>
  <si>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</si>
  <si>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</si>
  <si>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</si>
  <si>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</si>
  <si>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</si>
  <si>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</si>
  <si>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</si>
  <si>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</si>
  <si>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</si>
  <si>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</si>
  <si>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</si>
  <si>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</si>
  <si>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</si>
  <si>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</si>
  <si>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</si>
  <si>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</si>
  <si>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</si>
  <si>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</si>
  <si>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</si>
  <si>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</si>
  <si>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</si>
  <si>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</si>
  <si>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</si>
  <si>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</si>
  <si>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</si>
  <si>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</si>
  <si>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</si>
  <si>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</si>
  <si>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</si>
  <si>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</si>
  <si>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</si>
  <si>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</si>
  <si>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</si>
  <si>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</si>
  <si>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</si>
  <si>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</si>
  <si>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</si>
  <si>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</si>
  <si>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</si>
  <si>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</si>
  <si>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</si>
  <si>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</si>
  <si>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</si>
  <si>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</si>
  <si>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</si>
  <si>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</si>
  <si>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</si>
  <si>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</si>
  <si>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</si>
  <si>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</si>
  <si>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</si>
  <si>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</si>
  <si>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</si>
  <si>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</si>
  <si>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</si>
  <si>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</si>
  <si>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</si>
  <si>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</si>
  <si>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</si>
  <si>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</si>
  <si>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</si>
  <si>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</si>
  <si>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</si>
  <si>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</si>
  <si>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</si>
  <si>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</si>
  <si>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</si>
  <si>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</si>
  <si>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</si>
  <si>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</si>
  <si>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</si>
  <si>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</si>
  <si>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</si>
  <si>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</si>
  <si>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</si>
  <si>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</si>
  <si>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</si>
  <si>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</si>
  <si>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</si>
  <si>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</si>
  <si>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</si>
  <si>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</si>
  <si>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</si>
  <si>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</si>
  <si>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</si>
  <si>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</si>
  <si>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</si>
  <si>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</si>
  <si>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</si>
  <si>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</si>
  <si>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</si>
  <si>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</si>
  <si>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</si>
  <si>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</si>
  <si>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</si>
  <si>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</si>
  <si>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</si>
  <si>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</si>
  <si>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</si>
  <si>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</si>
  <si>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</si>
  <si>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</si>
  <si>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</si>
  <si>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</si>
  <si>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</si>
  <si>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</si>
  <si>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</si>
  <si>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</si>
  <si>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</si>
  <si>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</si>
  <si>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</si>
  <si>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</si>
  <si>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</si>
  <si>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</si>
  <si>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</si>
  <si>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</si>
  <si>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</si>
  <si>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</si>
  <si>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</si>
  <si>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</si>
  <si>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</si>
  <si>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</si>
  <si>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</si>
  <si>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</si>
  <si>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</si>
  <si>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</si>
  <si>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</si>
  <si>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</si>
  <si>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</si>
  <si>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</si>
  <si>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</si>
  <si>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</si>
  <si>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</si>
  <si>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</si>
  <si>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</si>
  <si>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</si>
  <si>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</si>
  <si>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</si>
  <si>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</si>
  <si>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</si>
  <si>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</si>
  <si>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</si>
  <si>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</si>
  <si>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</si>
  <si>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</si>
  <si>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</si>
  <si>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</si>
  <si>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</si>
  <si>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</si>
  <si>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</si>
  <si>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</si>
  <si>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</si>
  <si>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</si>
  <si>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</si>
  <si>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</si>
  <si>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</si>
  <si>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</si>
  <si>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</si>
  <si>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</si>
  <si>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</si>
  <si>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</si>
  <si>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</si>
  <si>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</si>
  <si>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</si>
  <si>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</si>
  <si>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</si>
  <si>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</si>
  <si>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</si>
  <si>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</si>
  <si>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</si>
  <si>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</si>
  <si>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</si>
  <si>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</si>
  <si>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</si>
  <si>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</si>
  <si>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</si>
  <si>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</si>
  <si>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</si>
  <si>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</si>
  <si>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</si>
  <si>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</si>
  <si>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</si>
  <si>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</si>
  <si>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</si>
  <si>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</si>
  <si>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</si>
  <si>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</si>
  <si>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</si>
  <si>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</si>
  <si>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</si>
  <si>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</si>
  <si>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</si>
  <si>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</si>
  <si>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</si>
  <si>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</si>
  <si>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</si>
  <si>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</si>
  <si>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</si>
  <si>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</si>
  <si>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</si>
  <si>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</si>
  <si>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</si>
  <si>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</si>
  <si>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</si>
  <si>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</si>
  <si>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</si>
  <si>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</si>
  <si>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</si>
  <si>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</si>
  <si>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</si>
  <si>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</si>
  <si>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</si>
  <si>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</si>
  <si>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</si>
  <si>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</si>
  <si>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</si>
  <si>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</si>
  <si>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</si>
  <si>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</si>
  <si>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</si>
  <si>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</si>
  <si>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</si>
  <si>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</si>
  <si>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</si>
  <si>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</si>
  <si>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</si>
  <si>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</si>
  <si>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</si>
  <si>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</si>
  <si>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</si>
  <si>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</si>
  <si>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</si>
  <si>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</si>
  <si>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</si>
  <si>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</si>
  <si>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</si>
  <si>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</si>
  <si>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</si>
  <si>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</si>
  <si>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</si>
  <si>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</si>
  <si>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</si>
  <si>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</si>
  <si>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</si>
  <si>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</si>
  <si>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</si>
  <si>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</si>
  <si>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</si>
  <si>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</si>
  <si>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</si>
  <si>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</si>
  <si>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</si>
  <si>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</si>
  <si>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</si>
  <si>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</si>
  <si>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</si>
  <si>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</si>
  <si>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</si>
  <si>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</si>
  <si>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</si>
  <si>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</si>
  <si>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</si>
  <si>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</si>
  <si>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</si>
  <si>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</si>
  <si>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</si>
  <si>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</si>
  <si>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</si>
  <si>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</si>
  <si>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</si>
  <si>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</si>
  <si>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</si>
  <si>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</si>
  <si>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</si>
  <si>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</si>
  <si>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</si>
  <si>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</si>
  <si>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</si>
  <si>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</si>
  <si>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</si>
  <si>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</si>
  <si>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</si>
  <si>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</si>
  <si>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</si>
  <si>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</si>
  <si>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</si>
  <si>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</si>
  <si>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</si>
  <si>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</si>
  <si>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</si>
  <si>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</si>
  <si>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</si>
  <si>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</si>
  <si>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</si>
  <si>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</si>
  <si>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</si>
  <si>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</si>
  <si>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</si>
  <si>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</si>
  <si>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</si>
  <si>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</si>
  <si>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</si>
  <si>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</si>
  <si>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</si>
  <si>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</si>
  <si>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</si>
  <si>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</si>
  <si>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</si>
  <si>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</si>
  <si>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</si>
  <si>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</si>
  <si>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</si>
  <si>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</si>
  <si>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</si>
  <si>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</si>
  <si>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</si>
  <si>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</si>
  <si>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</si>
  <si>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</si>
  <si>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</si>
  <si>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</si>
  <si>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</si>
  <si>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</si>
  <si>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</si>
  <si>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</si>
  <si>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</si>
  <si>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</si>
  <si>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</si>
  <si>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</si>
  <si>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</si>
  <si>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</si>
  <si>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</si>
  <si>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</si>
  <si>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</si>
  <si>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</si>
  <si>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</si>
  <si>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</si>
  <si>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</si>
  <si>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</si>
  <si>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</si>
  <si>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</si>
  <si>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</si>
  <si>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</si>
  <si>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</si>
  <si>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</si>
  <si>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</si>
  <si>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</si>
  <si>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</si>
  <si>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</si>
  <si>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</si>
  <si>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</si>
  <si>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</si>
  <si>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</si>
  <si>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</si>
  <si>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</si>
  <si>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</si>
  <si>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</si>
  <si>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</si>
  <si>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</si>
  <si>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</si>
  <si>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</si>
  <si>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</si>
  <si>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</si>
  <si>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</si>
  <si>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</si>
  <si>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</si>
  <si>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</si>
  <si>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</si>
  <si>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</si>
  <si>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</si>
  <si>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</si>
  <si>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</si>
  <si>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</si>
  <si>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</si>
  <si>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</si>
  <si>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</si>
  <si>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</si>
  <si>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</si>
  <si>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</si>
  <si>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</si>
  <si>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</si>
  <si>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</si>
  <si>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</si>
  <si>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</si>
  <si>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</si>
  <si>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</si>
  <si>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</si>
  <si>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</si>
  <si>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</si>
  <si>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</si>
  <si>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</si>
  <si>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</si>
  <si>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</si>
  <si>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</si>
  <si>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</si>
  <si>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</si>
  <si>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</si>
  <si>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</si>
  <si>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</si>
  <si>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</si>
  <si>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</si>
  <si>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</si>
  <si>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</si>
  <si>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</si>
  <si>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</si>
  <si>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</si>
  <si>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</si>
  <si>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</si>
  <si>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</si>
  <si>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</si>
  <si>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</si>
  <si>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</si>
  <si>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</si>
  <si>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</si>
  <si>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</si>
  <si>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</si>
  <si>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</si>
  <si>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</si>
  <si>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</si>
  <si>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</si>
  <si>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</si>
  <si>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</si>
  <si>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</si>
  <si>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</si>
  <si>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</si>
  <si>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</si>
  <si>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</si>
  <si>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</si>
  <si>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</si>
  <si>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</si>
  <si>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</si>
  <si>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</si>
  <si>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</si>
  <si>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</si>
  <si>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</si>
  <si>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</si>
  <si>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</si>
  <si>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</si>
  <si>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</si>
  <si>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</si>
  <si>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</si>
  <si>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</si>
  <si>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</si>
  <si>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</si>
  <si>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</si>
  <si>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</si>
  <si>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</si>
  <si>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</si>
  <si>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</si>
  <si>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</si>
  <si>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</si>
  <si>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</si>
  <si>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</si>
  <si>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</si>
  <si>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</si>
  <si>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</si>
  <si>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</si>
  <si>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</si>
  <si>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</si>
  <si>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</si>
  <si>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</si>
  <si>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</si>
  <si>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</si>
  <si>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</si>
  <si>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</si>
  <si>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</si>
  <si>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</si>
  <si>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</si>
  <si>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</si>
  <si>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</si>
  <si>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</si>
  <si>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</si>
  <si>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</si>
  <si>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</si>
  <si>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</si>
  <si>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</si>
  <si>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</si>
  <si>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</si>
  <si>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</si>
  <si>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</si>
  <si>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</si>
  <si>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</si>
  <si>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</si>
  <si>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</si>
  <si>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</si>
  <si>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</si>
  <si>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</si>
  <si>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</si>
  <si>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</si>
  <si>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</si>
  <si>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</si>
  <si>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</si>
  <si>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</si>
  <si>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</si>
  <si>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</si>
  <si>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</si>
  <si>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</si>
  <si>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</si>
  <si>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</si>
  <si>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</si>
  <si>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</si>
  <si>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</si>
  <si>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</si>
  <si>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</si>
  <si>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</si>
  <si>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</si>
  <si>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</si>
  <si>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</si>
  <si>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</si>
  <si>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</si>
  <si>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</si>
  <si>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</si>
  <si>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</si>
  <si>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</si>
  <si>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</si>
  <si>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</si>
  <si>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</si>
  <si>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</si>
  <si>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</si>
  <si>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</si>
  <si>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</si>
  <si>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</si>
  <si>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</si>
  <si>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</si>
  <si>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</si>
  <si>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</si>
  <si>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</si>
  <si>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</si>
  <si>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</si>
  <si>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</si>
  <si>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</si>
  <si>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</si>
  <si>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</si>
  <si>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</si>
  <si>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</si>
  <si>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</si>
  <si>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</si>
  <si>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</si>
  <si>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</si>
  <si>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</si>
  <si>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</si>
  <si>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</si>
  <si>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</si>
  <si>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</si>
  <si>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</si>
  <si>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</si>
  <si>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</si>
  <si>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</si>
  <si>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</si>
  <si>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</si>
  <si>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</si>
  <si>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</si>
  <si>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</si>
  <si>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</si>
  <si>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</si>
  <si>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</si>
  <si>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</si>
  <si>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</si>
  <si>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</si>
  <si>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</si>
  <si>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</si>
  <si>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</si>
  <si>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</si>
  <si>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</si>
  <si>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</si>
  <si>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</si>
  <si>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</si>
  <si>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</si>
  <si>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</si>
  <si>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</si>
  <si>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Mosic, Ivan</t>
  </si>
  <si>
    <t>Golubovic, Marijana</t>
  </si>
  <si>
    <t>Kremic, Milos</t>
  </si>
  <si>
    <t>Krstic, Ana</t>
  </si>
  <si>
    <t>Savic, Marija</t>
  </si>
  <si>
    <t>00:21</t>
  </si>
  <si>
    <t>08:55</t>
  </si>
  <si>
    <t>01:27</t>
  </si>
  <si>
    <t>Three small errors corrected very quickly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</si>
</sst>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8" sqref="M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15_142_JER_BAH_U2025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142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46042.833333333336</v>
      </c>
      <c r="C3" s="178"/>
      <c r="D3" s="39">
        <v>578</v>
      </c>
      <c r="E3" s="29"/>
      <c r="F3" s="26">
        <f>SUBTOTAL(3,I17:I106)</f>
        <v>3</v>
      </c>
      <c r="G3" s="27">
        <f>IF(OR(D3="",D3=0),"",F3/D3)</f>
        <v>5.1903114186851208E-3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Bank Yahav Jerusalem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743</v>
      </c>
      <c r="L4" s="5"/>
      <c r="M4" s="185" t="s">
        <v>834</v>
      </c>
      <c r="N4" s="186"/>
      <c r="O4" s="2"/>
      <c r="P4" s="2"/>
      <c r="Q4" s="84" t="s">
        <v>175</v>
      </c>
      <c r="R4" s="94">
        <f>(IF(G3="",0,G3))</f>
        <v>5.1903114186851208E-3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Bahcesehir College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0.51903114186851207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3.0190311418685121</v>
      </c>
      <c r="N7" s="58"/>
      <c r="O7" s="2"/>
      <c r="P7" s="2"/>
      <c r="Q7" s="86">
        <f>SUM(R5,S5,AC16)</f>
        <v>3.0190311418685121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3.0190311418685121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142</v>
      </c>
      <c r="D17" s="32" t="s">
        <v>831</v>
      </c>
      <c r="E17" s="33">
        <v>1</v>
      </c>
      <c r="F17" s="36">
        <v>27</v>
      </c>
      <c r="G17" s="36">
        <v>19</v>
      </c>
      <c r="H17" s="38" t="str">
        <f>IF(I17="","",$I$14)</f>
        <v>SCOUTING</v>
      </c>
      <c r="I17" s="34">
        <v>147</v>
      </c>
      <c r="J17" s="13" t="s">
        <v>4</v>
      </c>
      <c r="K17" s="13" t="s">
        <v>62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142</v>
      </c>
      <c r="D18" s="32" t="s">
        <v>832</v>
      </c>
      <c r="E18" s="33">
        <v>2</v>
      </c>
      <c r="F18" s="36">
        <v>34</v>
      </c>
      <c r="G18" s="36">
        <v>21</v>
      </c>
      <c r="H18" s="38" t="str">
        <f t="shared" ref="H18:H81" si="8">IF(I18="","",$I$14)</f>
        <v>SCOUTING</v>
      </c>
      <c r="I18" s="34">
        <v>165</v>
      </c>
      <c r="J18" s="13" t="s">
        <v>3</v>
      </c>
      <c r="K18" s="13" t="s">
        <v>62</v>
      </c>
      <c r="L18" s="13" t="s">
        <v>6</v>
      </c>
      <c r="M18" s="13" t="s">
        <v>39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142</v>
      </c>
      <c r="D19" s="32" t="s">
        <v>833</v>
      </c>
      <c r="E19" s="33">
        <v>2</v>
      </c>
      <c r="F19" s="36">
        <v>49</v>
      </c>
      <c r="G19" s="36">
        <v>45</v>
      </c>
      <c r="H19" s="38" t="str">
        <f t="shared" si="8"/>
        <v>SCOUTING</v>
      </c>
      <c r="I19" s="34">
        <v>266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REPORT_U2025142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"U2025142"</v>
      </c>
      <c r="F3" s="45" t="str">
        <f t="shared" ref="F3:F16" si="0">""""&amp;B3&amp;"""" &amp; " : " &amp;C3&amp;","</f>
        <v>"name" : "U2025142",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"U142"</v>
      </c>
      <c r="F4" s="45" t="str">
        <f t="shared" si="0"/>
        <v>"cod" : "U142",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142</v>
      </c>
      <c r="F6" s="45" t="str">
        <f t="shared" si="0"/>
        <v>"number" : 142,</v>
      </c>
    </row>
    <row r="7" spans="2:6" x14ac:dyDescent="0.2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"Mosic, Ivan"</v>
      </c>
      <c r="F10" s="45" t="str">
        <f t="shared" si="0"/>
        <v>"Data_entry" : "Mosic, Ivan",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"Golubovic, Marijana"</v>
      </c>
      <c r="F11" s="45" t="str">
        <f t="shared" si="0"/>
        <v>"Caller_1" : "Golubovic, Marijana",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"Kremic, Milos"</v>
      </c>
      <c r="F12" s="45" t="str">
        <f t="shared" si="0"/>
        <v>"Caller_2" : "Kremic, Milos",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"Krstic, Ana"</v>
      </c>
      <c r="F13" s="45" t="str">
        <f t="shared" si="0"/>
        <v>"Timerkeeper" : "Krstic, Ana",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"Savic, Marija"</v>
      </c>
      <c r="F14" s="45" t="str">
        <f t="shared" si="0"/>
        <v>"Shotclock" : "Savic, Marija",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578</v>
      </c>
      <c r="F25" s="45" t="str">
        <f t="shared" ref="F25:F48" si="1">""""&amp;C25&amp;"""" &amp; " : " &amp;D25&amp;","</f>
        <v>"total_actions" : 578,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"Three small errors corrected very quickly"</v>
      </c>
      <c r="F51" s="45" t="str">
        <f>""""&amp;B51&amp;"""" &amp; " : " &amp;C51&amp;","</f>
        <v>"comments" : "Three small errors corrected very quickly",</v>
      </c>
    </row>
    <row r="52" spans="2:6" x14ac:dyDescent="0.2">
      <c r="B52" s="43" t="s">
        <v>153</v>
      </c>
      <c r="C52" s="43" t="str">
        <f>TEXT('SCOUT &amp; LOGISTICS'!F1,"0,0")</f>
        <v>15_142_JER_BAH_U2025</v>
      </c>
      <c r="F52" s="45" t="str">
        <f>""""&amp;B52&amp;"""" &amp; " : " &amp;C52</f>
        <v>"result" : 15_142_JER_BAH_U2025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U142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Bank Yahav Jerusalem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Bahcesehir College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Mosic, Ivan</v>
      </c>
      <c r="C8" s="201"/>
      <c r="D8" s="201"/>
      <c r="E8" s="201"/>
      <c r="F8" s="201"/>
      <c r="G8" s="201" t="str">
        <f>IF('SCOUT &amp; LOGISTICS'!D7="","",'SCOUT &amp; LOGISTICS'!D7)</f>
        <v>Golubovic, Marijana</v>
      </c>
      <c r="H8" s="201"/>
      <c r="I8" s="201"/>
      <c r="J8" s="201"/>
      <c r="K8" s="201"/>
      <c r="L8" s="201" t="str">
        <f>IF('SCOUT &amp; LOGISTICS'!D8="","",'SCOUT &amp; LOGISTICS'!D8)</f>
        <v>Kremic, Milos</v>
      </c>
      <c r="M8" s="201"/>
      <c r="N8" s="201"/>
      <c r="O8" s="201"/>
      <c r="P8" s="201"/>
      <c r="Q8" s="201" t="str">
        <f>IF('SCOUT &amp; LOGISTICS'!D9="","",'SCOUT &amp; LOGISTICS'!D9)</f>
        <v>Krstic, Ana</v>
      </c>
      <c r="R8" s="201"/>
      <c r="S8" s="201"/>
      <c r="T8" s="201"/>
      <c r="U8" s="201"/>
      <c r="V8" s="201" t="str">
        <f>IF('SCOUT &amp; LOGISTICS'!D10="","",'SCOUT &amp; LOGISTICS'!D10)</f>
        <v>Savic, Marija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578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5.1903114186851208E-3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Three small errors corrected very quickly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3.0190311418685121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507B6115-14BE-4403-AF58-790007260D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2026-01-07T21:12:04Z</cp:lastPrinted>
  <dcterms:created xsi:type="dcterms:W3CDTF">2023-09-19T19:50:35Z</dcterms:created>
  <dcterms:modified xsi:type="dcterms:W3CDTF">2026-01-23T22:19:02Z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