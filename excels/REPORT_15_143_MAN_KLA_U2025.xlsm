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5" documentId="8_{B95E2752-1EEC-40C2-B4A6-B86478CBD01C}" xr6:coauthVersionLast="47" xr6:coauthVersionMax="47" xr10:uidLastSave="{2C00EA4C-E27A-425C-B0A6-3F799B83DC95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<sst xmlns="http://schemas.openxmlformats.org/spreadsheetml/2006/main" count="3377" uniqueCount="842">
  <si>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</si>
  <si>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</si>
  <si>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</si>
  <si>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</si>
  <si>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</si>
  <si>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</si>
  <si>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</si>
  <si>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</si>
  <si>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</si>
  <si>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</si>
  <si>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</si>
  <si>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</si>
  <si>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</si>
  <si>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</si>
  <si>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</si>
  <si>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</si>
  <si>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</si>
  <si>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</si>
  <si>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</si>
  <si>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</si>
  <si>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</si>
  <si>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</si>
  <si>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</si>
  <si>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</si>
  <si>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</si>
  <si>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</si>
  <si>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</si>
  <si>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</si>
  <si>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</si>
  <si>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</si>
  <si>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</si>
  <si>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</si>
  <si>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</si>
  <si>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</si>
  <si>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</si>
  <si>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</si>
  <si>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</si>
  <si>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</si>
  <si>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</si>
  <si>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</si>
  <si>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</si>
  <si>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</si>
  <si>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</si>
  <si>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</si>
  <si>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</si>
  <si>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</si>
  <si>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</si>
  <si>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</si>
  <si>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</si>
  <si>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</si>
  <si>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</si>
  <si>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</si>
  <si>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</si>
  <si>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</si>
  <si>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</si>
  <si>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</si>
  <si>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</si>
  <si>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</si>
  <si>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</si>
  <si>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</si>
  <si>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</si>
  <si>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</si>
  <si>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</si>
  <si>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</si>
  <si>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</si>
  <si>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</si>
  <si>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</si>
  <si>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</si>
  <si>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</si>
  <si>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</si>
  <si>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</si>
  <si>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</si>
  <si>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</si>
  <si>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</si>
  <si>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</si>
  <si>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</si>
  <si>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</si>
  <si>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</si>
  <si>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</si>
  <si>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</si>
  <si>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</si>
  <si>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</si>
  <si>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</si>
  <si>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</si>
  <si>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</si>
  <si>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</si>
  <si>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</si>
  <si>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</si>
  <si>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</si>
  <si>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</si>
  <si>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</si>
  <si>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</si>
  <si>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</si>
  <si>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</si>
  <si>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</si>
  <si>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</si>
  <si>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</si>
  <si>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</si>
  <si>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</si>
  <si>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</si>
  <si>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</si>
  <si>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</si>
  <si>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</si>
  <si>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</si>
  <si>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</si>
  <si>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</si>
  <si>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</si>
  <si>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</si>
  <si>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</si>
  <si>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</si>
  <si>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</si>
  <si>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</si>
  <si>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</si>
  <si>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</si>
  <si>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</si>
  <si>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</si>
  <si>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</si>
  <si>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</si>
  <si>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</si>
  <si>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</si>
  <si>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</si>
  <si>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</si>
  <si>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</si>
  <si>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</si>
  <si>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</si>
  <si>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</si>
  <si>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</si>
  <si>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</si>
  <si>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</si>
  <si>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</si>
  <si>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</si>
  <si>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</si>
  <si>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</si>
  <si>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</si>
  <si>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</si>
  <si>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</si>
  <si>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</si>
  <si>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</si>
  <si>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</si>
  <si>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</si>
  <si>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</si>
  <si>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</si>
  <si>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</si>
  <si>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</si>
  <si>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</si>
  <si>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</si>
  <si>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</si>
  <si>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</si>
  <si>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</si>
  <si>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</si>
  <si>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</si>
  <si>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</si>
  <si>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</si>
  <si>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</si>
  <si>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</si>
  <si>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</si>
  <si>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</si>
  <si>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</si>
  <si>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</si>
  <si>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</si>
  <si>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</si>
  <si>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</si>
  <si>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</si>
  <si>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</si>
  <si>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</si>
  <si>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</si>
  <si>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</si>
  <si>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</si>
  <si>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</si>
  <si>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</si>
  <si>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</si>
  <si>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</si>
  <si>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</si>
  <si>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</si>
  <si>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</si>
  <si>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</si>
  <si>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</si>
  <si>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</si>
  <si>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</si>
  <si>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</si>
  <si>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</si>
  <si>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</si>
  <si>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</si>
  <si>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</si>
  <si>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</si>
  <si>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</si>
  <si>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</si>
  <si>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</si>
  <si>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</si>
  <si>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</si>
  <si>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</si>
  <si>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</si>
  <si>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</si>
  <si>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</si>
  <si>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</si>
  <si>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</si>
  <si>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</si>
  <si>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</si>
  <si>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</si>
  <si>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</si>
  <si>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</si>
  <si>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</si>
  <si>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</si>
  <si>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</si>
  <si>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</si>
  <si>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</si>
  <si>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</si>
  <si>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</si>
  <si>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</si>
  <si>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</si>
  <si>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</si>
  <si>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</si>
  <si>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</si>
  <si>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</si>
  <si>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</si>
  <si>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</si>
  <si>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</si>
  <si>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</si>
  <si>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</si>
  <si>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</si>
  <si>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</si>
  <si>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</si>
  <si>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</si>
  <si>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</si>
  <si>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</si>
  <si>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</si>
  <si>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</si>
  <si>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</si>
  <si>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</si>
  <si>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</si>
  <si>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</si>
  <si>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</si>
  <si>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</si>
  <si>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</si>
  <si>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</si>
  <si>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</si>
  <si>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</si>
  <si>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</si>
  <si>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</si>
  <si>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</si>
  <si>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</si>
  <si>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</si>
  <si>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</si>
  <si>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</si>
  <si>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</si>
  <si>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</si>
  <si>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</si>
  <si>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</si>
  <si>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</si>
  <si>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</si>
  <si>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</si>
  <si>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</si>
  <si>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</si>
  <si>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</si>
  <si>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</si>
  <si>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</si>
  <si>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</si>
  <si>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</si>
  <si>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</si>
  <si>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</si>
  <si>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</si>
  <si>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</si>
  <si>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</si>
  <si>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</si>
  <si>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</si>
  <si>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</si>
  <si>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</si>
  <si>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</si>
  <si>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</si>
  <si>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</si>
  <si>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</si>
  <si>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</si>
  <si>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</si>
  <si>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</si>
  <si>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</si>
  <si>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</si>
  <si>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</si>
  <si>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</si>
  <si>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</si>
  <si>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</si>
  <si>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</si>
  <si>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</si>
  <si>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</si>
  <si>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</si>
  <si>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</si>
  <si>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</si>
  <si>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</si>
  <si>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</si>
  <si>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</si>
  <si>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</si>
  <si>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</si>
  <si>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</si>
  <si>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</si>
  <si>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</si>
  <si>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</si>
  <si>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</si>
  <si>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</si>
  <si>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</si>
  <si>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</si>
  <si>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</si>
  <si>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</si>
  <si>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</si>
  <si>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</si>
  <si>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</si>
  <si>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</si>
  <si>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</si>
  <si>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</si>
  <si>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</si>
  <si>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</si>
  <si>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</si>
  <si>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</si>
  <si>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</si>
  <si>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</si>
  <si>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</si>
  <si>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</si>
  <si>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</si>
  <si>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</si>
  <si>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</si>
  <si>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</si>
  <si>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</si>
  <si>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</si>
  <si>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</si>
  <si>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</si>
  <si>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</si>
  <si>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</si>
  <si>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</si>
  <si>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</si>
  <si>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</si>
  <si>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</si>
  <si>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</si>
  <si>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</si>
  <si>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</si>
  <si>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</si>
  <si>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</si>
  <si>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</si>
  <si>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</si>
  <si>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</si>
  <si>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</si>
  <si>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</si>
  <si>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</si>
  <si>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</si>
  <si>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</si>
  <si>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</si>
  <si>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</si>
  <si>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</si>
  <si>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</si>
  <si>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</si>
  <si>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</si>
  <si>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</si>
  <si>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</si>
  <si>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</si>
  <si>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</si>
  <si>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</si>
  <si>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</si>
  <si>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</si>
  <si>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</si>
  <si>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</si>
  <si>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</si>
  <si>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</si>
  <si>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</si>
  <si>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</si>
  <si>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</si>
  <si>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</si>
  <si>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</si>
  <si>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</si>
  <si>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</si>
  <si>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</si>
  <si>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</si>
  <si>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</si>
  <si>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</si>
  <si>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</si>
  <si>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</si>
  <si>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</si>
  <si>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</si>
  <si>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</si>
  <si>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</si>
  <si>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</si>
  <si>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</si>
  <si>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</si>
  <si>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</si>
  <si>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</si>
  <si>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</si>
  <si>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</si>
  <si>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</si>
  <si>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</si>
  <si>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</si>
  <si>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</si>
  <si>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</si>
  <si>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</si>
  <si>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</si>
  <si>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</si>
  <si>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</si>
  <si>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</si>
  <si>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</si>
  <si>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</si>
  <si>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</si>
  <si>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</si>
  <si>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</si>
  <si>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</si>
  <si>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</si>
  <si>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</si>
  <si>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</si>
  <si>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</si>
  <si>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</si>
  <si>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</si>
  <si>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</si>
  <si>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</si>
  <si>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</si>
  <si>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</si>
  <si>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</si>
  <si>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</si>
  <si>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</si>
  <si>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</si>
  <si>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</si>
  <si>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</si>
  <si>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</si>
  <si>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</si>
  <si>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</si>
  <si>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</si>
  <si>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</si>
  <si>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</si>
  <si>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</si>
  <si>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</si>
  <si>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</si>
  <si>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</si>
  <si>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</si>
  <si>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</si>
  <si>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</si>
  <si>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</si>
  <si>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</si>
  <si>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</si>
  <si>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</si>
  <si>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</si>
  <si>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</si>
  <si>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</si>
  <si>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</si>
  <si>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</si>
  <si>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</si>
  <si>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</si>
  <si>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</si>
  <si>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</si>
  <si>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</si>
  <si>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</si>
  <si>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</si>
  <si>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</si>
  <si>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</si>
  <si>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</si>
  <si>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</si>
  <si>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</si>
  <si>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</si>
  <si>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</si>
  <si>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</si>
  <si>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</si>
  <si>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</si>
  <si>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</si>
  <si>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</si>
  <si>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</si>
  <si>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</si>
  <si>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</si>
  <si>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</si>
  <si>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</si>
  <si>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</si>
  <si>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</si>
  <si>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</si>
  <si>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</si>
  <si>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</si>
  <si>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</si>
  <si>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</si>
  <si>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</si>
  <si>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</si>
  <si>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</si>
  <si>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</si>
  <si>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</si>
  <si>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</si>
  <si>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</si>
  <si>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</si>
  <si>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</si>
  <si>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</si>
  <si>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</si>
  <si>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</si>
  <si>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</si>
  <si>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</si>
  <si>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</si>
  <si>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</si>
  <si>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</si>
  <si>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</si>
  <si>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</si>
  <si>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</si>
  <si>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</si>
  <si>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</si>
  <si>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</si>
  <si>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</si>
  <si>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</si>
  <si>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</si>
  <si>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</si>
  <si>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</si>
  <si>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</si>
  <si>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</si>
  <si>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</si>
  <si>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</si>
  <si>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</si>
  <si>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</si>
  <si>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</si>
  <si>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</si>
  <si>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</si>
  <si>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</si>
  <si>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</si>
  <si>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</si>
  <si>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</si>
  <si>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</si>
  <si>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</si>
  <si>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</si>
  <si>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</si>
  <si>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</si>
  <si>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</si>
  <si>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</si>
  <si>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</si>
  <si>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</si>
  <si>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</si>
  <si>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</si>
  <si>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</si>
  <si>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</si>
  <si>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</si>
  <si>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</si>
  <si>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</si>
  <si>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</si>
  <si>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</si>
  <si>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</si>
  <si>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</si>
  <si>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</si>
  <si>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</si>
  <si>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</si>
  <si>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</si>
  <si>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</si>
  <si>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</si>
  <si>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</si>
  <si>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</si>
  <si>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</si>
  <si>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</si>
  <si>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</si>
  <si>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</si>
  <si>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</si>
  <si>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</si>
  <si>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</si>
  <si>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</si>
  <si>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</si>
  <si>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</si>
  <si>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</si>
  <si>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</si>
  <si>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</si>
  <si>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</si>
  <si>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</si>
  <si>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</si>
  <si>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</si>
  <si>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</si>
  <si>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</si>
  <si>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</si>
  <si>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</si>
  <si>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</si>
  <si>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</si>
  <si>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</si>
  <si>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</si>
  <si>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</si>
  <si>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</si>
  <si>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</si>
  <si>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</si>
  <si>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</si>
  <si>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</si>
  <si>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</si>
  <si>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</si>
  <si>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</si>
  <si>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</si>
  <si>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</si>
  <si>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</si>
  <si>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</si>
  <si>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</si>
  <si>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</si>
  <si>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</si>
  <si>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</si>
  <si>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</si>
  <si>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</si>
  <si>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</si>
  <si>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</si>
  <si>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</si>
  <si>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</si>
  <si>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</si>
  <si>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</si>
  <si>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</si>
  <si>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</si>
  <si>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</si>
  <si>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</si>
  <si>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</si>
  <si>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</si>
  <si>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</si>
  <si>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</si>
  <si>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</si>
  <si>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</si>
  <si>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</si>
  <si>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</si>
  <si>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</si>
  <si>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</si>
  <si>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</si>
  <si>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</si>
  <si>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</si>
  <si>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</si>
  <si>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</si>
  <si>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</si>
  <si>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</si>
  <si>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</si>
  <si>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</si>
  <si>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</si>
  <si>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</si>
  <si>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</si>
  <si>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</si>
  <si>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</si>
  <si>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</si>
  <si>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</si>
  <si>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</si>
  <si>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</si>
  <si>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</si>
  <si>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</si>
  <si>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</si>
  <si>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</si>
  <si>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</si>
  <si>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</si>
  <si>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</si>
  <si>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</si>
  <si>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</si>
  <si>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</si>
  <si>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</si>
  <si>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</si>
  <si>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</si>
  <si>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</si>
  <si>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</si>
  <si>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</si>
  <si>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</si>
  <si>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</si>
  <si>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</si>
  <si>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</si>
  <si>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</si>
  <si>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</si>
  <si>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</si>
  <si>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</si>
  <si>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</si>
  <si>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</si>
  <si>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</si>
  <si>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</si>
  <si>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</si>
  <si>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</si>
  <si>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</si>
  <si>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</si>
  <si>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</si>
  <si>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</si>
  <si>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</si>
  <si>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</si>
  <si>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</si>
  <si>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</si>
  <si>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</si>
  <si>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</si>
  <si>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</si>
  <si>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</si>
  <si>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</si>
  <si>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</si>
  <si>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</si>
  <si>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</si>
  <si>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</si>
  <si>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</si>
  <si>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</si>
  <si>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</si>
  <si>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</si>
  <si>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</si>
  <si>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</si>
  <si>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</si>
  <si>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</si>
  <si>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</si>
  <si>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</si>
  <si>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</si>
  <si>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</si>
  <si>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</si>
  <si>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</si>
  <si>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</si>
  <si>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</si>
  <si>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</si>
  <si>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</si>
  <si>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</si>
  <si>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</si>
  <si>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</si>
  <si>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</si>
  <si>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</si>
  <si>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</si>
  <si>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</si>
  <si>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</si>
  <si>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</si>
  <si>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</si>
  <si>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</si>
  <si>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</si>
  <si>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</si>
  <si>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</si>
  <si>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</si>
  <si>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</si>
  <si>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</si>
  <si>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</si>
  <si>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</si>
  <si>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</si>
  <si>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</si>
  <si>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</si>
  <si>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</si>
  <si>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</si>
  <si>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</si>
  <si>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</si>
  <si>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</si>
  <si>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</si>
  <si>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</si>
  <si>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</si>
  <si>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</si>
  <si>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</si>
  <si>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</si>
  <si>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</si>
  <si>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</si>
  <si>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</si>
  <si>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</si>
  <si>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</si>
  <si>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</si>
  <si>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</si>
  <si>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</si>
  <si>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</si>
  <si>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</si>
  <si>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</si>
  <si>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</si>
  <si>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</si>
  <si>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</si>
  <si>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</si>
  <si>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</si>
  <si>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</si>
  <si>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</si>
  <si>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</si>
  <si>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</si>
  <si>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</si>
  <si>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</si>
  <si>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</si>
  <si>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</si>
  <si>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</si>
  <si>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</si>
  <si>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</si>
  <si>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</si>
  <si>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</si>
  <si>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</si>
  <si>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</si>
  <si>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</si>
  <si>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</si>
  <si>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</si>
  <si>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</si>
  <si>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</si>
  <si>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</si>
  <si>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</si>
  <si>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</si>
  <si>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</si>
  <si>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</si>
  <si>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</si>
  <si>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</si>
  <si>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</si>
  <si>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</si>
  <si>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</si>
  <si>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</si>
  <si>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</si>
  <si>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</si>
  <si>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</si>
  <si>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</si>
  <si>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</si>
  <si>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</si>
  <si>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</si>
  <si>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</si>
  <si>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</si>
  <si>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</si>
  <si>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</si>
  <si>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</si>
  <si>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</si>
  <si>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</si>
  <si>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</si>
  <si>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</si>
  <si>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</si>
  <si>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</si>
  <si>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</si>
  <si>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</si>
  <si>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</si>
  <si>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</si>
  <si>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</si>
  <si>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</si>
  <si>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</si>
  <si>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</si>
  <si>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</si>
  <si>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</si>
  <si>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</si>
  <si>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</si>
  <si>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</si>
  <si>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</si>
  <si>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</si>
  <si>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</si>
  <si>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</si>
  <si>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</si>
  <si>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</si>
  <si>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</si>
  <si>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</si>
  <si>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</si>
  <si>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</si>
  <si>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</si>
  <si>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</si>
  <si>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</si>
  <si>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</si>
  <si>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</si>
  <si>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</si>
  <si>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</si>
  <si>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</si>
  <si>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</si>
  <si>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</si>
  <si>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</si>
  <si>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</si>
  <si>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</si>
  <si>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</si>
  <si>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</si>
  <si>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</si>
  <si>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</si>
  <si>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</si>
  <si>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</si>
  <si>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</si>
  <si>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01:46</t>
  </si>
  <si>
    <t>00:45</t>
  </si>
  <si>
    <t>03:13</t>
  </si>
  <si>
    <t>07:49</t>
  </si>
  <si>
    <t>01:37</t>
  </si>
  <si>
    <t>01:54</t>
  </si>
  <si>
    <t>05:51</t>
  </si>
  <si>
    <t>06:32</t>
  </si>
  <si>
    <t>09:33</t>
  </si>
  <si>
    <t>C:\Users\eloi.verge\OneDrive - EUROLEAGUE\Desktop\GAME REPORTS\25-26</t>
  </si>
  <si>
    <t>GERARD CAROD</t>
  </si>
  <si>
    <t>FRAN CAMPAÑA</t>
  </si>
  <si>
    <t>MARTA SOLA</t>
  </si>
  <si>
    <t>GEMMA BOERA</t>
  </si>
  <si>
    <t>ALBERTO MORALES</t>
  </si>
  <si>
    <t>ELOI VERGE</t>
  </si>
  <si>
    <t>Very clear evolution of your performance during the game, starting in the 1st quarter with 5 corrections, finishing the 2nd with 3, 1 in the 3rd quarter and 0 in the last quarter. Anyway, I'd watch out a bit with the missidentities (some were quite incomprehensible), for the rest,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</si>
</sst>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37" sqref="M3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15_143_MAN_KLA_U2025</v>
      </c>
      <c r="G1" s="5"/>
      <c r="H1" s="5"/>
      <c r="I1" s="5"/>
      <c r="J1" s="8" t="s">
        <v>707</v>
      </c>
      <c r="K1" s="121" t="s">
        <v>834</v>
      </c>
      <c r="L1" s="121"/>
      <c r="M1" s="122" t="s">
        <v>239</v>
      </c>
      <c r="N1" s="121" t="s">
        <v>834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143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46043.864583333336</v>
      </c>
      <c r="C3" s="178"/>
      <c r="D3" s="39">
        <v>739</v>
      </c>
      <c r="E3" s="29"/>
      <c r="F3" s="26">
        <f>SUBTOTAL(3,I17:I106)</f>
        <v>9</v>
      </c>
      <c r="G3" s="27">
        <f>IF(OR(D3="",D3=0),"",F3/D3)</f>
        <v>1.2178619756427604E-2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BAXI Manresa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MAN</v>
      </c>
      <c r="I4" s="5"/>
      <c r="J4" s="119" t="s">
        <v>714</v>
      </c>
      <c r="K4" s="54" t="s">
        <v>742</v>
      </c>
      <c r="L4" s="5"/>
      <c r="M4" s="185" t="s">
        <v>841</v>
      </c>
      <c r="N4" s="186"/>
      <c r="O4" s="2"/>
      <c r="P4" s="2"/>
      <c r="Q4" s="84" t="s">
        <v>175</v>
      </c>
      <c r="R4" s="94">
        <f>(IF(G3="",0,G3))</f>
        <v>1.2178619756427604E-2</v>
      </c>
      <c r="S4" s="61">
        <f>SUM(I13:M13)</f>
        <v>0</v>
      </c>
      <c r="T4" s="78"/>
      <c r="U4" s="61">
        <f>AC18</f>
        <v>2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Neptunas Klaipeda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KLA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1.2178619756427604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836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11.21786197564276</v>
      </c>
      <c r="N7" s="58"/>
      <c r="O7" s="2"/>
      <c r="P7" s="2"/>
      <c r="Q7" s="86">
        <f>SUM(R5,S5,AC16)</f>
        <v>11.21786197564276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837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11.21786197564276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143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840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143</v>
      </c>
      <c r="D17" s="32" t="s">
        <v>825</v>
      </c>
      <c r="E17" s="33">
        <v>3</v>
      </c>
      <c r="F17" s="36">
        <v>60</v>
      </c>
      <c r="G17" s="36">
        <v>69</v>
      </c>
      <c r="H17" s="38" t="str">
        <f>IF(I17="","",$I$14)</f>
        <v>SCOUTING</v>
      </c>
      <c r="I17" s="34">
        <v>486</v>
      </c>
      <c r="J17" s="13" t="s">
        <v>4</v>
      </c>
      <c r="K17" s="13" t="s">
        <v>62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5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143</v>
      </c>
      <c r="D18" s="32" t="s">
        <v>826</v>
      </c>
      <c r="E18" s="33">
        <v>2</v>
      </c>
      <c r="F18" s="36">
        <v>46</v>
      </c>
      <c r="G18" s="36">
        <v>50</v>
      </c>
      <c r="H18" s="38" t="str">
        <f t="shared" ref="H18:H81" si="8">IF(I18="","",$I$14)</f>
        <v>SCOUTING</v>
      </c>
      <c r="I18" s="34">
        <v>336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143</v>
      </c>
      <c r="D19" s="32" t="s">
        <v>827</v>
      </c>
      <c r="E19" s="33">
        <v>2</v>
      </c>
      <c r="F19" s="36">
        <v>39</v>
      </c>
      <c r="G19" s="36">
        <v>43</v>
      </c>
      <c r="H19" s="38" t="str">
        <f t="shared" si="8"/>
        <v>SCOUTING</v>
      </c>
      <c r="I19" s="34">
        <v>300</v>
      </c>
      <c r="J19" s="13" t="s">
        <v>4</v>
      </c>
      <c r="K19" s="13" t="s">
        <v>63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143</v>
      </c>
      <c r="D20" s="32" t="s">
        <v>828</v>
      </c>
      <c r="E20" s="33">
        <v>2</v>
      </c>
      <c r="F20" s="36">
        <v>26</v>
      </c>
      <c r="G20" s="36">
        <v>31</v>
      </c>
      <c r="H20" s="38" t="str">
        <f t="shared" si="8"/>
        <v>SCOUTING</v>
      </c>
      <c r="I20" s="34">
        <v>211</v>
      </c>
      <c r="J20" s="13" t="s">
        <v>4</v>
      </c>
      <c r="K20" s="13" t="s">
        <v>63</v>
      </c>
      <c r="L20" s="13" t="s">
        <v>6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143</v>
      </c>
      <c r="D21" s="32" t="s">
        <v>829</v>
      </c>
      <c r="E21" s="33">
        <v>1</v>
      </c>
      <c r="F21" s="36">
        <v>17</v>
      </c>
      <c r="G21" s="36">
        <v>17</v>
      </c>
      <c r="H21" s="38" t="str">
        <f t="shared" si="8"/>
        <v>SCOUTING</v>
      </c>
      <c r="I21" s="34">
        <v>135</v>
      </c>
      <c r="J21" s="13" t="s">
        <v>4</v>
      </c>
      <c r="K21" s="13" t="s">
        <v>62</v>
      </c>
      <c r="L21" s="13" t="s">
        <v>48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143</v>
      </c>
      <c r="D22" s="32" t="s">
        <v>830</v>
      </c>
      <c r="E22" s="33">
        <v>1</v>
      </c>
      <c r="F22" s="36">
        <v>17</v>
      </c>
      <c r="G22" s="36">
        <v>17</v>
      </c>
      <c r="H22" s="38" t="str">
        <f t="shared" si="8"/>
        <v>SCOUTING</v>
      </c>
      <c r="I22" s="34">
        <v>127</v>
      </c>
      <c r="J22" s="13" t="s">
        <v>4</v>
      </c>
      <c r="K22" s="13" t="s">
        <v>62</v>
      </c>
      <c r="L22" s="13" t="s">
        <v>5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143</v>
      </c>
      <c r="D23" s="32" t="s">
        <v>831</v>
      </c>
      <c r="E23" s="33">
        <v>1</v>
      </c>
      <c r="F23" s="36">
        <v>13</v>
      </c>
      <c r="G23" s="36">
        <v>10</v>
      </c>
      <c r="H23" s="38" t="str">
        <f t="shared" si="8"/>
        <v>SCOUTING</v>
      </c>
      <c r="I23" s="34">
        <v>69</v>
      </c>
      <c r="J23" s="13" t="s">
        <v>4</v>
      </c>
      <c r="K23" s="13" t="s">
        <v>62</v>
      </c>
      <c r="L23" s="13" t="s">
        <v>48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143</v>
      </c>
      <c r="D24" s="32" t="s">
        <v>832</v>
      </c>
      <c r="E24" s="33">
        <v>1</v>
      </c>
      <c r="F24" s="36">
        <v>10</v>
      </c>
      <c r="G24" s="36">
        <v>7</v>
      </c>
      <c r="H24" s="38" t="str">
        <f t="shared" si="8"/>
        <v>SCOUTING</v>
      </c>
      <c r="I24" s="34">
        <v>51</v>
      </c>
      <c r="J24" s="13" t="s">
        <v>4</v>
      </c>
      <c r="K24" s="13" t="s">
        <v>62</v>
      </c>
      <c r="L24" s="13" t="s">
        <v>6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143</v>
      </c>
      <c r="D25" s="32" t="s">
        <v>833</v>
      </c>
      <c r="E25" s="33">
        <v>1</v>
      </c>
      <c r="F25" s="36">
        <v>2</v>
      </c>
      <c r="G25" s="36">
        <v>0</v>
      </c>
      <c r="H25" s="38" t="str">
        <f t="shared" si="8"/>
        <v>SCOUTING</v>
      </c>
      <c r="I25" s="34">
        <v>7</v>
      </c>
      <c r="J25" s="13" t="s">
        <v>4</v>
      </c>
      <c r="K25" s="13" t="s">
        <v>63</v>
      </c>
      <c r="L25" s="13" t="s">
        <v>6</v>
      </c>
      <c r="M25" s="13" t="s">
        <v>22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REPORT_U2025143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"U2025143"</v>
      </c>
      <c r="F3" s="45" t="str">
        <f t="shared" ref="F3:F16" si="0">""""&amp;B3&amp;"""" &amp; " : " &amp;C3&amp;","</f>
        <v>"name" : "U2025143",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"U143"</v>
      </c>
      <c r="F4" s="45" t="str">
        <f t="shared" si="0"/>
        <v>"cod" : "U143",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143</v>
      </c>
      <c r="F6" s="45" t="str">
        <f t="shared" si="0"/>
        <v>"number" : 143,</v>
      </c>
    </row>
    <row r="7" spans="2:6" x14ac:dyDescent="0.25">
      <c r="B7" s="43" t="s">
        <v>116</v>
      </c>
      <c r="C7" s="43" t="str">
        <f ca="1">""""&amp;TEXT('SCOUT &amp; LOGISTICS'!B3,"dd/mm/aaaa")&amp;""""</f>
        <v>"21/01/2026"</v>
      </c>
      <c r="F7" s="45" t="str">
        <f t="shared" ca="1" si="0"/>
        <v>"date" : "21/01/2026",</v>
      </c>
    </row>
    <row r="8" spans="2:6" x14ac:dyDescent="0.25">
      <c r="B8" s="43" t="s">
        <v>125</v>
      </c>
      <c r="C8" s="43" t="str">
        <f>""""&amp;'SCOUT &amp; LOGISTICS'!D4 &amp;""""</f>
        <v>"BAXI Manresa"</v>
      </c>
      <c r="F8" s="45" t="str">
        <f t="shared" si="0"/>
        <v>"home_team" : "BAXI Manresa",</v>
      </c>
    </row>
    <row r="9" spans="2:6" x14ac:dyDescent="0.25">
      <c r="B9" s="43" t="s">
        <v>126</v>
      </c>
      <c r="C9" s="43" t="str">
        <f>""""&amp;'SCOUT &amp; LOGISTICS'!D5&amp;""""</f>
        <v>"Neptunas Klaipeda"</v>
      </c>
      <c r="F9" s="45" t="str">
        <f t="shared" si="0"/>
        <v>"away_team" : "Neptunas Klaipeda",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"FRAN CAMPAÑA"</v>
      </c>
      <c r="F11" s="45" t="str">
        <f t="shared" si="0"/>
        <v>"Caller_1" : "FRAN CAMPAÑA",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"MARTA SOLA"</v>
      </c>
      <c r="F12" s="45" t="str">
        <f t="shared" si="0"/>
        <v>"Caller_2" : "MARTA SOLA",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"GEMMA BOERA"</v>
      </c>
      <c r="F13" s="45" t="str">
        <f t="shared" si="0"/>
        <v>"Timerkeeper" : "GEMMA BOERA",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"ALBERTO MORALES"</v>
      </c>
      <c r="F14" s="45" t="str">
        <f t="shared" si="0"/>
        <v>"Shotclock" : "ALBERTO MORALES",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739</v>
      </c>
      <c r="F25" s="45" t="str">
        <f t="shared" ref="F25:F48" si="1">""""&amp;C25&amp;"""" &amp; " : " &amp;D25&amp;","</f>
        <v>"total_actions" : 739,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"1,2%"</v>
      </c>
      <c r="F27" s="45" t="str">
        <f t="shared" si="1"/>
        <v>"%_corrections" : "1,2%",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5</v>
      </c>
      <c r="F31" s="45" t="str">
        <f t="shared" si="1"/>
        <v>"q1" : 5,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clear evolution of your performance during the game, starting in the 1st quarter with 5 corrections, finishing the 2nd with 3, 1 in the 3rd quarter and 0 in the last quarter. Anyway, I'd watch out a bit with the missidentities (some were quite incomprehensible), for the rest, good job! Keep it up!"</v>
      </c>
      <c r="F51" s="45" t="str">
        <f>""""&amp;B51&amp;"""" &amp; " : " &amp;C51&amp;","</f>
        <v>"comments" : "Very clear evolution of your performance during the game, starting in the 1st quarter with 5 corrections, finishing the 2nd with 3, 1 in the 3rd quarter and 0 in the last quarter. Anyway, I'd watch out a bit with the missidentities (some were quite incomprehensible), for the rest, good job! Keep it up!",</v>
      </c>
    </row>
    <row r="52" spans="2:6" x14ac:dyDescent="0.25">
      <c r="B52" s="43" t="s">
        <v>153</v>
      </c>
      <c r="C52" s="43" t="str">
        <f>TEXT('SCOUT &amp; LOGISTICS'!F1,"0,0")</f>
        <v>15_143_MAN_KLA_U2025</v>
      </c>
      <c r="F52" s="45" t="str">
        <f>""""&amp;B52&amp;"""" &amp; " : " &amp;C52</f>
        <v>"result" : 15_143_MAN_KLA_U2025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U143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21/01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Baxi Manresa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Neptunas Klaipeda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GERARD CAROD</v>
      </c>
      <c r="C8" s="201"/>
      <c r="D8" s="201"/>
      <c r="E8" s="201"/>
      <c r="F8" s="201"/>
      <c r="G8" s="201" t="str">
        <f>IF('SCOUT &amp; LOGISTICS'!D7="","",'SCOUT &amp; LOGISTICS'!D7)</f>
        <v>FRAN CAMPAÑA</v>
      </c>
      <c r="H8" s="201"/>
      <c r="I8" s="201"/>
      <c r="J8" s="201"/>
      <c r="K8" s="201"/>
      <c r="L8" s="201" t="str">
        <f>IF('SCOUT &amp; LOGISTICS'!D8="","",'SCOUT &amp; LOGISTICS'!D8)</f>
        <v>MARTA SOLA</v>
      </c>
      <c r="M8" s="201"/>
      <c r="N8" s="201"/>
      <c r="O8" s="201"/>
      <c r="P8" s="201"/>
      <c r="Q8" s="201" t="str">
        <f>IF('SCOUT &amp; LOGISTICS'!D9="","",'SCOUT &amp; LOGISTICS'!D9)</f>
        <v>GEMMA BOERA</v>
      </c>
      <c r="R8" s="201"/>
      <c r="S8" s="201"/>
      <c r="T8" s="201"/>
      <c r="U8" s="201"/>
      <c r="V8" s="201" t="str">
        <f>IF('SCOUT &amp; LOGISTICS'!D10="","",'SCOUT &amp; LOGISTICS'!D10)</f>
        <v>ALBERTO MORALES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739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9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1.2178619756427604E-2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5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5</v>
      </c>
      <c r="C22" s="199"/>
      <c r="D22" s="199"/>
      <c r="E22" s="199"/>
      <c r="F22" s="199"/>
      <c r="G22" s="199"/>
      <c r="H22" s="199">
        <f>'SCOUT &amp; LOGISTICS'!AG18</f>
        <v>3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9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5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2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Very clear evolution of your performance during the game, starting in the 1st quarter with 5 corrections, finishing the 2nd with 3, 1 in the 3rd quarter and 0 in the last quarter. Anyway, I'd watch out a bit with the missidentities (some were quite incomprehensible), for the rest, good job!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11.21786197564276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441D5634-4975-4B2C-9B67-29FAD44908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2026-01-07T21:12:12Z</cp:lastPrinted>
  <dcterms:created xsi:type="dcterms:W3CDTF">2023-09-19T19:50:35Z</dcterms:created>
  <dcterms:modified xsi:type="dcterms:W3CDTF">2026-01-22T15:50:31Z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