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6CD347C8-612B-4D52-B93B-1056C7B21FE6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COUT &amp; LOGISTICS" sheetId="1" r:id="rId1"/>
    <sheet name="Sheet1" sheetId="7" state="hidden" r:id="rId2"/>
    <sheet name="Teams" sheetId="5" state="hidden" r:id="rId3"/>
    <sheet name="GAMES" sheetId="6" state="hidden" r:id="rId4"/>
    <sheet name="json" sheetId="4" state="hidden" r:id="rId5"/>
    <sheet name="Report" sheetId="2" state="hidden" r:id="rId6"/>
  </sheets>
  <functionGroups builtInGroupCount="19"/>
  <definedNames>
    <definedName name="_xlnm._FilterDatabase" localSheetId="0" hidden="1">'SCOUT &amp; LOGISTICS'!$I$16:$M$106</definedName>
    <definedName name="_xleta.AND" hidden="1" xlm="1">#NAME?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7" l="1"/>
  <c r="H2" i="7"/>
  <c r="F3" i="7" l="1"/>
  <c r="E2" i="7"/>
  <c r="F2" i="7" s="1"/>
  <c r="E3" i="7"/>
  <c r="D2" i="7" a="1"/>
  <c r="D2" i="7" s="1"/>
  <c r="D3" i="7" a="1"/>
  <c r="D3" i="7" s="1"/>
  <c r="C2" i="7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<sst xmlns="http://schemas.openxmlformats.org/spreadsheetml/2006/main" count="3277" uniqueCount="777">
  <si>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</si>
  <si>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</si>
  <si>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</si>
  <si>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</si>
  <si>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</si>
  <si>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</si>
  <si>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</si>
  <si>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</si>
  <si>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</si>
  <si>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</si>
  <si>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</si>
  <si>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</si>
  <si>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</si>
  <si>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</si>
  <si>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</si>
  <si>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</si>
  <si>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</si>
  <si>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</si>
  <si>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</si>
  <si>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</si>
  <si>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</si>
  <si>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</si>
  <si>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</si>
  <si>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</si>
  <si>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</si>
  <si>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</si>
  <si>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</si>
  <si>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</si>
  <si>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</si>
  <si>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</si>
  <si>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</si>
  <si>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</si>
  <si>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</si>
  <si>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</si>
  <si>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</si>
  <si>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</si>
  <si>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</si>
  <si>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</si>
  <si>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</si>
  <si>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</si>
  <si>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</si>
  <si>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</si>
  <si>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</si>
  <si>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</si>
  <si>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</si>
  <si>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</si>
  <si>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</si>
  <si>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</si>
  <si>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</si>
  <si>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</si>
  <si>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</si>
  <si>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</si>
  <si>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</si>
  <si>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</si>
  <si>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</si>
  <si>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</si>
  <si>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</si>
  <si>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</si>
  <si>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</si>
  <si>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</si>
  <si>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</si>
  <si>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</si>
  <si>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</si>
  <si>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</si>
  <si>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</si>
  <si>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</si>
  <si>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</si>
  <si>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</si>
  <si>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</si>
  <si>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</si>
  <si>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</si>
  <si>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</si>
  <si>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</si>
  <si>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</si>
  <si>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</si>
  <si>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</si>
  <si>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</si>
  <si>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</si>
  <si>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</si>
  <si>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</si>
  <si>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</si>
  <si>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</si>
  <si>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</si>
  <si>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</si>
  <si>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</si>
  <si>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</si>
  <si>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</si>
  <si>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</si>
  <si>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</si>
  <si>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</si>
  <si>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</si>
  <si>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</si>
  <si>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</si>
  <si>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</si>
  <si>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</si>
  <si>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</si>
  <si>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</si>
  <si>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</si>
  <si>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</si>
  <si>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</si>
  <si>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</si>
  <si>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</si>
  <si>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</si>
  <si>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</si>
  <si>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</si>
  <si>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</si>
  <si>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</si>
  <si>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</si>
  <si>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</si>
  <si>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</si>
  <si>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</si>
  <si>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</si>
  <si>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</si>
  <si>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</si>
  <si>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</si>
  <si>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</si>
  <si>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</si>
  <si>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</si>
  <si>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</si>
  <si>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</si>
  <si>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</si>
  <si>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</si>
  <si>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</si>
  <si>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</si>
  <si>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</si>
  <si>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</si>
  <si>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</si>
  <si>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</si>
  <si>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</si>
  <si>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</si>
  <si>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</si>
  <si>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</si>
  <si>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</si>
  <si>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</si>
  <si>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</si>
  <si>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</si>
  <si>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</si>
  <si>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</si>
  <si>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</si>
  <si>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</si>
  <si>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</si>
  <si>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</si>
  <si>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</si>
  <si>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</si>
  <si>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</si>
  <si>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</si>
  <si>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</si>
  <si>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</si>
  <si>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</si>
  <si>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</si>
  <si>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</si>
  <si>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</si>
  <si>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</si>
  <si>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</si>
  <si>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</si>
  <si>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</si>
  <si>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</si>
  <si>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</si>
  <si>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</si>
  <si>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</si>
  <si>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</si>
  <si>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</si>
  <si>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</si>
  <si>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</si>
  <si>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</si>
  <si>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</si>
  <si>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</si>
  <si>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</si>
  <si>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</si>
  <si>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</si>
  <si>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</si>
  <si>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</si>
  <si>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</si>
  <si>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</si>
  <si>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</si>
  <si>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</si>
  <si>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</si>
  <si>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</si>
  <si>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</si>
  <si>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</si>
  <si>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</si>
  <si>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</si>
  <si>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</si>
  <si>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</si>
  <si>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</si>
  <si>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</si>
  <si>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</si>
  <si>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</si>
  <si>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</si>
  <si>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</si>
  <si>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</si>
  <si>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</si>
  <si>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</si>
  <si>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</si>
  <si>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</si>
  <si>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</si>
  <si>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</si>
  <si>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</si>
  <si>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</si>
  <si>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</si>
  <si>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</si>
  <si>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</si>
  <si>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</si>
  <si>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</si>
  <si>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</si>
  <si>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</si>
  <si>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</si>
  <si>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</si>
  <si>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</si>
  <si>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</si>
  <si>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</si>
  <si>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</si>
  <si>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</si>
  <si>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</si>
  <si>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</si>
  <si>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</si>
  <si>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</si>
  <si>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</si>
  <si>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</si>
  <si>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</si>
  <si>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</si>
  <si>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</si>
  <si>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</si>
  <si>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</si>
  <si>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</si>
  <si>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</si>
  <si>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</si>
  <si>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</si>
  <si>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</si>
  <si>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</si>
  <si>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</si>
  <si>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</si>
  <si>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</si>
  <si>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</si>
  <si>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</si>
  <si>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</si>
  <si>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</si>
  <si>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</si>
  <si>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</si>
  <si>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</si>
  <si>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</si>
  <si>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</si>
  <si>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</si>
  <si>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</si>
  <si>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</si>
  <si>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</si>
  <si>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</si>
  <si>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</si>
  <si>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</si>
  <si>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</si>
  <si>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</si>
  <si>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</si>
  <si>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</si>
  <si>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</si>
  <si>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</si>
  <si>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</si>
  <si>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</si>
  <si>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</si>
  <si>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</si>
  <si>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</si>
  <si>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</si>
  <si>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</si>
  <si>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</si>
  <si>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</si>
  <si>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</si>
  <si>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</si>
  <si>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</si>
  <si>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</si>
  <si>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</si>
  <si>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</si>
  <si>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</si>
  <si>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</si>
  <si>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</si>
  <si>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</si>
  <si>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</si>
  <si>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</si>
  <si>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</si>
  <si>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</si>
  <si>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</si>
  <si>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</si>
  <si>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</si>
  <si>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</si>
  <si>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</si>
  <si>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</si>
  <si>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</si>
  <si>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</si>
  <si>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</si>
  <si>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</si>
  <si>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</si>
  <si>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</si>
  <si>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</si>
  <si>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</si>
  <si>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</si>
  <si>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</si>
  <si>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</si>
  <si>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</si>
  <si>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</si>
  <si>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</si>
  <si>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</si>
  <si>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</si>
  <si>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</si>
  <si>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</si>
  <si>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</si>
  <si>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</si>
  <si>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</si>
  <si>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</si>
  <si>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</si>
  <si>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</si>
  <si>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</si>
  <si>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</si>
  <si>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</si>
  <si>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</si>
  <si>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</si>
  <si>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</si>
  <si>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</si>
  <si>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</si>
  <si>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</si>
  <si>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</si>
  <si>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</si>
  <si>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</si>
  <si>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</si>
  <si>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</si>
  <si>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</si>
  <si>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</si>
  <si>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</si>
  <si>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</si>
  <si>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</si>
  <si>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</si>
  <si>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</si>
  <si>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</si>
  <si>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</si>
  <si>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</si>
  <si>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</si>
  <si>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</si>
  <si>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</si>
  <si>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</si>
  <si>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</si>
  <si>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</si>
  <si>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</si>
  <si>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</si>
  <si>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</si>
  <si>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</si>
  <si>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</si>
  <si>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</si>
  <si>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</si>
  <si>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</si>
  <si>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</si>
  <si>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</si>
  <si>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</si>
  <si>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</si>
  <si>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</si>
  <si>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</si>
  <si>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</si>
  <si>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</si>
  <si>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</si>
  <si>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</si>
  <si>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</si>
  <si>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</si>
  <si>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</si>
  <si>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</si>
  <si>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</si>
  <si>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</si>
  <si>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</si>
  <si>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</si>
  <si>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</si>
  <si>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</si>
  <si>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</si>
  <si>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</si>
  <si>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</si>
  <si>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</si>
  <si>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</si>
  <si>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</si>
  <si>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</si>
  <si>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</si>
  <si>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</si>
  <si>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</si>
  <si>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</si>
  <si>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</si>
  <si>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</si>
  <si>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</si>
  <si>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</si>
  <si>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</si>
  <si>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</si>
  <si>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</si>
  <si>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</si>
  <si>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</si>
  <si>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</si>
  <si>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</si>
  <si>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</si>
  <si>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</si>
  <si>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</si>
  <si>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</si>
  <si>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</si>
  <si>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</si>
  <si>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</si>
  <si>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</si>
  <si>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</si>
  <si>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</si>
  <si>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</si>
  <si>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</si>
  <si>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</si>
  <si>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</si>
  <si>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</si>
  <si>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</si>
  <si>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</si>
  <si>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</si>
  <si>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</si>
  <si>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</si>
  <si>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</si>
  <si>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</si>
  <si>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</si>
  <si>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</si>
  <si>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</si>
  <si>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</si>
  <si>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</si>
  <si>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</si>
  <si>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</si>
  <si>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</si>
  <si>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</si>
  <si>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</si>
  <si>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</si>
  <si>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</si>
  <si>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</si>
  <si>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</si>
  <si>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</si>
  <si>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</si>
  <si>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</si>
  <si>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</si>
  <si>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</si>
  <si>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</si>
  <si>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</si>
  <si>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</si>
  <si>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</si>
  <si>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</si>
  <si>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</si>
  <si>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</si>
  <si>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</si>
  <si>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</si>
  <si>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</si>
  <si>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</si>
  <si>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</si>
  <si>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</si>
  <si>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</si>
  <si>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</si>
  <si>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</si>
  <si>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</si>
  <si>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</si>
  <si>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</si>
  <si>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</si>
  <si>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</si>
  <si>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</si>
  <si>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</si>
  <si>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</si>
  <si>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</si>
  <si>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</si>
  <si>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</si>
  <si>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</si>
  <si>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</si>
  <si>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</si>
  <si>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</si>
  <si>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</si>
  <si>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</si>
  <si>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</si>
  <si>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</si>
  <si>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</si>
  <si>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</si>
  <si>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</si>
  <si>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</si>
  <si>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</si>
  <si>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</si>
  <si>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</si>
  <si>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</si>
  <si>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</si>
  <si>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</si>
  <si>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</si>
  <si>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</si>
  <si>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</si>
  <si>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</si>
  <si>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</si>
  <si>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</si>
  <si>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</si>
  <si>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</si>
  <si>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</si>
  <si>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</si>
  <si>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</si>
  <si>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</si>
  <si>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</si>
  <si>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</si>
  <si>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</si>
  <si>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</si>
  <si>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</si>
  <si>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</si>
  <si>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</si>
  <si>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</si>
  <si>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</si>
  <si>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</si>
  <si>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</si>
  <si>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</si>
  <si>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</si>
  <si>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</si>
  <si>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</si>
  <si>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</si>
  <si>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</si>
  <si>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</si>
  <si>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</si>
  <si>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</si>
  <si>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</si>
  <si>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</si>
  <si>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</si>
  <si>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</si>
  <si>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</si>
  <si>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</si>
  <si>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</si>
  <si>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</si>
  <si>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</si>
  <si>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</si>
  <si>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</si>
  <si>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</si>
  <si>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</si>
  <si>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</si>
  <si>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</si>
  <si>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</si>
  <si>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</si>
  <si>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</si>
  <si>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</si>
  <si>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</si>
  <si>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</si>
  <si>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</si>
  <si>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</si>
  <si>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</si>
  <si>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</si>
  <si>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</si>
  <si>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</si>
  <si>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</si>
  <si>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</si>
  <si>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</si>
  <si>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</si>
  <si>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</si>
  <si>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</si>
  <si>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</si>
  <si>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</si>
  <si>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</si>
  <si>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</si>
  <si>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</si>
  <si>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</si>
  <si>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</si>
  <si>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</si>
  <si>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</si>
  <si>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</si>
  <si>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</si>
  <si>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</si>
  <si>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</si>
  <si>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</si>
  <si>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</si>
  <si>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</si>
  <si>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</si>
  <si>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</si>
  <si>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</si>
  <si>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</si>
  <si>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</si>
  <si>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</si>
  <si>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</si>
  <si>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</si>
  <si>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</si>
  <si>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</si>
  <si>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</si>
  <si>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</si>
  <si>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</si>
  <si>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</si>
  <si>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</si>
  <si>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</si>
  <si>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</si>
  <si>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</si>
  <si>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</si>
  <si>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</si>
  <si>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</si>
  <si>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</si>
  <si>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</si>
  <si>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</si>
  <si>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</si>
  <si>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</si>
  <si>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</si>
  <si>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</si>
  <si>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</si>
  <si>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</si>
  <si>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</si>
  <si>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</si>
  <si>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</si>
  <si>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</si>
  <si>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</si>
  <si>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</si>
  <si>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</si>
  <si>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</si>
  <si>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</si>
  <si>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</si>
  <si>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</si>
  <si>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</si>
  <si>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</si>
  <si>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</si>
  <si>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</si>
  <si>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</si>
  <si>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</si>
  <si>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</si>
  <si>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</si>
  <si>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</si>
  <si>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</si>
  <si>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</si>
  <si>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</si>
  <si>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</si>
  <si>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</si>
  <si>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</si>
  <si>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</si>
  <si>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</si>
  <si>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</si>
  <si>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</si>
  <si>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</si>
  <si>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</si>
  <si>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</si>
  <si>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</si>
  <si>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</si>
  <si>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</si>
  <si>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</si>
  <si>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</si>
  <si>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</si>
  <si>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</si>
  <si>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</si>
  <si>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</si>
  <si>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</si>
  <si>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</si>
  <si>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</si>
  <si>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</si>
  <si>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</si>
  <si>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</si>
  <si>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</si>
  <si>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</si>
  <si>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</si>
  <si>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</si>
  <si>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</si>
  <si>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</si>
  <si>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</si>
  <si>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</si>
  <si>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</si>
  <si>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</si>
  <si>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</si>
  <si>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</si>
  <si>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</si>
  <si>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</si>
  <si>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</si>
  <si>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</si>
  <si>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</si>
  <si>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</si>
  <si>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</si>
  <si>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</si>
  <si>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</si>
  <si>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</si>
  <si>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</si>
  <si>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</si>
  <si>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</si>
  <si>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</si>
  <si>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</si>
  <si>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</si>
  <si>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</si>
  <si>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</si>
  <si>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</si>
  <si>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</si>
  <si>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</si>
  <si>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</si>
  <si>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</si>
  <si>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</si>
  <si>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</si>
  <si>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</si>
  <si>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</si>
  <si>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</si>
  <si>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</si>
  <si>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</si>
  <si>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</si>
  <si>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</si>
  <si>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</si>
  <si>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</si>
  <si>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</si>
  <si>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</si>
  <si>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</si>
  <si>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</si>
  <si>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</si>
  <si>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</si>
  <si>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</si>
  <si>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</si>
  <si>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</si>
  <si>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</si>
  <si>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</si>
  <si>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</si>
  <si>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</si>
  <si>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</si>
  <si>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</si>
  <si>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</si>
  <si>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</si>
  <si>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</si>
  <si>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</si>
  <si>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</si>
  <si>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</si>
  <si>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</si>
  <si>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</si>
  <si>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</si>
  <si>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</si>
  <si>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</si>
  <si>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</si>
  <si>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</si>
  <si>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</si>
  <si>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</si>
  <si>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</si>
  <si>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</si>
  <si>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</si>
  <si>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</si>
  <si>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</si>
  <si>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</si>
  <si>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</si>
  <si>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</si>
  <si>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</si>
  <si>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</si>
  <si>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</si>
  <si>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</si>
  <si>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</si>
  <si>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</si>
  <si>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</si>
  <si>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</si>
  <si>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</si>
  <si>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</si>
  <si>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</si>
  <si>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</si>
  <si>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</si>
  <si>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</si>
  <si>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</si>
  <si>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</si>
  <si>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</si>
  <si>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</si>
  <si>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</si>
  <si>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</si>
  <si>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</si>
  <si>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</si>
  <si>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</si>
  <si>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</si>
  <si>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</si>
  <si>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</si>
  <si>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</si>
  <si>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</si>
  <si>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</si>
  <si>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</si>
  <si>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</si>
  <si>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</si>
  <si>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</si>
  <si>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</si>
  <si>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>12 18 1 09:08 3 5 Panathinaikos 41 HERNANGOMEZ, JUANCHO Assist 0 0 0</t>
  </si>
  <si>
    <t>no assist</t>
  </si>
  <si>
    <t>+shot rejected (delete and insert again as block against)</t>
  </si>
  <si>
    <t>ALESSANDRO ZUCCA</t>
  </si>
  <si>
    <t>PAOLO NORBERTO ZANDALINI</t>
  </si>
  <si>
    <t>EMANUELLA DALACOSTA</t>
  </si>
  <si>
    <t>SIMONE VLACHOS</t>
  </si>
  <si>
    <t>CINZIA COZZI</t>
  </si>
  <si>
    <t>VALERIA GAMBUZZA</t>
  </si>
  <si>
    <t>CRONO</t>
  </si>
  <si>
    <t>QUARTER</t>
  </si>
  <si>
    <t>POINTS L</t>
  </si>
  <si>
    <t>POINTS V</t>
  </si>
  <si>
    <t>243 250 20 02:00 54 44 Panathinaikos 0 SHORTS II, TIMOTHY NEOCARTES Missed Two Pointer 0 0 0</t>
  </si>
  <si>
    <t>00:11</t>
  </si>
  <si>
    <t>09:08</t>
  </si>
  <si>
    <t>3</t>
  </si>
  <si>
    <t>5</t>
  </si>
  <si>
    <t>54</t>
  </si>
  <si>
    <t>44</t>
  </si>
  <si>
    <t>n jug</t>
  </si>
  <si>
    <t>SCORESHEET / BOXSCORE</t>
  </si>
  <si>
    <t>AWAY TEAM / HOME TIME</t>
  </si>
  <si>
    <t>12</t>
  </si>
  <si>
    <t>243</t>
  </si>
  <si>
    <t>The EBStats software - in Italy - doesn't work well in some phases of the game.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</si>
</sst>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4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20" fontId="5" fillId="0" borderId="0" xfId="0" quotePrefix="1" applyNumberFormat="1" applyFont="1"/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I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15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15_143_MIL_PAN_E2025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143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46002.854166666664</v>
      </c>
      <c r="C3" s="157"/>
      <c r="D3" s="39">
        <v>540</v>
      </c>
      <c r="E3" s="29"/>
      <c r="F3" s="26">
        <f>SUBTOTAL(3,I17:I106)</f>
        <v>2</v>
      </c>
      <c r="G3" s="27">
        <f>IF(OR(D3="",D3=0),"",F3/D3)</f>
        <v>3.7037037037037038E-3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EA7 Emporio Armani Milan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743</v>
      </c>
      <c r="L4" s="5"/>
      <c r="M4" s="167" t="s">
        <v>776</v>
      </c>
      <c r="N4" s="168"/>
      <c r="O4" s="2"/>
      <c r="P4" s="2"/>
      <c r="Q4" s="84" t="s">
        <v>175</v>
      </c>
      <c r="R4" s="94">
        <f>(IF(G3="",0,G3))</f>
        <v>3.7037037037037038E-3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Panathinaikos AKTOR Athens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0.37037037037037041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754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755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3.3703703703703702</v>
      </c>
      <c r="N7" s="58"/>
      <c r="O7" s="2"/>
      <c r="P7" s="2"/>
      <c r="Q7" s="86">
        <f>SUM(R5,S5,AC16)</f>
        <v>3.3703703703703702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756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3.3703703703703702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757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758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759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143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143</v>
      </c>
      <c r="D17" s="32" t="s">
        <v>766</v>
      </c>
      <c r="E17" s="33">
        <v>1</v>
      </c>
      <c r="F17" s="36" t="s">
        <v>767</v>
      </c>
      <c r="G17" s="36" t="s">
        <v>768</v>
      </c>
      <c r="H17" s="38" t="str">
        <f>IF(I17="","",$I$14)</f>
        <v>SCOUTING</v>
      </c>
      <c r="I17" s="34" t="s">
        <v>774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143</v>
      </c>
      <c r="D18" s="32" t="s">
        <v>765</v>
      </c>
      <c r="E18" s="33">
        <v>2</v>
      </c>
      <c r="F18" s="36" t="s">
        <v>769</v>
      </c>
      <c r="G18" s="36" t="s">
        <v>770</v>
      </c>
      <c r="H18" s="38" t="str">
        <f t="shared" ref="H18:H81" si="8">IF(I18="","",$I$14)</f>
        <v>SCOUTING</v>
      </c>
      <c r="I18" s="34" t="s">
        <v>775</v>
      </c>
      <c r="J18" s="13" t="s">
        <v>4</v>
      </c>
      <c r="K18" s="13" t="s">
        <v>63</v>
      </c>
      <c r="L18" s="13" t="s">
        <v>7</v>
      </c>
      <c r="M18" s="13" t="s">
        <v>30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1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1F2A8-52C2-4D54-A9B0-BC92DC7B17A0}">
  <dimension ref="B1:N3"/>
  <sheetViews>
    <sheetView workbookViewId="0">
      <selection activeCell="C1" sqref="C1:M3"/>
    </sheetView>
  </sheetViews>
  <sheetFormatPr defaultRowHeight="12.75" x14ac:dyDescent="0.25"/>
  <cols>
    <col min="1" max="1" width="9.140625" style="150"/>
    <col min="2" max="2" width="64.5703125" style="150" bestFit="1" customWidth="1"/>
    <col min="3" max="3" width="6" style="150" bestFit="1" customWidth="1"/>
    <col min="4" max="4" width="7.5703125" style="150" bestFit="1" customWidth="1"/>
    <col min="5" max="5" width="7" style="150" bestFit="1" customWidth="1"/>
    <col min="6" max="6" width="7.140625" style="150" bestFit="1" customWidth="1"/>
    <col min="7" max="7" width="1.85546875" style="150" customWidth="1"/>
    <col min="8" max="8" width="3.85546875" style="150" bestFit="1" customWidth="1"/>
    <col min="9" max="9" width="19" style="150" bestFit="1" customWidth="1"/>
    <col min="10" max="10" width="17.85546875" style="150" bestFit="1" customWidth="1"/>
    <col min="11" max="13" width="9.140625" style="150"/>
    <col min="14" max="14" width="34.42578125" style="150" bestFit="1" customWidth="1"/>
    <col min="15" max="16384" width="9.140625" style="150"/>
  </cols>
  <sheetData>
    <row r="1" spans="2:14" x14ac:dyDescent="0.25">
      <c r="C1" s="150" t="s">
        <v>760</v>
      </c>
      <c r="D1" s="150" t="s">
        <v>761</v>
      </c>
      <c r="E1" s="150" t="s">
        <v>762</v>
      </c>
      <c r="F1" s="150" t="s">
        <v>763</v>
      </c>
      <c r="H1" s="150" t="s">
        <v>771</v>
      </c>
      <c r="I1" s="150" t="s">
        <v>772</v>
      </c>
      <c r="J1" s="150" t="s">
        <v>773</v>
      </c>
    </row>
    <row r="2" spans="2:14" x14ac:dyDescent="0.25">
      <c r="B2" s="150" t="s">
        <v>751</v>
      </c>
      <c r="C2" s="150" t="str">
        <f>MID(B2,FIND(":",B2)-2,5)</f>
        <v>09:08</v>
      </c>
      <c r="D2" s="150" cm="1">
        <f t="array" ref="D2">_xlfn.IFS(0+MID(B2,FIND(":",B2)-5,2)&lt;11,1,0+MID(B2,FIND(":",B2)-5,2)&lt;21,2,0+MID(B2,FIND(":",B2)-5,2)&lt;31,3,0+MID(B2,FIND(":",B2)-5,2)&lt;41,4, TRUE,"to")</f>
        <v>1</v>
      </c>
      <c r="E2" s="150" t="str">
        <f>TRIM(MID(B2,FIND(":",B2)+4,2))</f>
        <v>3</v>
      </c>
      <c r="F2" s="150" t="str">
        <f>TRIM(MID(B2,FIND(" " &amp; E2 &amp; " ",B2,FIND(":",B2))+2+LEN(E2),2))</f>
        <v>5</v>
      </c>
      <c r="H2" s="150" t="str">
        <f>TRIM(MID(B2,1,3))</f>
        <v>12</v>
      </c>
      <c r="I2" s="150" t="s">
        <v>4</v>
      </c>
      <c r="J2" s="150" t="s">
        <v>63</v>
      </c>
      <c r="N2" s="150" t="s">
        <v>752</v>
      </c>
    </row>
    <row r="3" spans="2:14" x14ac:dyDescent="0.25">
      <c r="B3" s="150" t="s">
        <v>764</v>
      </c>
      <c r="C3" s="213" t="s">
        <v>765</v>
      </c>
      <c r="D3" s="150" cm="1">
        <f t="array" ref="D3">_xlfn.IFS(0+MID(B3,FIND(":",B3)-5,2)&lt;11,1,0+MID(B3,FIND(":",B3)-5,2)&lt;21,2,0+MID(B3,FIND(":",B3)-5,2)&lt;31,3,0+MID(B3,FIND(":",B3)-5,2)&lt;41,4, TRUE,"to")</f>
        <v>2</v>
      </c>
      <c r="E3" s="150" t="str">
        <f>TRIM(MID(B3,FIND(":",B3)+4,2))</f>
        <v>54</v>
      </c>
      <c r="F3" s="150" t="str">
        <f>TRIM(MID(B3,FIND(" " &amp; E3 &amp; " ",B3,FIND(":",B3))+2+LEN(E3),2))</f>
        <v>44</v>
      </c>
      <c r="H3" s="150" t="str">
        <f>TRIM(MID(B3,1,3))</f>
        <v>243</v>
      </c>
      <c r="I3" s="150" t="s">
        <v>4</v>
      </c>
      <c r="J3" s="150" t="s">
        <v>63</v>
      </c>
      <c r="N3" s="150" t="s">
        <v>753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REPORT_E2025143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"E2025143"</v>
      </c>
      <c r="F3" s="45" t="str">
        <f t="shared" ref="F3:F16" si="0">""""&amp;B3&amp;"""" &amp; " : " &amp;C3&amp;","</f>
        <v>"name" : "E2025143",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"E143"</v>
      </c>
      <c r="F4" s="45" t="str">
        <f t="shared" si="0"/>
        <v>"cod" : "E143",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143</v>
      </c>
      <c r="F6" s="45" t="str">
        <f t="shared" si="0"/>
        <v>"number" : 143,</v>
      </c>
    </row>
    <row r="7" spans="2:6" x14ac:dyDescent="0.2">
      <c r="B7" s="43" t="s">
        <v>116</v>
      </c>
      <c r="C7" s="43" t="str">
        <f ca="1">""""&amp;TEXT('SCOUT &amp; LOGISTICS'!B3,"dd/mm/aaaa")&amp;""""</f>
        <v>"11/12/Thursday"</v>
      </c>
      <c r="F7" s="45" t="str">
        <f t="shared" ca="1" si="0"/>
        <v>"date" : "11/12/Thursday",</v>
      </c>
    </row>
    <row r="8" spans="2:6" x14ac:dyDescent="0.2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"ALESSANDRO ZUCCA"</v>
      </c>
      <c r="F10" s="45" t="str">
        <f t="shared" si="0"/>
        <v>"Data_entry" : "ALESSANDRO ZUCCA",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"PAOLO NORBERTO ZANDALINI"</v>
      </c>
      <c r="F11" s="45" t="str">
        <f t="shared" si="0"/>
        <v>"Caller_1" : "PAOLO NORBERTO ZANDALINI",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"EMANUELLA DALACOSTA"</v>
      </c>
      <c r="F12" s="45" t="str">
        <f t="shared" si="0"/>
        <v>"Caller_2" : "EMANUELLA DALACOSTA",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"SIMONE VLACHOS"</v>
      </c>
      <c r="F13" s="45" t="str">
        <f t="shared" si="0"/>
        <v>"Timerkeeper" : "SIMONE VLACHOS",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"CINZIA COZZI"</v>
      </c>
      <c r="F14" s="45" t="str">
        <f t="shared" si="0"/>
        <v>"Shotclock" : "CINZIA COZZI",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"VALERIA GAMBUZZA"</v>
      </c>
      <c r="F15" s="45" t="str">
        <f t="shared" si="0"/>
        <v>"IRS" : "VALERIA GAMBUZZA",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540</v>
      </c>
      <c r="F25" s="45" t="str">
        <f t="shared" ref="F25:F48" si="1">""""&amp;C25&amp;"""" &amp; " : " &amp;D25&amp;","</f>
        <v>"total_actions" : 540,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"The EBStats software - in Italy - doesn't work well in some phases of the game."</v>
      </c>
      <c r="F51" s="45" t="str">
        <f>""""&amp;B51&amp;"""" &amp; " : " &amp;C51&amp;","</f>
        <v>"comments" : "The EBStats software - in Italy - doesn't work well in some phases of the game.",</v>
      </c>
    </row>
    <row r="52" spans="2:6" x14ac:dyDescent="0.2">
      <c r="B52" s="43" t="s">
        <v>153</v>
      </c>
      <c r="C52" s="43" t="str">
        <f>TEXT('SCOUT &amp; LOGISTICS'!F1,"0,0")</f>
        <v>15_143_MIL_PAN_E2025</v>
      </c>
      <c r="F52" s="45" t="str">
        <f>""""&amp;B52&amp;"""" &amp; " : " &amp;C52</f>
        <v>"result" : 15_143_MIL_PAN_E2025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E143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11/12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Ea7 Emporio Armani Milan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Panathinaikos Aktor Athens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ALESSANDRO ZUCCA</v>
      </c>
      <c r="C8" s="206"/>
      <c r="D8" s="206"/>
      <c r="E8" s="206"/>
      <c r="F8" s="206"/>
      <c r="G8" s="206" t="str">
        <f>IF('SCOUT &amp; LOGISTICS'!D7="","",'SCOUT &amp; LOGISTICS'!D7)</f>
        <v>PAOLO NORBERTO ZANDALINI</v>
      </c>
      <c r="H8" s="206"/>
      <c r="I8" s="206"/>
      <c r="J8" s="206"/>
      <c r="K8" s="206"/>
      <c r="L8" s="206" t="str">
        <f>IF('SCOUT &amp; LOGISTICS'!D8="","",'SCOUT &amp; LOGISTICS'!D8)</f>
        <v>EMANUELLA DALACOSTA</v>
      </c>
      <c r="M8" s="206"/>
      <c r="N8" s="206"/>
      <c r="O8" s="206"/>
      <c r="P8" s="206"/>
      <c r="Q8" s="206" t="str">
        <f>IF('SCOUT &amp; LOGISTICS'!D9="","",'SCOUT &amp; LOGISTICS'!D9)</f>
        <v>SIMONE VLACHOS</v>
      </c>
      <c r="R8" s="206"/>
      <c r="S8" s="206"/>
      <c r="T8" s="206"/>
      <c r="U8" s="206"/>
      <c r="V8" s="206" t="str">
        <f>IF('SCOUT &amp; LOGISTICS'!D10="","",'SCOUT &amp; LOGISTICS'!D10)</f>
        <v>CINZIA COZZI</v>
      </c>
      <c r="W8" s="206"/>
      <c r="X8" s="206"/>
      <c r="Y8" s="206"/>
      <c r="Z8" s="206"/>
      <c r="AA8" s="206" t="str">
        <f>IF('SCOUT &amp; LOGISTICS'!D11="","",'SCOUT &amp; LOGISTICS'!D11)</f>
        <v>VALERIA GAMBUZZA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540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3.7037037037037038E-3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The EBStats software - in Italy - doesn't work well in some phases of the game.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3.3703703703703702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B8E2AE4-DBBB-4111-AAC1-5DA44D2A54A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SCOUT &amp; LOGISTICS</vt:lpstr>
      <vt:lpstr>Sheet1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2025-12-14T21:16:05Z</cp:lastPrinted>
  <dcterms:created xsi:type="dcterms:W3CDTF">2023-09-19T19:50:35Z</dcterms:created>
  <dcterms:modified xsi:type="dcterms:W3CDTF">2025-12-14T21:16:11Z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