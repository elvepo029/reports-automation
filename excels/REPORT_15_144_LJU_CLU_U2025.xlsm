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9188454-D00D-45C8-9190-F3507BC75B3D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<sst xmlns="http://schemas.openxmlformats.org/spreadsheetml/2006/main" count="3387" uniqueCount="844">
  <si>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</si>
  <si>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</si>
  <si>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</si>
  <si>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</si>
  <si>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</si>
  <si>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</si>
  <si>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</si>
  <si>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</si>
  <si>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</si>
  <si>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</si>
  <si>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</si>
  <si>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</si>
  <si>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</si>
  <si>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</si>
  <si>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</si>
  <si>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</si>
  <si>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</si>
  <si>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</si>
  <si>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</si>
  <si>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</si>
  <si>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</si>
  <si>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</si>
  <si>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</si>
  <si>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</si>
  <si>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</si>
  <si>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</si>
  <si>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</si>
  <si>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</si>
  <si>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</si>
  <si>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</si>
  <si>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</si>
  <si>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</si>
  <si>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</si>
  <si>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</si>
  <si>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</si>
  <si>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</si>
  <si>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</si>
  <si>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</si>
  <si>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</si>
  <si>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</si>
  <si>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</si>
  <si>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</si>
  <si>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</si>
  <si>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</si>
  <si>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</si>
  <si>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</si>
  <si>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</si>
  <si>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</si>
  <si>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</si>
  <si>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</si>
  <si>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</si>
  <si>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</si>
  <si>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</si>
  <si>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</si>
  <si>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</si>
  <si>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</si>
  <si>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</si>
  <si>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</si>
  <si>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</si>
  <si>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</si>
  <si>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</si>
  <si>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</si>
  <si>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</si>
  <si>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</si>
  <si>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</si>
  <si>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</si>
  <si>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</si>
  <si>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</si>
  <si>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</si>
  <si>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</si>
  <si>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</si>
  <si>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</si>
  <si>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</si>
  <si>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</si>
  <si>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</si>
  <si>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</si>
  <si>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</si>
  <si>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</si>
  <si>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</si>
  <si>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</si>
  <si>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</si>
  <si>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</si>
  <si>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</si>
  <si>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</si>
  <si>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</si>
  <si>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</si>
  <si>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</si>
  <si>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</si>
  <si>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</si>
  <si>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</si>
  <si>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</si>
  <si>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</si>
  <si>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</si>
  <si>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</si>
  <si>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</si>
  <si>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</si>
  <si>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</si>
  <si>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</si>
  <si>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</si>
  <si>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</si>
  <si>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</si>
  <si>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</si>
  <si>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</si>
  <si>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</si>
  <si>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</si>
  <si>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</si>
  <si>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</si>
  <si>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</si>
  <si>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</si>
  <si>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</si>
  <si>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</si>
  <si>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</si>
  <si>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</si>
  <si>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</si>
  <si>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</si>
  <si>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</si>
  <si>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</si>
  <si>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</si>
  <si>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</si>
  <si>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</si>
  <si>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</si>
  <si>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</si>
  <si>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</si>
  <si>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</si>
  <si>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</si>
  <si>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</si>
  <si>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</si>
  <si>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</si>
  <si>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</si>
  <si>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</si>
  <si>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</si>
  <si>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</si>
  <si>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</si>
  <si>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</si>
  <si>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</si>
  <si>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</si>
  <si>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</si>
  <si>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</si>
  <si>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</si>
  <si>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</si>
  <si>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</si>
  <si>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</si>
  <si>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</si>
  <si>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</si>
  <si>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</si>
  <si>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</si>
  <si>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</si>
  <si>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</si>
  <si>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</si>
  <si>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</si>
  <si>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</si>
  <si>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</si>
  <si>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</si>
  <si>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</si>
  <si>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</si>
  <si>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</si>
  <si>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</si>
  <si>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</si>
  <si>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</si>
  <si>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</si>
  <si>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</si>
  <si>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</si>
  <si>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</si>
  <si>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</si>
  <si>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</si>
  <si>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</si>
  <si>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</si>
  <si>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</si>
  <si>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</si>
  <si>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</si>
  <si>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</si>
  <si>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</si>
  <si>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</si>
  <si>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</si>
  <si>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</si>
  <si>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</si>
  <si>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</si>
  <si>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</si>
  <si>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</si>
  <si>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</si>
  <si>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</si>
  <si>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</si>
  <si>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</si>
  <si>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</si>
  <si>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</si>
  <si>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</si>
  <si>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</si>
  <si>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</si>
  <si>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</si>
  <si>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</si>
  <si>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</si>
  <si>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</si>
  <si>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</si>
  <si>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</si>
  <si>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</si>
  <si>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</si>
  <si>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</si>
  <si>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</si>
  <si>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</si>
  <si>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</si>
  <si>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</si>
  <si>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</si>
  <si>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</si>
  <si>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</si>
  <si>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</si>
  <si>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</si>
  <si>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</si>
  <si>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</si>
  <si>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</si>
  <si>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</si>
  <si>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</si>
  <si>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</si>
  <si>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</si>
  <si>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</si>
  <si>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</si>
  <si>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</si>
  <si>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</si>
  <si>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</si>
  <si>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</si>
  <si>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</si>
  <si>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</si>
  <si>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</si>
  <si>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</si>
  <si>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</si>
  <si>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</si>
  <si>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</si>
  <si>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</si>
  <si>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</si>
  <si>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</si>
  <si>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</si>
  <si>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</si>
  <si>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</si>
  <si>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</si>
  <si>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</si>
  <si>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</si>
  <si>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</si>
  <si>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</si>
  <si>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</si>
  <si>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</si>
  <si>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</si>
  <si>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</si>
  <si>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</si>
  <si>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</si>
  <si>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</si>
  <si>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</si>
  <si>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</si>
  <si>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</si>
  <si>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</si>
  <si>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</si>
  <si>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</si>
  <si>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</si>
  <si>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</si>
  <si>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</si>
  <si>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</si>
  <si>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</si>
  <si>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</si>
  <si>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</si>
  <si>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</si>
  <si>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</si>
  <si>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</si>
  <si>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</si>
  <si>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</si>
  <si>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</si>
  <si>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</si>
  <si>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</si>
  <si>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</si>
  <si>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</si>
  <si>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</si>
  <si>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</si>
  <si>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</si>
  <si>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</si>
  <si>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</si>
  <si>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</si>
  <si>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</si>
  <si>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</si>
  <si>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</si>
  <si>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</si>
  <si>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</si>
  <si>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</si>
  <si>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</si>
  <si>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</si>
  <si>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</si>
  <si>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</si>
  <si>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</si>
  <si>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</si>
  <si>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</si>
  <si>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</si>
  <si>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</si>
  <si>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</si>
  <si>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</si>
  <si>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</si>
  <si>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</si>
  <si>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</si>
  <si>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</si>
  <si>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</si>
  <si>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</si>
  <si>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</si>
  <si>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</si>
  <si>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</si>
  <si>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</si>
  <si>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</si>
  <si>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</si>
  <si>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</si>
  <si>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</si>
  <si>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</si>
  <si>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</si>
  <si>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</si>
  <si>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</si>
  <si>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</si>
  <si>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</si>
  <si>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</si>
  <si>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</si>
  <si>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</si>
  <si>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</si>
  <si>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</si>
  <si>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</si>
  <si>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</si>
  <si>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</si>
  <si>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</si>
  <si>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</si>
  <si>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</si>
  <si>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</si>
  <si>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</si>
  <si>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</si>
  <si>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</si>
  <si>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</si>
  <si>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</si>
  <si>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</si>
  <si>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</si>
  <si>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</si>
  <si>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</si>
  <si>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</si>
  <si>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</si>
  <si>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</si>
  <si>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</si>
  <si>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</si>
  <si>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</si>
  <si>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</si>
  <si>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</si>
  <si>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</si>
  <si>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</si>
  <si>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</si>
  <si>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</si>
  <si>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</si>
  <si>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</si>
  <si>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</si>
  <si>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</si>
  <si>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</si>
  <si>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</si>
  <si>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</si>
  <si>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</si>
  <si>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</si>
  <si>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</si>
  <si>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</si>
  <si>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</si>
  <si>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</si>
  <si>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</si>
  <si>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</si>
  <si>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</si>
  <si>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</si>
  <si>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</si>
  <si>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</si>
  <si>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</si>
  <si>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</si>
  <si>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</si>
  <si>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</si>
  <si>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</si>
  <si>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</si>
  <si>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</si>
  <si>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</si>
  <si>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</si>
  <si>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</si>
  <si>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</si>
  <si>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</si>
  <si>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</si>
  <si>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</si>
  <si>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</si>
  <si>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</si>
  <si>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</si>
  <si>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</si>
  <si>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</si>
  <si>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</si>
  <si>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</si>
  <si>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</si>
  <si>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</si>
  <si>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</si>
  <si>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</si>
  <si>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</si>
  <si>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</si>
  <si>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</si>
  <si>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</si>
  <si>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</si>
  <si>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</si>
  <si>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</si>
  <si>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</si>
  <si>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</si>
  <si>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</si>
  <si>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</si>
  <si>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</si>
  <si>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</si>
  <si>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</si>
  <si>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</si>
  <si>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</si>
  <si>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</si>
  <si>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</si>
  <si>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</si>
  <si>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</si>
  <si>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</si>
  <si>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</si>
  <si>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</si>
  <si>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</si>
  <si>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</si>
  <si>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</si>
  <si>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</si>
  <si>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</si>
  <si>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</si>
  <si>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</si>
  <si>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</si>
  <si>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</si>
  <si>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</si>
  <si>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</si>
  <si>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</si>
  <si>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</si>
  <si>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</si>
  <si>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</si>
  <si>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</si>
  <si>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</si>
  <si>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</si>
  <si>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</si>
  <si>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</si>
  <si>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</si>
  <si>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</si>
  <si>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</si>
  <si>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</si>
  <si>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</si>
  <si>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</si>
  <si>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</si>
  <si>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</si>
  <si>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</si>
  <si>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</si>
  <si>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</si>
  <si>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</si>
  <si>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</si>
  <si>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</si>
  <si>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</si>
  <si>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</si>
  <si>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</si>
  <si>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</si>
  <si>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</si>
  <si>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</si>
  <si>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</si>
  <si>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</si>
  <si>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</si>
  <si>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</si>
  <si>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</si>
  <si>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</si>
  <si>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</si>
  <si>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</si>
  <si>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</si>
  <si>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</si>
  <si>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</si>
  <si>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</si>
  <si>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</si>
  <si>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</si>
  <si>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</si>
  <si>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</si>
  <si>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</si>
  <si>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</si>
  <si>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</si>
  <si>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</si>
  <si>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</si>
  <si>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</si>
  <si>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</si>
  <si>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</si>
  <si>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</si>
  <si>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</si>
  <si>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</si>
  <si>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</si>
  <si>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</si>
  <si>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</si>
  <si>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</si>
  <si>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</si>
  <si>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</si>
  <si>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</si>
  <si>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</si>
  <si>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</si>
  <si>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</si>
  <si>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</si>
  <si>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</si>
  <si>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</si>
  <si>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</si>
  <si>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</si>
  <si>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</si>
  <si>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</si>
  <si>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</si>
  <si>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</si>
  <si>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</si>
  <si>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</si>
  <si>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</si>
  <si>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</si>
  <si>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</si>
  <si>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</si>
  <si>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</si>
  <si>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</si>
  <si>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</si>
  <si>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</si>
  <si>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</si>
  <si>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</si>
  <si>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</si>
  <si>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</si>
  <si>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</si>
  <si>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</si>
  <si>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</si>
  <si>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</si>
  <si>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</si>
  <si>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</si>
  <si>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</si>
  <si>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</si>
  <si>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</si>
  <si>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</si>
  <si>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</si>
  <si>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</si>
  <si>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</si>
  <si>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</si>
  <si>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</si>
  <si>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</si>
  <si>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</si>
  <si>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</si>
  <si>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</si>
  <si>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</si>
  <si>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</si>
  <si>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</si>
  <si>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</si>
  <si>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</si>
  <si>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</si>
  <si>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</si>
  <si>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</si>
  <si>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</si>
  <si>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</si>
  <si>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</si>
  <si>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</si>
  <si>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</si>
  <si>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</si>
  <si>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</si>
  <si>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</si>
  <si>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</si>
  <si>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</si>
  <si>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</si>
  <si>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</si>
  <si>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</si>
  <si>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</si>
  <si>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</si>
  <si>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</si>
  <si>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</si>
  <si>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</si>
  <si>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</si>
  <si>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</si>
  <si>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</si>
  <si>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</si>
  <si>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</si>
  <si>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</si>
  <si>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</si>
  <si>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</si>
  <si>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</si>
  <si>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</si>
  <si>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</si>
  <si>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</si>
  <si>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</si>
  <si>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</si>
  <si>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</si>
  <si>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</si>
  <si>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</si>
  <si>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</si>
  <si>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</si>
  <si>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</si>
  <si>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</si>
  <si>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</si>
  <si>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</si>
  <si>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</si>
  <si>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</si>
  <si>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</si>
  <si>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</si>
  <si>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</si>
  <si>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</si>
  <si>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</si>
  <si>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</si>
  <si>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</si>
  <si>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</si>
  <si>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</si>
  <si>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</si>
  <si>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</si>
  <si>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</si>
  <si>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</si>
  <si>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</si>
  <si>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</si>
  <si>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</si>
  <si>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</si>
  <si>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</si>
  <si>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</si>
  <si>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</si>
  <si>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</si>
  <si>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</si>
  <si>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</si>
  <si>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</si>
  <si>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</si>
  <si>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</si>
  <si>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</si>
  <si>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</si>
  <si>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</si>
  <si>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</si>
  <si>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</si>
  <si>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</si>
  <si>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</si>
  <si>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</si>
  <si>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</si>
  <si>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</si>
  <si>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</si>
  <si>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</si>
  <si>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</si>
  <si>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</si>
  <si>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</si>
  <si>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</si>
  <si>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</si>
  <si>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</si>
  <si>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</si>
  <si>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</si>
  <si>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</si>
  <si>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</si>
  <si>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</si>
  <si>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</si>
  <si>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</si>
  <si>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</si>
  <si>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</si>
  <si>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</si>
  <si>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</si>
  <si>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</si>
  <si>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</si>
  <si>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</si>
  <si>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</si>
  <si>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</si>
  <si>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</si>
  <si>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</si>
  <si>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</si>
  <si>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</si>
  <si>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</si>
  <si>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</si>
  <si>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</si>
  <si>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</si>
  <si>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</si>
  <si>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</si>
  <si>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</si>
  <si>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</si>
  <si>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</si>
  <si>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</si>
  <si>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</si>
  <si>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</si>
  <si>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</si>
  <si>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</si>
  <si>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</si>
  <si>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</si>
  <si>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</si>
  <si>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</si>
  <si>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</si>
  <si>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</si>
  <si>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</si>
  <si>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</si>
  <si>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</si>
  <si>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</si>
  <si>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</si>
  <si>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</si>
  <si>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</si>
  <si>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</si>
  <si>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</si>
  <si>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</si>
  <si>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</si>
  <si>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</si>
  <si>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</si>
  <si>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</si>
  <si>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</si>
  <si>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</si>
  <si>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</si>
  <si>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</si>
  <si>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</si>
  <si>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</si>
  <si>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</si>
  <si>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</si>
  <si>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</si>
  <si>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</si>
  <si>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</si>
  <si>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</si>
  <si>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</si>
  <si>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</si>
  <si>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</si>
  <si>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</si>
  <si>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</si>
  <si>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</si>
  <si>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</si>
  <si>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</si>
  <si>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</si>
  <si>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</si>
  <si>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</si>
  <si>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</si>
  <si>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</si>
  <si>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</si>
  <si>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</si>
  <si>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</si>
  <si>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</si>
  <si>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</si>
  <si>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</si>
  <si>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</si>
  <si>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</si>
  <si>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</si>
  <si>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</si>
  <si>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</si>
  <si>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</si>
  <si>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</si>
  <si>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</si>
  <si>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</si>
  <si>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</si>
  <si>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</si>
  <si>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</si>
  <si>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</si>
  <si>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</si>
  <si>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</si>
  <si>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</si>
  <si>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</si>
  <si>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</si>
  <si>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</si>
  <si>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</si>
  <si>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</si>
  <si>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</si>
  <si>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</si>
  <si>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</si>
  <si>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</si>
  <si>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</si>
  <si>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</si>
  <si>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</si>
  <si>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</si>
  <si>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</si>
  <si>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</si>
  <si>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</si>
  <si>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</si>
  <si>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</si>
  <si>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</si>
  <si>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</si>
  <si>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</si>
  <si>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</si>
  <si>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</si>
  <si>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</si>
  <si>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</si>
  <si>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</si>
  <si>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</si>
  <si>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</si>
  <si>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</si>
  <si>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</si>
  <si>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</si>
  <si>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</si>
  <si>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</si>
  <si>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</si>
  <si>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</si>
  <si>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</si>
  <si>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</si>
  <si>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</si>
  <si>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</si>
  <si>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</si>
  <si>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</si>
  <si>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</si>
  <si>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</si>
  <si>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</si>
  <si>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</si>
  <si>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</si>
  <si>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</si>
  <si>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</si>
  <si>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</si>
  <si>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</si>
  <si>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</si>
  <si>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</si>
  <si>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</si>
  <si>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</si>
  <si>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</si>
  <si>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</si>
  <si>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</si>
  <si>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</si>
  <si>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</si>
  <si>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</si>
  <si>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</si>
  <si>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</si>
  <si>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</si>
  <si>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</si>
  <si>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</si>
  <si>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</si>
  <si>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</si>
  <si>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</si>
  <si>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</si>
  <si>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</si>
  <si>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</si>
  <si>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</si>
  <si>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</si>
  <si>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</si>
  <si>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</si>
  <si>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</si>
  <si>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</si>
  <si>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</si>
  <si>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</si>
  <si>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</si>
  <si>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</si>
  <si>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</si>
  <si>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</si>
  <si>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</si>
  <si>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</si>
  <si>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</si>
  <si>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</si>
  <si>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</si>
  <si>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</si>
  <si>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</si>
  <si>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</si>
  <si>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</si>
  <si>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</si>
  <si>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</si>
  <si>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</si>
  <si>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</si>
  <si>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</si>
  <si>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</si>
  <si>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</si>
  <si>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</si>
  <si>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</si>
  <si>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OSCAR CUESTA</t>
  </si>
  <si>
    <t>9:59</t>
  </si>
  <si>
    <t>9:20</t>
  </si>
  <si>
    <t>7:51</t>
  </si>
  <si>
    <t>5:02</t>
  </si>
  <si>
    <t>4:08</t>
  </si>
  <si>
    <t>7:32</t>
  </si>
  <si>
    <t>6:45</t>
  </si>
  <si>
    <t>0:46</t>
  </si>
  <si>
    <t>0:10</t>
  </si>
  <si>
    <t>9:05</t>
  </si>
  <si>
    <t>6:29</t>
  </si>
  <si>
    <t>Many criteria mistakes and slow start. Keeping an extra eye in these two things, your performance will upgrade a lot. Thanks for your work</t>
  </si>
  <si>
    <t>ANA JUG</t>
  </si>
  <si>
    <t>MATIC MARKIC</t>
  </si>
  <si>
    <t>SILVO MARKIC</t>
  </si>
  <si>
    <t>GORAN HODZIC</t>
  </si>
  <si>
    <t>ANDREJ STRUKELJ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</si>
</sst>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15_144_LJU_CLU_U2025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46042.770833333336</v>
      </c>
      <c r="C3" s="157"/>
      <c r="D3" s="39">
        <v>672</v>
      </c>
      <c r="E3" s="29"/>
      <c r="F3" s="26">
        <f>SUBTOTAL(3,I17:I106)</f>
        <v>11</v>
      </c>
      <c r="G3" s="27">
        <f>IF(OR(D3="",D3=0),"",F3/D3)</f>
        <v>1.636904761904762E-2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Cedevita Olimpija Ljubljana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743</v>
      </c>
      <c r="L4" s="5"/>
      <c r="M4" s="167" t="s">
        <v>838</v>
      </c>
      <c r="N4" s="168"/>
      <c r="O4" s="2"/>
      <c r="P4" s="2"/>
      <c r="Q4" s="84" t="s">
        <v>175</v>
      </c>
      <c r="R4" s="94">
        <f>(IF(G3="",0,G3))</f>
        <v>1.636904761904762E-2</v>
      </c>
      <c r="S4" s="61">
        <f>SUM(I13:M13)</f>
        <v>0</v>
      </c>
      <c r="T4" s="78"/>
      <c r="U4" s="61">
        <f>AC18</f>
        <v>11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U-BT Cluj-Napoca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1.6369047619047621</v>
      </c>
      <c r="S5" s="70">
        <f t="shared" ref="S5" si="0">S4*S3</f>
        <v>0</v>
      </c>
      <c r="T5" s="92"/>
      <c r="U5" s="70">
        <f t="shared" ref="U5:AG5" si="1">U4*U3</f>
        <v>5.5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839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840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7.1369047619047619</v>
      </c>
      <c r="N7" s="58"/>
      <c r="O7" s="2"/>
      <c r="P7" s="2"/>
      <c r="Q7" s="86">
        <f>SUM(R5,S5,AC16)</f>
        <v>7.1369047619047619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841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7.1369047619047619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842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843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144</v>
      </c>
      <c r="D17" s="32" t="s">
        <v>827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4</v>
      </c>
      <c r="J17" s="13" t="s">
        <v>4</v>
      </c>
      <c r="K17" s="13" t="s">
        <v>63</v>
      </c>
      <c r="L17" s="13" t="s">
        <v>5</v>
      </c>
      <c r="M17" s="13" t="s">
        <v>30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144</v>
      </c>
      <c r="D18" s="32" t="s">
        <v>828</v>
      </c>
      <c r="E18" s="33">
        <v>1</v>
      </c>
      <c r="F18" s="36">
        <v>0</v>
      </c>
      <c r="G18" s="36">
        <v>0</v>
      </c>
      <c r="H18" s="38" t="str">
        <f t="shared" ref="H18:H81" si="8">IF(I18="","",$I$14)</f>
        <v>SCOUTING</v>
      </c>
      <c r="I18" s="34">
        <v>12</v>
      </c>
      <c r="J18" s="13" t="s">
        <v>4</v>
      </c>
      <c r="K18" s="13" t="s">
        <v>62</v>
      </c>
      <c r="L18" s="13" t="s">
        <v>5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11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144</v>
      </c>
      <c r="D19" s="32" t="s">
        <v>829</v>
      </c>
      <c r="E19" s="33">
        <v>3</v>
      </c>
      <c r="F19" s="36">
        <v>4</v>
      </c>
      <c r="G19" s="36">
        <v>2</v>
      </c>
      <c r="H19" s="38" t="str">
        <f t="shared" si="8"/>
        <v>SCOUTING</v>
      </c>
      <c r="I19" s="34">
        <v>26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144</v>
      </c>
      <c r="D20" s="32" t="s">
        <v>830</v>
      </c>
      <c r="E20" s="33">
        <v>1</v>
      </c>
      <c r="F20" s="36">
        <v>13</v>
      </c>
      <c r="G20" s="36">
        <v>9</v>
      </c>
      <c r="H20" s="38" t="str">
        <f t="shared" si="8"/>
        <v>SCOUTING</v>
      </c>
      <c r="I20" s="34">
        <v>59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U2025</v>
      </c>
      <c r="C21" s="31">
        <f t="shared" si="3"/>
        <v>144</v>
      </c>
      <c r="D21" s="32" t="s">
        <v>831</v>
      </c>
      <c r="E21" s="33">
        <v>1</v>
      </c>
      <c r="F21" s="36">
        <v>15</v>
      </c>
      <c r="G21" s="36">
        <v>9</v>
      </c>
      <c r="H21" s="38" t="str">
        <f t="shared" si="8"/>
        <v>SCOUTING</v>
      </c>
      <c r="I21" s="34">
        <v>75</v>
      </c>
      <c r="J21" s="13" t="s">
        <v>4</v>
      </c>
      <c r="K21" s="13" t="s">
        <v>62</v>
      </c>
      <c r="L21" s="13" t="s">
        <v>5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U2025</v>
      </c>
      <c r="C22" s="31">
        <f t="shared" si="3"/>
        <v>144</v>
      </c>
      <c r="D22" s="32" t="s">
        <v>832</v>
      </c>
      <c r="E22" s="33">
        <v>2</v>
      </c>
      <c r="F22" s="36">
        <v>28</v>
      </c>
      <c r="G22" s="36">
        <v>16</v>
      </c>
      <c r="H22" s="38" t="str">
        <f t="shared" si="8"/>
        <v>SCOUTING</v>
      </c>
      <c r="I22" s="34">
        <v>186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U2025</v>
      </c>
      <c r="C23" s="31">
        <f t="shared" si="3"/>
        <v>144</v>
      </c>
      <c r="D23" s="32" t="s">
        <v>833</v>
      </c>
      <c r="E23" s="33">
        <v>3</v>
      </c>
      <c r="F23" s="36">
        <v>41</v>
      </c>
      <c r="G23" s="36">
        <v>46</v>
      </c>
      <c r="H23" s="38" t="str">
        <f t="shared" si="8"/>
        <v>SCOUTING</v>
      </c>
      <c r="I23" s="34">
        <v>358</v>
      </c>
      <c r="J23" s="13" t="s">
        <v>4</v>
      </c>
      <c r="K23" s="13" t="s">
        <v>63</v>
      </c>
      <c r="L23" s="13" t="s">
        <v>5</v>
      </c>
      <c r="M23" s="13" t="s">
        <v>168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U2025</v>
      </c>
      <c r="C24" s="31">
        <f t="shared" si="3"/>
        <v>144</v>
      </c>
      <c r="D24" s="32" t="s">
        <v>834</v>
      </c>
      <c r="E24" s="33">
        <v>3</v>
      </c>
      <c r="F24" s="36">
        <v>57</v>
      </c>
      <c r="G24" s="36">
        <v>59</v>
      </c>
      <c r="H24" s="38" t="str">
        <f t="shared" si="8"/>
        <v>SCOUTING</v>
      </c>
      <c r="I24" s="34">
        <v>464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U2025</v>
      </c>
      <c r="C25" s="31">
        <f t="shared" si="3"/>
        <v>144</v>
      </c>
      <c r="D25" s="32" t="s">
        <v>835</v>
      </c>
      <c r="E25" s="33">
        <v>3</v>
      </c>
      <c r="F25" s="36">
        <v>59</v>
      </c>
      <c r="G25" s="36">
        <v>59</v>
      </c>
      <c r="H25" s="38" t="str">
        <f t="shared" si="8"/>
        <v>SCOUTING</v>
      </c>
      <c r="I25" s="34">
        <v>473</v>
      </c>
      <c r="J25" s="13" t="s">
        <v>4</v>
      </c>
      <c r="K25" s="13" t="s">
        <v>63</v>
      </c>
      <c r="L25" s="13" t="s">
        <v>5</v>
      </c>
      <c r="M25" s="13" t="s">
        <v>9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U2025</v>
      </c>
      <c r="C26" s="31">
        <f t="shared" si="3"/>
        <v>144</v>
      </c>
      <c r="D26" s="32" t="s">
        <v>836</v>
      </c>
      <c r="E26" s="33">
        <v>4</v>
      </c>
      <c r="F26" s="36">
        <v>63</v>
      </c>
      <c r="G26" s="36">
        <v>59</v>
      </c>
      <c r="H26" s="38" t="str">
        <f t="shared" si="8"/>
        <v>SCOUTING</v>
      </c>
      <c r="I26" s="34">
        <v>499</v>
      </c>
      <c r="J26" s="13" t="s">
        <v>4</v>
      </c>
      <c r="K26" s="13" t="s">
        <v>62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>U2025</v>
      </c>
      <c r="C27" s="31">
        <f t="shared" si="3"/>
        <v>144</v>
      </c>
      <c r="D27" s="32" t="s">
        <v>837</v>
      </c>
      <c r="E27" s="33">
        <v>4</v>
      </c>
      <c r="F27" s="36">
        <v>69</v>
      </c>
      <c r="G27" s="36">
        <v>65</v>
      </c>
      <c r="H27" s="38" t="str">
        <f t="shared" si="8"/>
        <v>SCOUTING</v>
      </c>
      <c r="I27" s="34">
        <v>544</v>
      </c>
      <c r="J27" s="13" t="s">
        <v>4</v>
      </c>
      <c r="K27" s="13" t="s">
        <v>62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"U2025144"</v>
      </c>
      <c r="F3" s="45" t="str">
        <f t="shared" ref="F3:F16" si="0">""""&amp;B3&amp;"""" &amp; " : " &amp;C3&amp;","</f>
        <v>"name" : "U2025144",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"U144"</v>
      </c>
      <c r="F4" s="45" t="str">
        <f t="shared" si="0"/>
        <v>"cod" : "U144",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144</v>
      </c>
      <c r="F6" s="45" t="str">
        <f t="shared" si="0"/>
        <v>"number" : 144,</v>
      </c>
    </row>
    <row r="7" spans="2:6" x14ac:dyDescent="0.25">
      <c r="B7" s="43" t="s">
        <v>116</v>
      </c>
      <c r="C7" s="43" t="str">
        <f ca="1">""""&amp;TEXT('SCOUT &amp; LOGISTICS'!B3,"dd/mm/aaaa")&amp;""""</f>
        <v>"20/01/2026"</v>
      </c>
      <c r="F7" s="45" t="str">
        <f t="shared" ca="1" si="0"/>
        <v>"date" : "20/01/2026",</v>
      </c>
    </row>
    <row r="8" spans="2:6" x14ac:dyDescent="0.2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5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"ANA JUG"</v>
      </c>
      <c r="F10" s="45" t="str">
        <f t="shared" si="0"/>
        <v>"Data_entry" : "ANA JUG",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"SILVO MARKIC"</v>
      </c>
      <c r="F12" s="45" t="str">
        <f t="shared" si="0"/>
        <v>"Caller_2" : "SILVO MARKIC",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"GORAN HODZIC"</v>
      </c>
      <c r="F13" s="45" t="str">
        <f t="shared" si="0"/>
        <v>"Timerkeeper" : "GORAN HODZIC",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"ANDREJ STRUKELJ"</v>
      </c>
      <c r="F14" s="45" t="str">
        <f t="shared" si="0"/>
        <v>"Shotclock" : "ANDREJ STRUKELJ",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672</v>
      </c>
      <c r="F25" s="45" t="str">
        <f t="shared" ref="F25:F48" si="1">""""&amp;C25&amp;"""" &amp; " : " &amp;D25&amp;","</f>
        <v>"total_actions" : 672,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11</v>
      </c>
      <c r="F39" s="45" t="str">
        <f t="shared" si="1"/>
        <v>"missidentity" : 11,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"Many criteria mistakes and slow start. Keeping an extra eye in these two things, your performance will upgrade a lot. Thanks for your work"</v>
      </c>
      <c r="F51" s="45" t="str">
        <f>""""&amp;B51&amp;"""" &amp; " : " &amp;C51&amp;","</f>
        <v>"comments" : "Many criteria mistakes and slow start. Keeping an extra eye in these two things, your performance will upgrade a lot. Thanks for your work",</v>
      </c>
    </row>
    <row r="52" spans="2:6" x14ac:dyDescent="0.25">
      <c r="B52" s="43" t="s">
        <v>153</v>
      </c>
      <c r="C52" s="43" t="str">
        <f>TEXT('SCOUT &amp; LOGISTICS'!F1,"0,0")</f>
        <v>15_144_LJU_CLU_U2025</v>
      </c>
      <c r="F52" s="45" t="str">
        <f>""""&amp;B52&amp;"""" &amp; " : " &amp;C52</f>
        <v>"result" : 15_144_LJU_CLU_U2025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U144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Cedevita Olimpija Ljubljana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ANA JUG</v>
      </c>
      <c r="C8" s="206"/>
      <c r="D8" s="206"/>
      <c r="E8" s="206"/>
      <c r="F8" s="206"/>
      <c r="G8" s="206" t="str">
        <f>IF('SCOUT &amp; LOGISTICS'!D7="","",'SCOUT &amp; LOGISTICS'!D7)</f>
        <v>MATIC MARKIC</v>
      </c>
      <c r="H8" s="206"/>
      <c r="I8" s="206"/>
      <c r="J8" s="206"/>
      <c r="K8" s="206"/>
      <c r="L8" s="206" t="str">
        <f>IF('SCOUT &amp; LOGISTICS'!D8="","",'SCOUT &amp; LOGISTICS'!D8)</f>
        <v>SILVO MARKIC</v>
      </c>
      <c r="M8" s="206"/>
      <c r="N8" s="206"/>
      <c r="O8" s="206"/>
      <c r="P8" s="206"/>
      <c r="Q8" s="206" t="str">
        <f>IF('SCOUT &amp; LOGISTICS'!D9="","",'SCOUT &amp; LOGISTICS'!D9)</f>
        <v>GORAN HODZIC</v>
      </c>
      <c r="R8" s="206"/>
      <c r="S8" s="206"/>
      <c r="T8" s="206"/>
      <c r="U8" s="206"/>
      <c r="V8" s="206" t="str">
        <f>IF('SCOUT &amp; LOGISTICS'!D10="","",'SCOUT &amp; LOGISTICS'!D10)</f>
        <v>ANDREJ STRUKELJ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672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1.636904761904762E-2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Many criteria mistakes and slow start. Keeping an extra eye in these two things, your performance will upgrade a lot. Thanks for your work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7.1369047619047619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14ECDB-E2A6-43E8-9EC1-95348B4B1070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2026-01-22T21:15:41Z</cp:lastPrinted>
  <dcterms:created xsi:type="dcterms:W3CDTF">2023-09-19T19:50:35Z</dcterms:created>
  <dcterms:modified xsi:type="dcterms:W3CDTF">2026-01-22T21:15:53Z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