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252C8F5-92BD-4ECD-84CE-624823847A4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<sst xmlns="http://schemas.openxmlformats.org/spreadsheetml/2006/main" count="3321" uniqueCount="826">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</sst>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15_144_LJU_CLU_U2025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144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46042.770833333336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Cedevita Olimpija Ljubljana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LJU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U-BT Cluj-Napoca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REPORT_U2025144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"U2025144"</v>
      </c>
      <c r="F3" s="45" t="str">
        <f t="shared" ref="F3:F16" si="0">""""&amp;B3&amp;"""" &amp; " : " &amp;C3&amp;","</f>
        <v>"name" : "U2025144",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"U144"</v>
      </c>
      <c r="F4" s="45" t="str">
        <f t="shared" si="0"/>
        <v>"cod" : "U144",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144</v>
      </c>
      <c r="F6" s="45" t="str">
        <f t="shared" si="0"/>
        <v>"number" : 144,</v>
      </c>
    </row>
    <row r="7" spans="2:6" x14ac:dyDescent="0.2">
      <c r="B7" s="43" t="s">
        <v>116</v>
      </c>
      <c r="C7" s="43" t="str">
        <f ca="1">""""&amp;TEXT('SCOUT &amp; LOGISTICS'!B3,"dd/mm/aaaa")&amp;""""</f>
        <v>"20/01/Tuesday"</v>
      </c>
      <c r="F7" s="45" t="str">
        <f t="shared" ca="1" si="0"/>
        <v>"date" : "20/01/Tuesday",</v>
      </c>
    </row>
    <row r="8" spans="2:6" x14ac:dyDescent="0.2">
      <c r="B8" s="43" t="s">
        <v>125</v>
      </c>
      <c r="C8" s="43" t="str">
        <f>""""&amp;'SCOUT &amp; LOGISTICS'!D4 &amp;""""</f>
        <v>"Cedevita Olimpija Ljubljana"</v>
      </c>
      <c r="F8" s="45" t="str">
        <f t="shared" si="0"/>
        <v>"home_team" : "Cedevita Olimpija Ljubljana",</v>
      </c>
    </row>
    <row r="9" spans="2:6" x14ac:dyDescent="0.2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15_144_LJU_CLU_U2025</v>
      </c>
      <c r="F52" s="45" t="str">
        <f>""""&amp;B52&amp;"""" &amp; " : " &amp;C52</f>
        <v>"result" : 15_144_LJU_CLU_U2025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U144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Cedevita Olimpija Ljubljana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U-Bt Cluj-Napoca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9D8CA39-6185-47AE-B28D-8F767815125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2026-01-07T21:12:21Z</cp:lastPrinted>
  <dcterms:created xsi:type="dcterms:W3CDTF">2023-09-19T19:50:35Z</dcterms:created>
  <dcterms:modified xsi:type="dcterms:W3CDTF">2026-01-07T21:12:29Z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