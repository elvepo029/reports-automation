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-my.sharepoint.com/personal/eloi_verge_euroleague_net/Documents/Desktop/GAME REPORTS/25-26/"/>
    </mc:Choice>
  </mc:AlternateContent>
  <xr:revisionPtr revIDLastSave="75" documentId="8_{8C002DEE-06A1-4052-AA2F-498B380A9A70}" xr6:coauthVersionLast="47" xr6:coauthVersionMax="47" xr10:uidLastSave="{FD186CB9-F57A-48D1-ADFB-9BF046C70571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<sst xmlns="http://schemas.openxmlformats.org/spreadsheetml/2006/main" count="3275" uniqueCount="764">
  <si>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</si>
  <si>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</si>
  <si>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</si>
  <si>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</si>
  <si>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</si>
  <si>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</si>
  <si>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</si>
  <si>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</si>
  <si>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</si>
  <si>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</si>
  <si>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</si>
  <si>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</si>
  <si>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</si>
  <si>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</si>
  <si>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</si>
  <si>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</si>
  <si>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</si>
  <si>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</si>
  <si>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</si>
  <si>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</si>
  <si>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</si>
  <si>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</si>
  <si>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</si>
  <si>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</si>
  <si>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</si>
  <si>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</si>
  <si>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</si>
  <si>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</si>
  <si>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</si>
  <si>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</si>
  <si>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</si>
  <si>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</si>
  <si>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</si>
  <si>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</si>
  <si>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</si>
  <si>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</si>
  <si>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</si>
  <si>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</si>
  <si>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</si>
  <si>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</si>
  <si>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</si>
  <si>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</si>
  <si>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</si>
  <si>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</si>
  <si>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</si>
  <si>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</si>
  <si>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</si>
  <si>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</si>
  <si>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</si>
  <si>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</si>
  <si>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</si>
  <si>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</si>
  <si>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</si>
  <si>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</si>
  <si>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</si>
  <si>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</si>
  <si>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</si>
  <si>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</si>
  <si>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</si>
  <si>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</si>
  <si>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</si>
  <si>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</si>
  <si>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</si>
  <si>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</si>
  <si>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</si>
  <si>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</si>
  <si>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</si>
  <si>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</si>
  <si>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</si>
  <si>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</si>
  <si>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</si>
  <si>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</si>
  <si>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</si>
  <si>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</si>
  <si>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</si>
  <si>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</si>
  <si>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</si>
  <si>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</si>
  <si>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</si>
  <si>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</si>
  <si>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</si>
  <si>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</si>
  <si>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</si>
  <si>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</si>
  <si>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</si>
  <si>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</si>
  <si>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</si>
  <si>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</si>
  <si>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</si>
  <si>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</si>
  <si>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</si>
  <si>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</si>
  <si>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</si>
  <si>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</si>
  <si>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</si>
  <si>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</si>
  <si>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</si>
  <si>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</si>
  <si>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</si>
  <si>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</si>
  <si>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</si>
  <si>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</si>
  <si>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</si>
  <si>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</si>
  <si>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</si>
  <si>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</si>
  <si>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</si>
  <si>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</si>
  <si>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</si>
  <si>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</si>
  <si>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</si>
  <si>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</si>
  <si>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</si>
  <si>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</si>
  <si>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</si>
  <si>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</si>
  <si>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</si>
  <si>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</si>
  <si>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</si>
  <si>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</si>
  <si>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</si>
  <si>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</si>
  <si>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</si>
  <si>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</si>
  <si>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</si>
  <si>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</si>
  <si>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</si>
  <si>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</si>
  <si>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</si>
  <si>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</si>
  <si>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</si>
  <si>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</si>
  <si>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</si>
  <si>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</si>
  <si>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</si>
  <si>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</si>
  <si>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</si>
  <si>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</si>
  <si>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</si>
  <si>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</si>
  <si>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</si>
  <si>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</si>
  <si>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</si>
  <si>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</si>
  <si>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</si>
  <si>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</si>
  <si>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</si>
  <si>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</si>
  <si>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</si>
  <si>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</si>
  <si>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</si>
  <si>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</si>
  <si>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</si>
  <si>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</si>
  <si>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</si>
  <si>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</si>
  <si>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</si>
  <si>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</si>
  <si>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</si>
  <si>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</si>
  <si>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</si>
  <si>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</si>
  <si>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</si>
  <si>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</si>
  <si>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</si>
  <si>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</si>
  <si>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</si>
  <si>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</si>
  <si>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</si>
  <si>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</si>
  <si>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</si>
  <si>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</si>
  <si>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</si>
  <si>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</si>
  <si>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</si>
  <si>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</si>
  <si>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</si>
  <si>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</si>
  <si>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</si>
  <si>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</si>
  <si>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</si>
  <si>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</si>
  <si>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</si>
  <si>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</si>
  <si>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</si>
  <si>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</si>
  <si>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</si>
  <si>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</si>
  <si>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</si>
  <si>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</si>
  <si>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</si>
  <si>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</si>
  <si>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</si>
  <si>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</si>
  <si>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</si>
  <si>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</si>
  <si>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</si>
  <si>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</si>
  <si>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</si>
  <si>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</si>
  <si>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</si>
  <si>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</si>
  <si>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</si>
  <si>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</si>
  <si>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</si>
  <si>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</si>
  <si>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</si>
  <si>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</si>
  <si>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</si>
  <si>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</si>
  <si>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</si>
  <si>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</si>
  <si>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</si>
  <si>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</si>
  <si>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</si>
  <si>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</si>
  <si>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</si>
  <si>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</si>
  <si>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</si>
  <si>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</si>
  <si>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</si>
  <si>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</si>
  <si>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</si>
  <si>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</si>
  <si>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</si>
  <si>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</si>
  <si>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</si>
  <si>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</si>
  <si>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</si>
  <si>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</si>
  <si>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</si>
  <si>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</si>
  <si>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</si>
  <si>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</si>
  <si>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</si>
  <si>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</si>
  <si>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</si>
  <si>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</si>
  <si>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</si>
  <si>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</si>
  <si>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</si>
  <si>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</si>
  <si>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</si>
  <si>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</si>
  <si>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</si>
  <si>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</si>
  <si>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</si>
  <si>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</si>
  <si>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</si>
  <si>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</si>
  <si>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</si>
  <si>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</si>
  <si>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</si>
  <si>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</si>
  <si>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</si>
  <si>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</si>
  <si>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</si>
  <si>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</si>
  <si>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</si>
  <si>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</si>
  <si>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</si>
  <si>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</si>
  <si>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</si>
  <si>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</si>
  <si>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</si>
  <si>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</si>
  <si>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</si>
  <si>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</si>
  <si>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</si>
  <si>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</si>
  <si>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</si>
  <si>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</si>
  <si>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</si>
  <si>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</si>
  <si>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</si>
  <si>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</si>
  <si>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</si>
  <si>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</si>
  <si>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</si>
  <si>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</si>
  <si>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</si>
  <si>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</si>
  <si>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</si>
  <si>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</si>
  <si>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</si>
  <si>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</si>
  <si>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</si>
  <si>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</si>
  <si>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</si>
  <si>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</si>
  <si>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</si>
  <si>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</si>
  <si>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</si>
  <si>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</si>
  <si>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</si>
  <si>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</si>
  <si>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</si>
  <si>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</si>
  <si>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</si>
  <si>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</si>
  <si>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</si>
  <si>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</si>
  <si>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</si>
  <si>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</si>
  <si>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</si>
  <si>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</si>
  <si>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</si>
  <si>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</si>
  <si>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</si>
  <si>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</si>
  <si>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</si>
  <si>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</si>
  <si>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</si>
  <si>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</si>
  <si>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</si>
  <si>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</si>
  <si>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</si>
  <si>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</si>
  <si>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</si>
  <si>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</si>
  <si>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</si>
  <si>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</si>
  <si>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</si>
  <si>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</si>
  <si>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</si>
  <si>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</si>
  <si>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</si>
  <si>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</si>
  <si>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</si>
  <si>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</si>
  <si>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</si>
  <si>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</si>
  <si>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</si>
  <si>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</si>
  <si>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</si>
  <si>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</si>
  <si>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</si>
  <si>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</si>
  <si>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</si>
  <si>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</si>
  <si>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</si>
  <si>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</si>
  <si>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</si>
  <si>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</si>
  <si>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</si>
  <si>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</si>
  <si>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</si>
  <si>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</si>
  <si>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</si>
  <si>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</si>
  <si>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</si>
  <si>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</si>
  <si>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</si>
  <si>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</si>
  <si>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</si>
  <si>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</si>
  <si>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</si>
  <si>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</si>
  <si>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</si>
  <si>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</si>
  <si>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</si>
  <si>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</si>
  <si>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</si>
  <si>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</si>
  <si>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</si>
  <si>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</si>
  <si>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</si>
  <si>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</si>
  <si>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</si>
  <si>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</si>
  <si>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</si>
  <si>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</si>
  <si>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</si>
  <si>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</si>
  <si>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</si>
  <si>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</si>
  <si>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</si>
  <si>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</si>
  <si>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</si>
  <si>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</si>
  <si>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</si>
  <si>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</si>
  <si>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</si>
  <si>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</si>
  <si>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</si>
  <si>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</si>
  <si>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</si>
  <si>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</si>
  <si>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</si>
  <si>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</si>
  <si>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</si>
  <si>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</si>
  <si>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</si>
  <si>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</si>
  <si>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</si>
  <si>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</si>
  <si>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</si>
  <si>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</si>
  <si>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</si>
  <si>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</si>
  <si>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</si>
  <si>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</si>
  <si>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</si>
  <si>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</si>
  <si>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</si>
  <si>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</si>
  <si>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</si>
  <si>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</si>
  <si>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</si>
  <si>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</si>
  <si>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</si>
  <si>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</si>
  <si>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</si>
  <si>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</si>
  <si>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</si>
  <si>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</si>
  <si>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</si>
  <si>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</si>
  <si>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</si>
  <si>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</si>
  <si>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</si>
  <si>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</si>
  <si>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</si>
  <si>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</si>
  <si>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</si>
  <si>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</si>
  <si>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</si>
  <si>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</si>
  <si>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</si>
  <si>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</si>
  <si>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</si>
  <si>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</si>
  <si>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</si>
  <si>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</si>
  <si>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</si>
  <si>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</si>
  <si>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</si>
  <si>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</si>
  <si>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</si>
  <si>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</si>
  <si>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</si>
  <si>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</si>
  <si>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</si>
  <si>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</si>
  <si>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</si>
  <si>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</si>
  <si>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</si>
  <si>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</si>
  <si>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</si>
  <si>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</si>
  <si>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</si>
  <si>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</si>
  <si>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</si>
  <si>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</si>
  <si>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</si>
  <si>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</si>
  <si>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</si>
  <si>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</si>
  <si>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</si>
  <si>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</si>
  <si>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</si>
  <si>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</si>
  <si>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</si>
  <si>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</si>
  <si>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</si>
  <si>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</si>
  <si>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</si>
  <si>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</si>
  <si>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</si>
  <si>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</si>
  <si>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</si>
  <si>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</si>
  <si>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</si>
  <si>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</si>
  <si>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</si>
  <si>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</si>
  <si>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</si>
  <si>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</si>
  <si>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</si>
  <si>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</si>
  <si>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</si>
  <si>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</si>
  <si>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</si>
  <si>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</si>
  <si>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</si>
  <si>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</si>
  <si>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</si>
  <si>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</si>
  <si>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</si>
  <si>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</si>
  <si>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</si>
  <si>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</si>
  <si>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</si>
  <si>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</si>
  <si>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</si>
  <si>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</si>
  <si>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</si>
  <si>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</si>
  <si>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</si>
  <si>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</si>
  <si>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</si>
  <si>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</si>
  <si>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</si>
  <si>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</si>
  <si>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</si>
  <si>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</si>
  <si>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</si>
  <si>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</si>
  <si>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</si>
  <si>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</si>
  <si>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</si>
  <si>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</si>
  <si>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</si>
  <si>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</si>
  <si>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</si>
  <si>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</si>
  <si>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</si>
  <si>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</si>
  <si>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</si>
  <si>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</si>
  <si>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</si>
  <si>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</si>
  <si>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</si>
  <si>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</si>
  <si>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</si>
  <si>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</si>
  <si>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</si>
  <si>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</si>
  <si>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</si>
  <si>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</si>
  <si>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</si>
  <si>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</si>
  <si>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</si>
  <si>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</si>
  <si>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</si>
  <si>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</si>
  <si>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</si>
  <si>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</si>
  <si>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</si>
  <si>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</si>
  <si>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</si>
  <si>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</si>
  <si>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</si>
  <si>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</si>
  <si>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</si>
  <si>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</si>
  <si>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</si>
  <si>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</si>
  <si>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</si>
  <si>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</si>
  <si>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</si>
  <si>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</si>
  <si>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</si>
  <si>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</si>
  <si>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</si>
  <si>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</si>
  <si>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</si>
  <si>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</si>
  <si>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</si>
  <si>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</si>
  <si>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</si>
  <si>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</si>
  <si>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</si>
  <si>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</si>
  <si>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</si>
  <si>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</si>
  <si>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</si>
  <si>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</si>
  <si>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</si>
  <si>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</si>
  <si>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</si>
  <si>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</si>
  <si>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</si>
  <si>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</si>
  <si>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</si>
  <si>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</si>
  <si>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</si>
  <si>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</si>
  <si>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</si>
  <si>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</si>
  <si>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</si>
  <si>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</si>
  <si>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</si>
  <si>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</si>
  <si>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</si>
  <si>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</si>
  <si>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</si>
  <si>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</si>
  <si>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</si>
  <si>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</si>
  <si>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</si>
  <si>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</si>
  <si>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</si>
  <si>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</si>
  <si>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</si>
  <si>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</si>
  <si>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</si>
  <si>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</si>
  <si>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</si>
  <si>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</si>
  <si>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</si>
  <si>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</si>
  <si>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</si>
  <si>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</si>
  <si>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</si>
  <si>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</si>
  <si>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</si>
  <si>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</si>
  <si>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</si>
  <si>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</si>
  <si>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</si>
  <si>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</si>
  <si>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</si>
  <si>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</si>
  <si>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</si>
  <si>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</si>
  <si>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</si>
  <si>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</si>
  <si>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</si>
  <si>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</si>
  <si>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</si>
  <si>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</si>
  <si>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</si>
  <si>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</si>
  <si>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</si>
  <si>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</si>
  <si>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</si>
  <si>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</si>
  <si>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</si>
  <si>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</si>
  <si>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</si>
  <si>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</si>
  <si>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</si>
  <si>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</si>
  <si>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</si>
  <si>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</si>
  <si>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</si>
  <si>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</si>
  <si>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</si>
  <si>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</si>
  <si>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</si>
  <si>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</si>
  <si>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</si>
  <si>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</si>
  <si>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</si>
  <si>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</si>
  <si>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</si>
  <si>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</si>
  <si>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</si>
  <si>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</si>
  <si>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</si>
  <si>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</si>
  <si>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</si>
  <si>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</si>
  <si>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</si>
  <si>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</si>
  <si>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</si>
  <si>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</si>
  <si>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</si>
  <si>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</si>
  <si>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</si>
  <si>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</si>
  <si>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</si>
  <si>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</si>
  <si>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</si>
  <si>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</si>
  <si>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</si>
  <si>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</si>
  <si>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</si>
  <si>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</si>
  <si>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</si>
  <si>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</si>
  <si>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</si>
  <si>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</si>
  <si>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</si>
  <si>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</si>
  <si>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</si>
  <si>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</si>
  <si>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</si>
  <si>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</si>
  <si>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</si>
  <si>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</si>
  <si>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</si>
  <si>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</si>
  <si>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</si>
  <si>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</si>
  <si>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</si>
  <si>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</si>
  <si>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</si>
  <si>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</si>
  <si>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</si>
  <si>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</si>
  <si>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</si>
  <si>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</si>
  <si>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</si>
  <si>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</si>
  <si>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</si>
  <si>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</si>
  <si>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</si>
  <si>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</si>
  <si>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</si>
  <si>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</si>
  <si>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</si>
  <si>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</si>
  <si>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</si>
  <si>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</si>
  <si>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</si>
  <si>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</si>
  <si>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</si>
  <si>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</si>
  <si>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</si>
  <si>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</si>
  <si>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</si>
  <si>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</si>
  <si>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</si>
  <si>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</si>
  <si>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</si>
  <si>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</si>
  <si>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</si>
  <si>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</si>
  <si>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</si>
  <si>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</si>
  <si>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</si>
  <si>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</si>
  <si>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</si>
  <si>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</si>
  <si>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</si>
  <si>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</si>
  <si>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</si>
  <si>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</si>
  <si>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</si>
  <si>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</si>
  <si>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</si>
  <si>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</si>
  <si>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</si>
  <si>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</si>
  <si>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</si>
  <si>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</si>
  <si>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</si>
  <si>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</si>
  <si>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</si>
  <si>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</si>
  <si>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</si>
  <si>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</si>
  <si>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</si>
  <si>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</si>
  <si>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</si>
  <si>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</si>
  <si>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</si>
  <si>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C:\Users\eloi.verge\OneDrive - EUROLEAGUE\Desktop\GAME REPORTS\25-26</t>
  </si>
  <si>
    <t>DJAMEL SOUDANI</t>
  </si>
  <si>
    <t>CHRISTIAN MOLLET</t>
  </si>
  <si>
    <t>BASTIEN BONNETON</t>
  </si>
  <si>
    <t>PIERRE BERNARDO</t>
  </si>
  <si>
    <t>SANDRA PRINCELLE</t>
  </si>
  <si>
    <t>BRIAN PETER</t>
  </si>
  <si>
    <t>ELOI VERGÉ</t>
  </si>
  <si>
    <t>05:47</t>
  </si>
  <si>
    <t>07:29</t>
  </si>
  <si>
    <t>03:07</t>
  </si>
  <si>
    <t>02:00</t>
  </si>
  <si>
    <t>07:54</t>
  </si>
  <si>
    <t>03:29</t>
  </si>
  <si>
    <t>Very good job! Just remember to do not start time too early so tip-off time is the same or later than scheduled time.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</si>
</sst>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15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15_144_PRS_ZAL_E2025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144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46002.864583333336</v>
      </c>
      <c r="C3" s="157"/>
      <c r="D3" s="39">
        <v>694</v>
      </c>
      <c r="E3" s="29"/>
      <c r="F3" s="26">
        <f>SUBTOTAL(3,I17:I106)</f>
        <v>6</v>
      </c>
      <c r="G3" s="27">
        <f>IF(OR(D3="",D3=0),"",F3/D3)</f>
        <v>8.6455331412103754E-3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Paris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742</v>
      </c>
      <c r="L4" s="5"/>
      <c r="M4" s="167" t="s">
        <v>763</v>
      </c>
      <c r="N4" s="168"/>
      <c r="O4" s="2"/>
      <c r="P4" s="2"/>
      <c r="Q4" s="84" t="s">
        <v>175</v>
      </c>
      <c r="R4" s="94">
        <f>(IF(G3="",0,G3))</f>
        <v>8.6455331412103754E-3</v>
      </c>
      <c r="S4" s="61">
        <f>SUM(I13:M13)</f>
        <v>0</v>
      </c>
      <c r="T4" s="78"/>
      <c r="U4" s="61">
        <f>AC18</f>
        <v>3</v>
      </c>
      <c r="V4" s="61">
        <f>+AC22</f>
        <v>0</v>
      </c>
      <c r="W4" s="61">
        <f>AC24</f>
        <v>0</v>
      </c>
      <c r="X4" s="61">
        <f>AC29</f>
        <v>2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Zalgiris Kaunas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ZAL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0.86455331412103753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0</v>
      </c>
      <c r="W5" s="70">
        <f t="shared" si="1"/>
        <v>0</v>
      </c>
      <c r="X5" s="70">
        <f t="shared" si="1"/>
        <v>2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6.8645533141210375</v>
      </c>
      <c r="N7" s="58"/>
      <c r="O7" s="2"/>
      <c r="P7" s="2"/>
      <c r="Q7" s="86">
        <f>SUM(R5,S5,AC16)</f>
        <v>6.8645533141210375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6.8645533141210375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144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6</v>
      </c>
      <c r="K15" s="24">
        <f>SUBTOTAL(3,K17:K106)</f>
        <v>6</v>
      </c>
      <c r="L15" s="24">
        <f>SUBTOTAL(3,L17:L106)</f>
        <v>6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6</v>
      </c>
      <c r="Z16" s="90" t="s">
        <v>110</v>
      </c>
      <c r="AA16" s="75">
        <f>SUM(AA17:AA24)</f>
        <v>6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6</v>
      </c>
      <c r="AD16" s="75">
        <f>SUM(AD17:AD24)</f>
        <v>45</v>
      </c>
      <c r="AE16" s="76" t="s">
        <v>42</v>
      </c>
      <c r="AF16" s="75">
        <f>SUM(AF17:AF24)</f>
        <v>5</v>
      </c>
      <c r="AG16" s="75">
        <f>SUM(AG17:AG21)</f>
        <v>6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144</v>
      </c>
      <c r="D17" s="32" t="s">
        <v>757</v>
      </c>
      <c r="E17" s="33">
        <v>1</v>
      </c>
      <c r="F17" s="36">
        <v>12</v>
      </c>
      <c r="G17" s="36">
        <v>11</v>
      </c>
      <c r="H17" s="38" t="str">
        <f>IF(I17="","",$I$14)</f>
        <v>SCOUTING</v>
      </c>
      <c r="I17" s="34">
        <v>81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6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144</v>
      </c>
      <c r="D18" s="32" t="s">
        <v>758</v>
      </c>
      <c r="E18" s="33">
        <v>2</v>
      </c>
      <c r="F18" s="36">
        <v>37</v>
      </c>
      <c r="G18" s="36">
        <v>36</v>
      </c>
      <c r="H18" s="38" t="str">
        <f t="shared" ref="H18:H81" si="8">IF(I18="","",$I$14)</f>
        <v>SCOUTING</v>
      </c>
      <c r="I18" s="34">
        <v>236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144</v>
      </c>
      <c r="D19" s="32" t="s">
        <v>759</v>
      </c>
      <c r="E19" s="33">
        <v>2</v>
      </c>
      <c r="F19" s="36">
        <v>49</v>
      </c>
      <c r="G19" s="36">
        <v>41</v>
      </c>
      <c r="H19" s="38" t="str">
        <f t="shared" si="8"/>
        <v>SCOUTING</v>
      </c>
      <c r="I19" s="34">
        <v>320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144</v>
      </c>
      <c r="D20" s="32" t="s">
        <v>760</v>
      </c>
      <c r="E20" s="33">
        <v>2</v>
      </c>
      <c r="F20" s="36">
        <v>51</v>
      </c>
      <c r="G20" s="36">
        <v>41</v>
      </c>
      <c r="H20" s="38" t="str">
        <f t="shared" si="8"/>
        <v>SCOUTING</v>
      </c>
      <c r="I20" s="34">
        <v>341</v>
      </c>
      <c r="J20" s="13" t="s">
        <v>4</v>
      </c>
      <c r="K20" s="13" t="s">
        <v>63</v>
      </c>
      <c r="L20" s="13" t="s">
        <v>7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144</v>
      </c>
      <c r="D21" s="32" t="s">
        <v>761</v>
      </c>
      <c r="E21" s="33">
        <v>3</v>
      </c>
      <c r="F21" s="36">
        <v>59</v>
      </c>
      <c r="G21" s="36">
        <v>55</v>
      </c>
      <c r="H21" s="38" t="str">
        <f t="shared" si="8"/>
        <v>SCOUTING</v>
      </c>
      <c r="I21" s="34">
        <v>409</v>
      </c>
      <c r="J21" s="13" t="s">
        <v>4</v>
      </c>
      <c r="K21" s="13" t="s">
        <v>61</v>
      </c>
      <c r="L21" s="13" t="s">
        <v>75</v>
      </c>
      <c r="M21" s="13" t="s">
        <v>24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144</v>
      </c>
      <c r="D22" s="32" t="s">
        <v>762</v>
      </c>
      <c r="E22" s="33">
        <v>4</v>
      </c>
      <c r="F22" s="36">
        <v>95</v>
      </c>
      <c r="G22" s="36">
        <v>95</v>
      </c>
      <c r="H22" s="38" t="str">
        <f t="shared" si="8"/>
        <v>SCOUTING</v>
      </c>
      <c r="I22" s="34">
        <v>608</v>
      </c>
      <c r="J22" s="13" t="s">
        <v>4</v>
      </c>
      <c r="K22" s="13" t="s">
        <v>62</v>
      </c>
      <c r="L22" s="13" t="s">
        <v>75</v>
      </c>
      <c r="M22" s="13" t="s">
        <v>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1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2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REPORT_E2025144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"E2025144"</v>
      </c>
      <c r="F3" s="45" t="str">
        <f t="shared" ref="F3:F16" si="0">""""&amp;B3&amp;"""" &amp; " : " &amp;C3&amp;","</f>
        <v>"name" : "E2025144",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"E144"</v>
      </c>
      <c r="F4" s="45" t="str">
        <f t="shared" si="0"/>
        <v>"cod" : "E144",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144</v>
      </c>
      <c r="F6" s="45" t="str">
        <f t="shared" si="0"/>
        <v>"number" : 144,</v>
      </c>
    </row>
    <row r="7" spans="2:6" x14ac:dyDescent="0.25">
      <c r="B7" s="43" t="s">
        <v>116</v>
      </c>
      <c r="C7" s="43" t="str">
        <f ca="1">""""&amp;TEXT('SCOUT &amp; LOGISTICS'!B3,"dd/mm/aaaa")&amp;""""</f>
        <v>"11/12/2025"</v>
      </c>
      <c r="F7" s="45" t="str">
        <f t="shared" ca="1" si="0"/>
        <v>"date" : "11/12/2025",</v>
      </c>
    </row>
    <row r="8" spans="2:6" x14ac:dyDescent="0.25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5">
      <c r="B9" s="43" t="s">
        <v>126</v>
      </c>
      <c r="C9" s="43" t="str">
        <f>""""&amp;'SCOUT &amp; LOGISTICS'!D5&amp;""""</f>
        <v>"Zalgiris Kaunas"</v>
      </c>
      <c r="F9" s="45" t="str">
        <f t="shared" si="0"/>
        <v>"away_team" : "Zalgiris Kaunas",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"DJAMEL SOUDANI"</v>
      </c>
      <c r="F10" s="45" t="str">
        <f t="shared" si="0"/>
        <v>"Data_entry" : "DJAMEL SOUDANI",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"CHRISTIAN MOLLET"</v>
      </c>
      <c r="F11" s="45" t="str">
        <f t="shared" si="0"/>
        <v>"Caller_1" : "CHRISTIAN MOLLET",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"BASTIEN BONNETON"</v>
      </c>
      <c r="F12" s="45" t="str">
        <f t="shared" si="0"/>
        <v>"Caller_2" : "BASTIEN BONNETON",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"PIERRE BERNARDO"</v>
      </c>
      <c r="F13" s="45" t="str">
        <f t="shared" si="0"/>
        <v>"Timerkeeper" : "PIERRE BERNARDO",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"SANDRA PRINCELLE"</v>
      </c>
      <c r="F14" s="45" t="str">
        <f t="shared" si="0"/>
        <v>"Shotclock" : "SANDRA PRINCELLE",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"BRIAN PETER"</v>
      </c>
      <c r="F15" s="45" t="str">
        <f t="shared" si="0"/>
        <v>"IRS" : "BRIAN PETER",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694</v>
      </c>
      <c r="F25" s="45" t="str">
        <f t="shared" ref="F25:F48" si="1">""""&amp;C25&amp;"""" &amp; " : " &amp;D25&amp;","</f>
        <v>"total_actions" : 694,</v>
      </c>
    </row>
    <row r="26" spans="2:6" x14ac:dyDescent="0.25">
      <c r="C26" s="43" t="s">
        <v>132</v>
      </c>
      <c r="D26" s="43">
        <f>'SCOUT &amp; LOGISTICS'!F3</f>
        <v>6</v>
      </c>
      <c r="F26" s="45" t="str">
        <f t="shared" si="1"/>
        <v>"total_correcions" : 6,</v>
      </c>
    </row>
    <row r="27" spans="2:6" x14ac:dyDescent="0.25">
      <c r="C27" s="43" t="s">
        <v>133</v>
      </c>
      <c r="D27" s="43" t="str">
        <f>""""&amp;IF(OR(D25="",D25=0),"",TEXT(D26/D25,"0,0%"))&amp;""""</f>
        <v>"0,9%"</v>
      </c>
      <c r="F27" s="45" t="str">
        <f t="shared" si="1"/>
        <v>"%_corrections" : "0,9%",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6</v>
      </c>
      <c r="F37" s="45" t="str">
        <f t="shared" si="1"/>
        <v>"scoresheet_corrections" : 6,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Just remember to do not start time too early so tip-off time is the same or later than scheduled time."</v>
      </c>
      <c r="F51" s="45" t="str">
        <f>""""&amp;B51&amp;"""" &amp; " : " &amp;C51&amp;","</f>
        <v>"comments" : "Very good job! Just remember to do not start time too early so tip-off time is the same or later than scheduled time.",</v>
      </c>
    </row>
    <row r="52" spans="2:6" x14ac:dyDescent="0.25">
      <c r="B52" s="43" t="s">
        <v>153</v>
      </c>
      <c r="C52" s="43" t="str">
        <f>TEXT('SCOUT &amp; LOGISTICS'!F1,"0,0")</f>
        <v>15_144_PRS_ZAL_E2025</v>
      </c>
      <c r="F52" s="45" t="str">
        <f>""""&amp;B52&amp;"""" &amp; " : " &amp;C52</f>
        <v>"result" : 15_144_PRS_ZAL_E2025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E144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11/12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Paris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Zalgiris Kaunas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DJAMEL SOUDANI</v>
      </c>
      <c r="C8" s="206"/>
      <c r="D8" s="206"/>
      <c r="E8" s="206"/>
      <c r="F8" s="206"/>
      <c r="G8" s="206" t="str">
        <f>IF('SCOUT &amp; LOGISTICS'!D7="","",'SCOUT &amp; LOGISTICS'!D7)</f>
        <v>CHRISTIAN MOLLET</v>
      </c>
      <c r="H8" s="206"/>
      <c r="I8" s="206"/>
      <c r="J8" s="206"/>
      <c r="K8" s="206"/>
      <c r="L8" s="206" t="str">
        <f>IF('SCOUT &amp; LOGISTICS'!D8="","",'SCOUT &amp; LOGISTICS'!D8)</f>
        <v>BASTIEN BONNETON</v>
      </c>
      <c r="M8" s="206"/>
      <c r="N8" s="206"/>
      <c r="O8" s="206"/>
      <c r="P8" s="206"/>
      <c r="Q8" s="206" t="str">
        <f>IF('SCOUT &amp; LOGISTICS'!D9="","",'SCOUT &amp; LOGISTICS'!D9)</f>
        <v>PIERRE BERNARDO</v>
      </c>
      <c r="R8" s="206"/>
      <c r="S8" s="206"/>
      <c r="T8" s="206"/>
      <c r="U8" s="206"/>
      <c r="V8" s="206" t="str">
        <f>IF('SCOUT &amp; LOGISTICS'!D10="","",'SCOUT &amp; LOGISTICS'!D10)</f>
        <v>SANDRA PRINCELLE</v>
      </c>
      <c r="W8" s="206"/>
      <c r="X8" s="206"/>
      <c r="Y8" s="206"/>
      <c r="Z8" s="206"/>
      <c r="AA8" s="206" t="str">
        <f>IF('SCOUT &amp; LOGISTICS'!D11="","",'SCOUT &amp; LOGISTICS'!D11)</f>
        <v>BRIAN PETER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VERGÉ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694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6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8.6455331412103754E-3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4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3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6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2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Very good job! Just remember to do not start time too early so tip-off time is the same or later than scheduled time.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6.8645533141210375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9" ma:contentTypeDescription="Crear nuevo documento." ma:contentTypeScope="" ma:versionID="82b4ecd05832a2e10ecd5df92eae08f0">
  <xsd:schema xmlns:xsd="http://www.w3.org/2001/XMLSchema" xmlns:xs="http://www.w3.org/2001/XMLSchema" xmlns:p="http://schemas.microsoft.com/office/2006/metadata/properties" xmlns:ns2="1694b618-8e81-416b-aa01-0d9b54a17456" targetNamespace="http://schemas.microsoft.com/office/2006/metadata/properties" ma:root="true" ma:fieldsID="94ee3831cee9b2fc13c63de3fa9ae141" ns2:_="">
    <xsd:import namespace="1694b618-8e81-416b-aa01-0d9b54a174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707C7D5-2C8C-4ECC-BC11-3BC9CB7D74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2025-12-12T15:16:13Z</cp:lastPrinted>
  <dcterms:created xsi:type="dcterms:W3CDTF">2023-09-19T19:50:35Z</dcterms:created>
  <dcterms:modified xsi:type="dcterms:W3CDTF">2025-12-12T15:16:15Z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