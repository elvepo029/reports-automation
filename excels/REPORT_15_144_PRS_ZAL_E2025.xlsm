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2" documentId="8_{CC1A71C3-57A2-4C0B-BFEF-49889E843E84}" xr6:coauthVersionLast="47" xr6:coauthVersionMax="47" xr10:uidLastSave="{1CB2ACD9-8F7C-4E37-9DDF-11487FA17818}"/>
  <bookViews>
    <workbookView xWindow="3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<sst xmlns="http://schemas.openxmlformats.org/spreadsheetml/2006/main" count="3235" uniqueCount="752">
  <si>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</si>
  <si>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</si>
  <si>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</si>
  <si>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</si>
  <si>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</si>
  <si>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</si>
  <si>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</si>
  <si>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</si>
  <si>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</si>
  <si>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</si>
  <si>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</si>
  <si>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</si>
  <si>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</si>
  <si>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</si>
  <si>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</si>
  <si>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</si>
  <si>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</si>
  <si>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</si>
  <si>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</si>
  <si>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</si>
  <si>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</si>
  <si>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</si>
  <si>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</si>
  <si>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</si>
  <si>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</si>
  <si>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</si>
  <si>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</si>
  <si>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</si>
  <si>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</si>
  <si>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</si>
  <si>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</si>
  <si>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</si>
  <si>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</si>
  <si>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</si>
  <si>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</si>
  <si>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</si>
  <si>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</si>
  <si>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</si>
  <si>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</si>
  <si>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</si>
  <si>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</si>
  <si>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</si>
  <si>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</si>
  <si>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</si>
  <si>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</si>
  <si>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</si>
  <si>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</si>
  <si>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</si>
  <si>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</si>
  <si>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</si>
  <si>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</si>
  <si>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</si>
  <si>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</si>
  <si>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</si>
  <si>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</si>
  <si>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</si>
  <si>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</si>
  <si>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</si>
  <si>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</si>
  <si>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</si>
  <si>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</si>
  <si>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</si>
  <si>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</si>
  <si>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</si>
  <si>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</si>
  <si>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</si>
  <si>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</si>
  <si>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</si>
  <si>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</si>
  <si>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</si>
  <si>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</si>
  <si>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</si>
  <si>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</si>
  <si>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</si>
  <si>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</si>
  <si>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</si>
  <si>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</si>
  <si>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</si>
  <si>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</si>
  <si>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</si>
  <si>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</si>
  <si>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</si>
  <si>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</si>
  <si>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</si>
  <si>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</si>
  <si>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</si>
  <si>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</si>
  <si>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</si>
  <si>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</si>
  <si>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</si>
  <si>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</si>
  <si>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</si>
  <si>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</si>
  <si>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</si>
  <si>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</si>
  <si>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</si>
  <si>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</si>
  <si>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</si>
  <si>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</si>
  <si>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</si>
  <si>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</si>
  <si>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</si>
  <si>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</si>
  <si>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</si>
  <si>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</si>
  <si>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</si>
  <si>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</si>
  <si>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</si>
  <si>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</si>
  <si>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</si>
  <si>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</si>
  <si>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</si>
  <si>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</si>
  <si>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</si>
  <si>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</si>
  <si>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</si>
  <si>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</si>
  <si>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</si>
  <si>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</si>
  <si>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</si>
  <si>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</si>
  <si>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</si>
  <si>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</si>
  <si>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</si>
  <si>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</si>
  <si>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</si>
  <si>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</si>
  <si>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</si>
  <si>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</si>
  <si>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</si>
  <si>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</si>
  <si>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</si>
  <si>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</si>
  <si>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</si>
  <si>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</si>
  <si>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</si>
  <si>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</si>
  <si>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</si>
  <si>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</si>
  <si>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</si>
  <si>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</si>
  <si>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</si>
  <si>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</si>
  <si>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</si>
  <si>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</si>
  <si>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</si>
  <si>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</si>
  <si>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</si>
  <si>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</si>
  <si>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</si>
  <si>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</si>
  <si>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</si>
  <si>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</si>
  <si>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</si>
  <si>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</si>
  <si>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</si>
  <si>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</si>
  <si>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</si>
  <si>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</si>
  <si>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</si>
  <si>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</si>
  <si>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</si>
  <si>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</si>
  <si>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</si>
  <si>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</si>
  <si>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</si>
  <si>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</si>
  <si>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</si>
  <si>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</si>
  <si>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</si>
  <si>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</si>
  <si>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</si>
  <si>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</si>
  <si>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</si>
  <si>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</si>
  <si>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</si>
  <si>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</si>
  <si>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</si>
  <si>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</si>
  <si>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</si>
  <si>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</si>
  <si>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</si>
  <si>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</si>
  <si>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</si>
  <si>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</si>
  <si>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</si>
  <si>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</si>
  <si>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</si>
  <si>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</si>
  <si>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</si>
  <si>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</si>
  <si>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</si>
  <si>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</si>
  <si>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</si>
  <si>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</si>
  <si>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</si>
  <si>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</si>
  <si>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</si>
  <si>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</si>
  <si>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</si>
  <si>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</si>
  <si>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</si>
  <si>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</si>
  <si>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</si>
  <si>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</si>
  <si>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</si>
  <si>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</si>
  <si>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</si>
  <si>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</si>
  <si>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</si>
  <si>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</si>
  <si>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</si>
  <si>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</si>
  <si>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</si>
  <si>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</si>
  <si>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</si>
  <si>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</si>
  <si>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</si>
  <si>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</si>
  <si>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</si>
  <si>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</si>
  <si>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</si>
  <si>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</si>
  <si>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</si>
  <si>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</si>
  <si>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</si>
  <si>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</si>
  <si>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</si>
  <si>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</si>
  <si>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</si>
  <si>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</si>
  <si>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</si>
  <si>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</si>
  <si>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</si>
  <si>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</si>
  <si>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</si>
  <si>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</si>
  <si>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</si>
  <si>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</si>
  <si>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</si>
  <si>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</si>
  <si>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</si>
  <si>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</si>
  <si>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</si>
  <si>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</si>
  <si>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</si>
  <si>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</si>
  <si>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</si>
  <si>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</si>
  <si>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</si>
  <si>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</si>
  <si>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</si>
  <si>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</si>
  <si>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</si>
  <si>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</si>
  <si>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</si>
  <si>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</si>
  <si>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</si>
  <si>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</si>
  <si>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</si>
  <si>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</si>
  <si>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</si>
  <si>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</si>
  <si>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</si>
  <si>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</si>
  <si>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</si>
  <si>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</si>
  <si>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</si>
  <si>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</si>
  <si>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</si>
  <si>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</si>
  <si>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</si>
  <si>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</si>
  <si>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</si>
  <si>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</si>
  <si>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</si>
  <si>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</si>
  <si>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</si>
  <si>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</si>
  <si>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</si>
  <si>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</si>
  <si>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</si>
  <si>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</si>
  <si>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</si>
  <si>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</si>
  <si>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</si>
  <si>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</si>
  <si>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</si>
  <si>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</si>
  <si>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</si>
  <si>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</si>
  <si>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</si>
  <si>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</si>
  <si>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</si>
  <si>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</si>
  <si>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</si>
  <si>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</si>
  <si>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</si>
  <si>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</si>
  <si>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</si>
  <si>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</si>
  <si>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</si>
  <si>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</si>
  <si>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</si>
  <si>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</si>
  <si>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</si>
  <si>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</si>
  <si>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</si>
  <si>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</si>
  <si>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</si>
  <si>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</si>
  <si>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</si>
  <si>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</si>
  <si>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</si>
  <si>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</si>
  <si>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</si>
  <si>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</si>
  <si>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</si>
  <si>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</si>
  <si>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</si>
  <si>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</si>
  <si>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</si>
  <si>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</si>
  <si>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</si>
  <si>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</si>
  <si>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</si>
  <si>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</si>
  <si>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</si>
  <si>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</si>
  <si>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</si>
  <si>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</si>
  <si>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</si>
  <si>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</si>
  <si>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</si>
  <si>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</si>
  <si>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</si>
  <si>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</si>
  <si>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</si>
  <si>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</si>
  <si>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</si>
  <si>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</si>
  <si>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</si>
  <si>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</si>
  <si>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</si>
  <si>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</si>
  <si>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</si>
  <si>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</si>
  <si>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</si>
  <si>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</si>
  <si>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</si>
  <si>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</si>
  <si>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</si>
  <si>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</si>
  <si>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</si>
  <si>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</si>
  <si>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</si>
  <si>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</si>
  <si>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</si>
  <si>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</si>
  <si>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</si>
  <si>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</si>
  <si>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</si>
  <si>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</si>
  <si>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</si>
  <si>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</si>
  <si>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</si>
  <si>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</si>
  <si>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</si>
  <si>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</si>
  <si>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</si>
  <si>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</si>
  <si>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</si>
  <si>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</si>
  <si>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</si>
  <si>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</si>
  <si>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</si>
  <si>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</si>
  <si>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</si>
  <si>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</si>
  <si>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</si>
  <si>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</si>
  <si>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</si>
  <si>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</si>
  <si>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</si>
  <si>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</si>
  <si>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</si>
  <si>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</si>
  <si>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</si>
  <si>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</si>
  <si>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</si>
  <si>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</si>
  <si>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</si>
  <si>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</si>
  <si>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</si>
  <si>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</si>
  <si>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</si>
  <si>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</si>
  <si>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</si>
  <si>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</si>
  <si>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</si>
  <si>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</si>
  <si>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</si>
  <si>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</si>
  <si>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</si>
  <si>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</si>
  <si>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</si>
  <si>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</si>
  <si>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</si>
  <si>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</si>
  <si>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</si>
  <si>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</si>
  <si>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</si>
  <si>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</si>
  <si>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</si>
  <si>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</si>
  <si>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</si>
  <si>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</si>
  <si>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</si>
  <si>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</si>
  <si>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</si>
  <si>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</si>
  <si>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</si>
  <si>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</si>
  <si>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</si>
  <si>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</si>
  <si>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</si>
  <si>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</si>
  <si>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</si>
  <si>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</si>
  <si>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</si>
  <si>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</si>
  <si>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</si>
  <si>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</si>
  <si>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</si>
  <si>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</si>
  <si>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</si>
  <si>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</si>
  <si>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</si>
  <si>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</si>
  <si>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</si>
  <si>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</si>
  <si>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</si>
  <si>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</si>
  <si>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</si>
  <si>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</si>
  <si>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</si>
  <si>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</si>
  <si>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</si>
  <si>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</si>
  <si>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</si>
  <si>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</si>
  <si>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</si>
  <si>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</si>
  <si>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</si>
  <si>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</si>
  <si>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</si>
  <si>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</si>
  <si>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</si>
  <si>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</si>
  <si>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</si>
  <si>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</si>
  <si>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</si>
  <si>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</si>
  <si>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</si>
  <si>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</si>
  <si>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</si>
  <si>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</si>
  <si>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</si>
  <si>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</si>
  <si>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</si>
  <si>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</si>
  <si>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</si>
  <si>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</si>
  <si>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</si>
  <si>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</si>
  <si>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</si>
  <si>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</si>
  <si>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</si>
  <si>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</si>
  <si>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</si>
  <si>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</si>
  <si>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</si>
  <si>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</si>
  <si>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</si>
  <si>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</si>
  <si>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</si>
  <si>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</si>
  <si>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</si>
  <si>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</si>
  <si>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</si>
  <si>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</si>
  <si>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</si>
  <si>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</si>
  <si>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</si>
  <si>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</si>
  <si>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</si>
  <si>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</si>
  <si>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</si>
  <si>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</si>
  <si>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</si>
  <si>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</si>
  <si>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</si>
  <si>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</si>
  <si>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</si>
  <si>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</si>
  <si>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</si>
  <si>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</si>
  <si>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</si>
  <si>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</si>
  <si>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</si>
  <si>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</si>
  <si>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</si>
  <si>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</si>
  <si>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</si>
  <si>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</si>
  <si>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</si>
  <si>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</si>
  <si>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</si>
  <si>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</si>
  <si>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</si>
  <si>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</si>
  <si>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</si>
  <si>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</si>
  <si>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</si>
  <si>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</si>
  <si>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</si>
  <si>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</si>
  <si>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</si>
  <si>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</si>
  <si>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</si>
  <si>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</si>
  <si>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</si>
  <si>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</si>
  <si>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</si>
  <si>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</si>
  <si>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</si>
  <si>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</si>
  <si>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</si>
  <si>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</si>
  <si>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</si>
  <si>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</si>
  <si>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</si>
  <si>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</si>
  <si>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</si>
  <si>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</si>
  <si>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</si>
  <si>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</si>
  <si>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</si>
  <si>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</si>
  <si>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</si>
  <si>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</si>
  <si>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</si>
  <si>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</si>
  <si>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</si>
  <si>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</si>
  <si>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</si>
  <si>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</si>
  <si>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</si>
  <si>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</si>
  <si>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</si>
  <si>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</si>
  <si>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</si>
  <si>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</si>
  <si>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</si>
  <si>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</si>
  <si>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</si>
  <si>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</si>
  <si>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</si>
  <si>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</si>
  <si>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</si>
  <si>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</si>
  <si>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</si>
  <si>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</si>
  <si>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</si>
  <si>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</si>
  <si>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</si>
  <si>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</si>
  <si>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</si>
  <si>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</si>
  <si>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</si>
  <si>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</si>
  <si>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</si>
  <si>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</si>
  <si>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</si>
  <si>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</si>
  <si>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</si>
  <si>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</si>
  <si>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</si>
  <si>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</si>
  <si>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</si>
  <si>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</si>
  <si>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</si>
  <si>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</si>
  <si>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</si>
  <si>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</si>
  <si>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</si>
  <si>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</si>
  <si>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</si>
  <si>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</si>
  <si>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</si>
  <si>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</si>
  <si>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</si>
  <si>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</si>
  <si>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</si>
  <si>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</si>
  <si>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</si>
  <si>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</si>
  <si>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</si>
  <si>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</si>
  <si>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</si>
  <si>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</si>
  <si>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</si>
  <si>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</si>
  <si>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</si>
  <si>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</si>
  <si>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</si>
  <si>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</si>
  <si>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</si>
  <si>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</si>
  <si>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</si>
  <si>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</si>
  <si>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</si>
  <si>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</si>
  <si>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</si>
  <si>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</si>
  <si>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</si>
  <si>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</si>
  <si>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</si>
  <si>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</si>
  <si>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</si>
  <si>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</si>
  <si>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</si>
  <si>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</si>
  <si>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</si>
  <si>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</si>
  <si>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</si>
  <si>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</si>
  <si>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</si>
  <si>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</si>
  <si>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</si>
  <si>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</si>
  <si>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</si>
  <si>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</si>
  <si>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</si>
  <si>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</si>
  <si>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</si>
  <si>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</si>
  <si>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</si>
  <si>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</si>
  <si>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</si>
  <si>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</si>
  <si>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</si>
  <si>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</si>
  <si>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</si>
  <si>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</si>
  <si>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</si>
  <si>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</si>
  <si>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</si>
  <si>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</si>
  <si>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</si>
  <si>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</si>
  <si>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</si>
  <si>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</si>
  <si>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</si>
  <si>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</si>
  <si>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</si>
  <si>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</si>
  <si>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</si>
  <si>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</si>
  <si>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</si>
  <si>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</si>
  <si>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</si>
  <si>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</si>
  <si>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</si>
  <si>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</si>
  <si>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</si>
  <si>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</si>
  <si>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</si>
  <si>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</si>
  <si>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</si>
  <si>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</si>
  <si>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</si>
  <si>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</si>
  <si>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</si>
  <si>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</si>
  <si>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</si>
  <si>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</si>
  <si>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</si>
  <si>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</si>
  <si>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</si>
  <si>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</si>
  <si>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</si>
  <si>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</si>
  <si>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</si>
  <si>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</si>
  <si>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</si>
  <si>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</si>
  <si>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</si>
  <si>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</si>
  <si>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</si>
  <si>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</si>
  <si>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</si>
  <si>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</si>
  <si>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</si>
  <si>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</si>
  <si>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</si>
  <si>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</si>
  <si>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</si>
  <si>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</si>
  <si>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</si>
  <si>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</si>
  <si>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</si>
  <si>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</si>
  <si>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</si>
  <si>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</si>
  <si>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</si>
  <si>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</si>
  <si>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</si>
  <si>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</si>
  <si>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</si>
  <si>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</si>
  <si>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</si>
  <si>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</si>
  <si>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</si>
  <si>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</si>
  <si>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</si>
  <si>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</si>
  <si>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</si>
  <si>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</si>
  <si>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</si>
  <si>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</si>
  <si>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</si>
  <si>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</si>
  <si>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</si>
  <si>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</si>
  <si>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</si>
  <si>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</si>
  <si>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</si>
  <si>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</si>
  <si>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</si>
  <si>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</si>
  <si>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</si>
  <si>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</si>
  <si>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</si>
  <si>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</si>
  <si>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</si>
  <si>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</si>
  <si>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</si>
  <si>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</si>
  <si>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</si>
  <si>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</si>
  <si>
    <t>C:\Users\eloi.verge\OneDrive - EUROLEAGUE\Desktop\GAME REPORTS\25-26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</si>
</sst>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K1" sqref="K1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15</v>
      </c>
      <c r="D1" s="124" t="s">
        <v>750</v>
      </c>
      <c r="E1" s="125">
        <v>2025</v>
      </c>
      <c r="F1" s="120" t="str">
        <f>TEXT(C1,"00") &amp; "_" &amp; TEXT(C2,"000")&amp; "_" &amp; H4 &amp; "_" &amp; H5 &amp; "_" &amp; B2</f>
        <v>15_144_PRS_ZAL_E2025</v>
      </c>
      <c r="G1" s="5"/>
      <c r="H1" s="5"/>
      <c r="I1" s="5"/>
      <c r="J1" s="8" t="s">
        <v>707</v>
      </c>
      <c r="K1" s="121" t="s">
        <v>751</v>
      </c>
      <c r="L1" s="121"/>
      <c r="M1" s="122" t="s">
        <v>239</v>
      </c>
      <c r="N1" s="121" t="s">
        <v>751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144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46002.864583333336</v>
      </c>
      <c r="C3" s="157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Paris Basketball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PRS</v>
      </c>
      <c r="I4" s="5"/>
      <c r="J4" s="119" t="s">
        <v>714</v>
      </c>
      <c r="K4" s="54" t="s">
        <v>742</v>
      </c>
      <c r="L4" s="5"/>
      <c r="M4" s="167" t="s">
        <v>749</v>
      </c>
      <c r="N4" s="168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Zalgiris Kaunas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ZAL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tr">
        <f>H7</f>
        <v>Data entry Name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tr">
        <f>I7</f>
        <v>Caller 1 Name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tr">
        <f>J7</f>
        <v>Caller 2 Name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tr">
        <f>K7</f>
        <v>Timerkeeper Name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tr">
        <f>L7</f>
        <v>Shotclock Name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tr">
        <f>M8</f>
        <v>IRS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748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3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REPORT_E2025144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"E2025144"</v>
      </c>
      <c r="F3" s="45" t="str">
        <f t="shared" ref="F3:F16" si="0">""""&amp;B3&amp;"""" &amp; " : " &amp;C3&amp;","</f>
        <v>"name" : "E2025144",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"E144"</v>
      </c>
      <c r="F4" s="45" t="str">
        <f t="shared" si="0"/>
        <v>"cod" : "E144",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144</v>
      </c>
      <c r="F6" s="45" t="str">
        <f t="shared" si="0"/>
        <v>"number" : 144,</v>
      </c>
    </row>
    <row r="7" spans="2:6" x14ac:dyDescent="0.25">
      <c r="B7" s="43" t="s">
        <v>116</v>
      </c>
      <c r="C7" s="43" t="str">
        <f ca="1">""""&amp;TEXT('SCOUT &amp; LOGISTICS'!B3,"dd/mm/aaaa")&amp;""""</f>
        <v>"11/12/2025"</v>
      </c>
      <c r="F7" s="45" t="str">
        <f t="shared" ca="1" si="0"/>
        <v>"date" : "11/12/2025",</v>
      </c>
    </row>
    <row r="8" spans="2:6" x14ac:dyDescent="0.25">
      <c r="B8" s="43" t="s">
        <v>125</v>
      </c>
      <c r="C8" s="43" t="str">
        <f>""""&amp;'SCOUT &amp; LOGISTICS'!D4 &amp;""""</f>
        <v>"Paris Basketball"</v>
      </c>
      <c r="F8" s="45" t="str">
        <f t="shared" si="0"/>
        <v>"home_team" : "Paris Basketball",</v>
      </c>
    </row>
    <row r="9" spans="2:6" x14ac:dyDescent="0.25">
      <c r="B9" s="43" t="s">
        <v>126</v>
      </c>
      <c r="C9" s="43" t="str">
        <f>""""&amp;'SCOUT &amp; LOGISTICS'!D5&amp;""""</f>
        <v>"Zalgiris Kaunas"</v>
      </c>
      <c r="F9" s="45" t="str">
        <f t="shared" si="0"/>
        <v>"away_team" : "Zalgiris Kaunas",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5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5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5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5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5">
      <c r="B52" s="43" t="s">
        <v>153</v>
      </c>
      <c r="C52" s="43" t="str">
        <f>TEXT('SCOUT &amp; LOGISTICS'!F1,"0,0")</f>
        <v>15_144_PRS_ZAL_E2025</v>
      </c>
      <c r="F52" s="45" t="str">
        <f>""""&amp;B52&amp;"""" &amp; " : " &amp;C52</f>
        <v>"result" : 15_144_PRS_ZAL_E2025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5.5" zeroHeight="1" x14ac:dyDescent="0.4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45"/>
    <row r="2" spans="1:33" ht="42.65" customHeight="1" thickBot="1" x14ac:dyDescent="0.5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5">
      <c r="A3" s="48"/>
      <c r="B3" s="208" t="str">
        <f>"GAME: "&amp; LEFT('SCOUT &amp; LOGISTICS'!B2,1) &amp; TEXT('SCOUT &amp; LOGISTICS'!C2,"000") &amp; " " &amp; IF(LEFT('SCOUT &amp; LOGISTICS'!B2,1)="U","(EUROCUP)","(EUROLEAGUE)")</f>
        <v>GAME: E144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5">
      <c r="A4" s="48"/>
      <c r="B4" s="194" t="str">
        <f ca="1">"DATE: " &amp; TEXT('SCOUT &amp; LOGISTICS'!B3,"dd/mm")</f>
        <v>DATE: 11/12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5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5">
      <c r="A6" s="48"/>
      <c r="B6" s="212" t="str">
        <f>PROPER('SCOUT &amp; LOGISTICS'!D4)</f>
        <v>Paris Basketball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Zalgiris Kaunas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5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5">
      <c r="A8" s="48"/>
      <c r="B8" s="206" t="str">
        <f>IF('SCOUT &amp; LOGISTICS'!D6="","",'SCOUT &amp; LOGISTICS'!D6)</f>
        <v>Data entry Name</v>
      </c>
      <c r="C8" s="206"/>
      <c r="D8" s="206"/>
      <c r="E8" s="206"/>
      <c r="F8" s="206"/>
      <c r="G8" s="206" t="str">
        <f>IF('SCOUT &amp; LOGISTICS'!D7="","",'SCOUT &amp; LOGISTICS'!D7)</f>
        <v>Caller 1 Name</v>
      </c>
      <c r="H8" s="206"/>
      <c r="I8" s="206"/>
      <c r="J8" s="206"/>
      <c r="K8" s="206"/>
      <c r="L8" s="206" t="str">
        <f>IF('SCOUT &amp; LOGISTICS'!D8="","",'SCOUT &amp; LOGISTICS'!D8)</f>
        <v>Caller 2 Name</v>
      </c>
      <c r="M8" s="206"/>
      <c r="N8" s="206"/>
      <c r="O8" s="206"/>
      <c r="P8" s="206"/>
      <c r="Q8" s="206" t="str">
        <f>IF('SCOUT &amp; LOGISTICS'!D9="","",'SCOUT &amp; LOGISTICS'!D9)</f>
        <v>Timerkeeper Name</v>
      </c>
      <c r="R8" s="206"/>
      <c r="S8" s="206"/>
      <c r="T8" s="206"/>
      <c r="U8" s="206"/>
      <c r="V8" s="206" t="str">
        <f>IF('SCOUT &amp; LOGISTICS'!D10="","",'SCOUT &amp; LOGISTICS'!D10)</f>
        <v>Shotclock Name</v>
      </c>
      <c r="W8" s="206"/>
      <c r="X8" s="206"/>
      <c r="Y8" s="206"/>
      <c r="Z8" s="206"/>
      <c r="AA8" s="206" t="str">
        <f>IF('SCOUT &amp; LOGISTICS'!D11="","",'SCOUT &amp; LOGISTICS'!D11)</f>
        <v>IRS</v>
      </c>
      <c r="AB8" s="206"/>
      <c r="AC8" s="206"/>
      <c r="AD8" s="206"/>
      <c r="AE8" s="206"/>
      <c r="AF8" s="48"/>
    </row>
    <row r="9" spans="1:33" ht="16" thickBot="1" x14ac:dyDescent="0.5">
      <c r="A9" s="48"/>
      <c r="B9" s="200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6" thickBot="1" x14ac:dyDescent="0.5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5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5">
      <c r="A13" s="48"/>
      <c r="B13" s="207" t="str">
        <f>IF('SCOUT &amp; LOGISTICS'!I12="","",'SCOUT &amp; LOGISTICS'!I12)</f>
        <v/>
      </c>
      <c r="C13" s="207"/>
      <c r="D13" s="207"/>
      <c r="E13" s="207"/>
      <c r="F13" s="207"/>
      <c r="G13" s="207"/>
      <c r="H13" s="207" t="str">
        <f>IF('SCOUT &amp; LOGISTICS'!J12="","",'SCOUT &amp; LOGISTICS'!J12)</f>
        <v/>
      </c>
      <c r="I13" s="207"/>
      <c r="J13" s="207"/>
      <c r="K13" s="207"/>
      <c r="L13" s="207"/>
      <c r="M13" s="207"/>
      <c r="N13" s="207" t="str">
        <f>IF('SCOUT &amp; LOGISTICS'!K12="","",'SCOUT &amp; LOGISTICS'!K12)</f>
        <v/>
      </c>
      <c r="O13" s="207"/>
      <c r="P13" s="207"/>
      <c r="Q13" s="207"/>
      <c r="R13" s="207"/>
      <c r="S13" s="207"/>
      <c r="T13" s="207" t="str">
        <f>IF('SCOUT &amp; LOGISTICS'!L12="","",'SCOUT &amp; LOGISTICS'!L12)</f>
        <v/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6" thickBot="1" x14ac:dyDescent="0.5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5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5">
      <c r="A17" s="48"/>
      <c r="B17" s="204">
        <f>'SCOUT &amp; LOGISTICS'!D3</f>
        <v>0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0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 t="str">
        <f>IF(OR(B17="",B17=0),"",L17/B17)</f>
        <v/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6" thickBot="1" x14ac:dyDescent="0.5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5">
      <c r="A20" s="48"/>
      <c r="B20" s="197">
        <f>IF('SCOUT &amp; LOGISTICS'!AA17="","",'SCOUT &amp; LOGISTICS'!AA17)</f>
        <v>0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0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5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6" thickBot="1" x14ac:dyDescent="0.5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5">
      <c r="A25" s="48"/>
      <c r="B25" s="197">
        <f>'SCOUT &amp; LOGISTICS'!Y17</f>
        <v>0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5">
      <c r="A27" s="48"/>
      <c r="B27" s="197">
        <f>'SCOUT &amp; LOGISTICS'!AC18</f>
        <v>0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5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6" thickBot="1" x14ac:dyDescent="0.5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5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5">
      <c r="A32" s="48"/>
      <c r="B32" s="195" t="str">
        <f>IF('SCOUT &amp; LOGISTICS'!M4="","",'SCOUT &amp; LOGISTICS'!M4)</f>
        <v>Very good job!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5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5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5">
      <c r="A35" s="48"/>
      <c r="B35" s="196">
        <f>'SCOUT &amp; LOGISTICS'!M7</f>
        <v>0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4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C09FC27-6CC7-41F3-9B44-DF7B9A235DE3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Eloi Vergé</cp:lastModifiedBy>
  <cp:lastPrinted>2025-10-09T17:11:09Z</cp:lastPrinted>
  <dcterms:created xsi:type="dcterms:W3CDTF">2023-09-19T19:50:35Z</dcterms:created>
  <dcterms:modified xsi:type="dcterms:W3CDTF">2025-12-12T15:03:19Z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