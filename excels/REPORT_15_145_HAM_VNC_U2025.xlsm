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cup/"/>
    </mc:Choice>
  </mc:AlternateContent>
  <xr:revisionPtr revIDLastSave="59" documentId="8_{5DE94D8E-FC9B-479D-9487-8C8F53A3C51C}" xr6:coauthVersionLast="47" xr6:coauthVersionMax="47" xr10:uidLastSave="{E2CBA148-1DB1-48A5-B967-140FE3E7CF4E}"/>
  <bookViews>
    <workbookView xWindow="-27090" yWindow="2460" windowWidth="21600" windowHeight="11175" xr2:uid="{00000000-000D-0000-FFFF-FFFF00000000}"/>
  </bookViews>
  <sheets>
    <sheet name="SCOUT &amp; LOGISTICS" sheetId="1" r:id="rId1"/>
    <sheet name="Teams" sheetId="5"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1" l="1"/>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<sst xmlns="http://schemas.openxmlformats.org/spreadsheetml/2006/main" count="3357" uniqueCount="839">
  <si>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</si>
  <si>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</si>
  <si>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</si>
  <si>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</si>
  <si>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</si>
  <si>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</si>
  <si>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</si>
  <si>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</si>
  <si>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</si>
  <si>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</si>
  <si>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</si>
  <si>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</si>
  <si>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</si>
  <si>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</si>
  <si>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</si>
  <si>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</si>
  <si>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</si>
  <si>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</si>
  <si>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</si>
  <si>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</si>
  <si>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</si>
  <si>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</si>
  <si>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</si>
  <si>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</si>
  <si>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</si>
  <si>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</si>
  <si>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</si>
  <si>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</si>
  <si>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</si>
  <si>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</si>
  <si>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</si>
  <si>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</si>
  <si>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</si>
  <si>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</si>
  <si>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</si>
  <si>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</si>
  <si>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</si>
  <si>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</si>
  <si>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</si>
  <si>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</si>
  <si>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</si>
  <si>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</si>
  <si>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</si>
  <si>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</si>
  <si>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</si>
  <si>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</si>
  <si>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</si>
  <si>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</si>
  <si>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</si>
  <si>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</si>
  <si>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</si>
  <si>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</si>
  <si>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</si>
  <si>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</si>
  <si>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</si>
  <si>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</si>
  <si>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</si>
  <si>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</si>
  <si>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</si>
  <si>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</si>
  <si>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</si>
  <si>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</si>
  <si>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</si>
  <si>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</si>
  <si>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</si>
  <si>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</si>
  <si>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</si>
  <si>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</si>
  <si>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</si>
  <si>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</si>
  <si>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</si>
  <si>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</si>
  <si>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</si>
  <si>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</si>
  <si>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</si>
  <si>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</si>
  <si>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</si>
  <si>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</si>
  <si>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</si>
  <si>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</si>
  <si>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</si>
  <si>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</si>
  <si>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</si>
  <si>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</si>
  <si>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</si>
  <si>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</si>
  <si>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</si>
  <si>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</si>
  <si>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</si>
  <si>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</si>
  <si>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</si>
  <si>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</si>
  <si>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</si>
  <si>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</si>
  <si>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</si>
  <si>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</si>
  <si>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</si>
  <si>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</si>
  <si>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</si>
  <si>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</si>
  <si>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</si>
  <si>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</si>
  <si>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</si>
  <si>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</si>
  <si>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</si>
  <si>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</si>
  <si>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</si>
  <si>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</si>
  <si>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</si>
  <si>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</si>
  <si>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</si>
  <si>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</si>
  <si>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</si>
  <si>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</si>
  <si>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</si>
  <si>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</si>
  <si>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</si>
  <si>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</si>
  <si>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</si>
  <si>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</si>
  <si>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</si>
  <si>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</si>
  <si>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</si>
  <si>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</si>
  <si>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</si>
  <si>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</si>
  <si>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</si>
  <si>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</si>
  <si>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</si>
  <si>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</si>
  <si>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</si>
  <si>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</si>
  <si>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</si>
  <si>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</si>
  <si>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</si>
  <si>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</si>
  <si>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</si>
  <si>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</si>
  <si>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</si>
  <si>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</si>
  <si>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</si>
  <si>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</si>
  <si>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</si>
  <si>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</si>
  <si>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</si>
  <si>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</si>
  <si>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</si>
  <si>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</si>
  <si>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</si>
  <si>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</si>
  <si>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</si>
  <si>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</si>
  <si>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</si>
  <si>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</si>
  <si>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</si>
  <si>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</si>
  <si>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</si>
  <si>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</si>
  <si>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</si>
  <si>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</si>
  <si>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</si>
  <si>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</si>
  <si>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</si>
  <si>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</si>
  <si>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</si>
  <si>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</si>
  <si>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</si>
  <si>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</si>
  <si>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</si>
  <si>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</si>
  <si>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</si>
  <si>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</si>
  <si>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</si>
  <si>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</si>
  <si>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</si>
  <si>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</si>
  <si>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</si>
  <si>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</si>
  <si>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</si>
  <si>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</si>
  <si>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</si>
  <si>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</si>
  <si>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</si>
  <si>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</si>
  <si>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</si>
  <si>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</si>
  <si>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</si>
  <si>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</si>
  <si>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</si>
  <si>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</si>
  <si>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</si>
  <si>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</si>
  <si>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</si>
  <si>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</si>
  <si>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</si>
  <si>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</si>
  <si>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</si>
  <si>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</si>
  <si>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</si>
  <si>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</si>
  <si>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</si>
  <si>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</si>
  <si>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</si>
  <si>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</si>
  <si>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</si>
  <si>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</si>
  <si>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</si>
  <si>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</si>
  <si>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</si>
  <si>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</si>
  <si>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</si>
  <si>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</si>
  <si>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</si>
  <si>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</si>
  <si>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</si>
  <si>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</si>
  <si>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</si>
  <si>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</si>
  <si>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</si>
  <si>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</si>
  <si>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</si>
  <si>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</si>
  <si>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</si>
  <si>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</si>
  <si>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</si>
  <si>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</si>
  <si>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</si>
  <si>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</si>
  <si>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</si>
  <si>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</si>
  <si>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</si>
  <si>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</si>
  <si>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</si>
  <si>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</si>
  <si>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</si>
  <si>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</si>
  <si>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</si>
  <si>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</si>
  <si>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</si>
  <si>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</si>
  <si>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</si>
  <si>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</si>
  <si>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</si>
  <si>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</si>
  <si>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</si>
  <si>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</si>
  <si>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</si>
  <si>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</si>
  <si>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</si>
  <si>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</si>
  <si>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</si>
  <si>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</si>
  <si>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</si>
  <si>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</si>
  <si>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</si>
  <si>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</si>
  <si>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</si>
  <si>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</si>
  <si>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</si>
  <si>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</si>
  <si>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</si>
  <si>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</si>
  <si>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</si>
  <si>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</si>
  <si>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</si>
  <si>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</si>
  <si>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</si>
  <si>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</si>
  <si>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</si>
  <si>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</si>
  <si>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</si>
  <si>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</si>
  <si>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</si>
  <si>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</si>
  <si>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</si>
  <si>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</si>
  <si>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</si>
  <si>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</si>
  <si>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</si>
  <si>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</si>
  <si>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</si>
  <si>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</si>
  <si>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</si>
  <si>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</si>
  <si>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</si>
  <si>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</si>
  <si>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</si>
  <si>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</si>
  <si>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</si>
  <si>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</si>
  <si>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</si>
  <si>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</si>
  <si>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</si>
  <si>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</si>
  <si>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</si>
  <si>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</si>
  <si>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</si>
  <si>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</si>
  <si>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</si>
  <si>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</si>
  <si>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</si>
  <si>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</si>
  <si>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</si>
  <si>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</si>
  <si>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</si>
  <si>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</si>
  <si>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</si>
  <si>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</si>
  <si>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</si>
  <si>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</si>
  <si>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</si>
  <si>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</si>
  <si>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</si>
  <si>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</si>
  <si>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</si>
  <si>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</si>
  <si>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</si>
  <si>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</si>
  <si>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</si>
  <si>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</si>
  <si>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</si>
  <si>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</si>
  <si>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</si>
  <si>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</si>
  <si>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</si>
  <si>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</si>
  <si>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</si>
  <si>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</si>
  <si>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</si>
  <si>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</si>
  <si>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</si>
  <si>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</si>
  <si>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</si>
  <si>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</si>
  <si>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</si>
  <si>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</si>
  <si>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</si>
  <si>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</si>
  <si>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</si>
  <si>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</si>
  <si>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</si>
  <si>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</si>
  <si>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</si>
  <si>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</si>
  <si>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</si>
  <si>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</si>
  <si>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</si>
  <si>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</si>
  <si>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</si>
  <si>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</si>
  <si>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</si>
  <si>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</si>
  <si>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</si>
  <si>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</si>
  <si>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</si>
  <si>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</si>
  <si>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</si>
  <si>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</si>
  <si>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</si>
  <si>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</si>
  <si>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</si>
  <si>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</si>
  <si>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</si>
  <si>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</si>
  <si>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</si>
  <si>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</si>
  <si>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</si>
  <si>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</si>
  <si>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</si>
  <si>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</si>
  <si>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</si>
  <si>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</si>
  <si>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</si>
  <si>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</si>
  <si>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</si>
  <si>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</si>
  <si>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</si>
  <si>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</si>
  <si>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</si>
  <si>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</si>
  <si>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</si>
  <si>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</si>
  <si>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</si>
  <si>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</si>
  <si>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</si>
  <si>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</si>
  <si>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</si>
  <si>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</si>
  <si>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</si>
  <si>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</si>
  <si>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</si>
  <si>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</si>
  <si>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</si>
  <si>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</si>
  <si>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</si>
  <si>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</si>
  <si>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</si>
  <si>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</si>
  <si>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</si>
  <si>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</si>
  <si>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</si>
  <si>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</si>
  <si>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</si>
  <si>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</si>
  <si>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</si>
  <si>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</si>
  <si>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</si>
  <si>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</si>
  <si>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</si>
  <si>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</si>
  <si>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</si>
  <si>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</si>
  <si>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</si>
  <si>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</si>
  <si>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</si>
  <si>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</si>
  <si>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</si>
  <si>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</si>
  <si>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</si>
  <si>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</si>
  <si>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</si>
  <si>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</si>
  <si>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</si>
  <si>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</si>
  <si>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</si>
  <si>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</si>
  <si>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</si>
  <si>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</si>
  <si>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</si>
  <si>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</si>
  <si>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</si>
  <si>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</si>
  <si>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</si>
  <si>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</si>
  <si>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</si>
  <si>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</si>
  <si>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</si>
  <si>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</si>
  <si>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</si>
  <si>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</si>
  <si>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</si>
  <si>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</si>
  <si>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</si>
  <si>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</si>
  <si>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</si>
  <si>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</si>
  <si>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</si>
  <si>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</si>
  <si>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</si>
  <si>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</si>
  <si>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</si>
  <si>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</si>
  <si>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</si>
  <si>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</si>
  <si>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</si>
  <si>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</si>
  <si>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</si>
  <si>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</si>
  <si>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</si>
  <si>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</si>
  <si>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</si>
  <si>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</si>
  <si>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</si>
  <si>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</si>
  <si>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</si>
  <si>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</si>
  <si>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</si>
  <si>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</si>
  <si>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</si>
  <si>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</si>
  <si>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</si>
  <si>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</si>
  <si>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</si>
  <si>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</si>
  <si>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</si>
  <si>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</si>
  <si>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</si>
  <si>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</si>
  <si>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</si>
  <si>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</si>
  <si>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</si>
  <si>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</si>
  <si>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</si>
  <si>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</si>
  <si>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</si>
  <si>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</si>
  <si>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</si>
  <si>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</si>
  <si>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</si>
  <si>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</si>
  <si>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</si>
  <si>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</si>
  <si>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</si>
  <si>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</si>
  <si>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</si>
  <si>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</si>
  <si>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</si>
  <si>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</si>
  <si>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</si>
  <si>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</si>
  <si>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</si>
  <si>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</si>
  <si>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</si>
  <si>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</si>
  <si>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</si>
  <si>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</si>
  <si>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</si>
  <si>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</si>
  <si>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</si>
  <si>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</si>
  <si>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</si>
  <si>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</si>
  <si>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</si>
  <si>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</si>
  <si>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</si>
  <si>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</si>
  <si>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</si>
  <si>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</si>
  <si>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</si>
  <si>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</si>
  <si>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</si>
  <si>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</si>
  <si>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</si>
  <si>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</si>
  <si>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</si>
  <si>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</si>
  <si>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</si>
  <si>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</si>
  <si>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</si>
  <si>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</si>
  <si>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</si>
  <si>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</si>
  <si>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</si>
  <si>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</si>
  <si>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</si>
  <si>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</si>
  <si>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</si>
  <si>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</si>
  <si>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</si>
  <si>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</si>
  <si>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</si>
  <si>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</si>
  <si>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</si>
  <si>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</si>
  <si>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</si>
  <si>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</si>
  <si>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</si>
  <si>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</si>
  <si>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</si>
  <si>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</si>
  <si>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</si>
  <si>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</si>
  <si>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</si>
  <si>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</si>
  <si>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</si>
  <si>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</si>
  <si>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</si>
  <si>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</si>
  <si>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</si>
  <si>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</si>
  <si>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</si>
  <si>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</si>
  <si>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</si>
  <si>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</si>
  <si>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</si>
  <si>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</si>
  <si>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</si>
  <si>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</si>
  <si>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</si>
  <si>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</si>
  <si>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</si>
  <si>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</si>
  <si>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</si>
  <si>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</si>
  <si>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</si>
  <si>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</si>
  <si>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</si>
  <si>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</si>
  <si>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</si>
  <si>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</si>
  <si>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</si>
  <si>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</si>
  <si>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</si>
  <si>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</si>
  <si>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</si>
  <si>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</si>
  <si>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</si>
  <si>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</si>
  <si>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</si>
  <si>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</si>
  <si>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</si>
  <si>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</si>
  <si>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</si>
  <si>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</si>
  <si>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</si>
  <si>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</si>
  <si>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</si>
  <si>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</si>
  <si>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</si>
  <si>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</si>
  <si>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</si>
  <si>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</si>
  <si>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</si>
  <si>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</si>
  <si>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</si>
  <si>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</si>
  <si>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</si>
  <si>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</si>
  <si>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</si>
  <si>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</si>
  <si>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</si>
  <si>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</si>
  <si>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</si>
  <si>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</si>
  <si>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</si>
  <si>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</si>
  <si>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</si>
  <si>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</si>
  <si>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</si>
  <si>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</si>
  <si>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</si>
  <si>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</si>
  <si>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</si>
  <si>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</si>
  <si>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</si>
  <si>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</si>
  <si>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</si>
  <si>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</si>
  <si>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</si>
  <si>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</si>
  <si>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</si>
  <si>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</si>
  <si>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</si>
  <si>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</si>
  <si>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</si>
  <si>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</si>
  <si>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</si>
  <si>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</si>
  <si>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</si>
  <si>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</si>
  <si>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</si>
  <si>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</si>
  <si>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</si>
  <si>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</si>
  <si>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</si>
  <si>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</si>
  <si>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</si>
  <si>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</si>
  <si>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</si>
  <si>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</si>
  <si>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</si>
  <si>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</si>
  <si>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</si>
  <si>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</si>
  <si>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</si>
  <si>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</si>
  <si>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</si>
  <si>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</si>
  <si>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</si>
  <si>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</si>
  <si>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</si>
  <si>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</si>
  <si>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</si>
  <si>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</si>
  <si>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</si>
  <si>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</si>
  <si>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</si>
  <si>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</si>
  <si>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</si>
  <si>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</si>
  <si>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</si>
  <si>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</si>
  <si>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</si>
  <si>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</si>
  <si>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</si>
  <si>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</si>
  <si>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</si>
  <si>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</si>
  <si>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</si>
  <si>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</si>
  <si>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</si>
  <si>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</si>
  <si>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</si>
  <si>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</si>
  <si>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</si>
  <si>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</si>
  <si>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</si>
  <si>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</si>
  <si>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</si>
  <si>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</si>
  <si>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</si>
  <si>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</si>
  <si>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</si>
  <si>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</si>
  <si>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</si>
  <si>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</si>
  <si>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</si>
  <si>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</si>
  <si>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</si>
  <si>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</si>
  <si>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</si>
  <si>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</si>
  <si>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</si>
  <si>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</si>
  <si>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</si>
  <si>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</si>
  <si>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</si>
  <si>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</si>
  <si>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</si>
  <si>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</si>
  <si>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</si>
  <si>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</si>
  <si>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</si>
  <si>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</si>
  <si>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</si>
  <si>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</si>
  <si>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</si>
  <si>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</si>
  <si>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</si>
  <si>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</si>
  <si>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</si>
  <si>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</si>
  <si>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</si>
  <si>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</si>
  <si>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</si>
  <si>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</si>
  <si>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</si>
  <si>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</si>
  <si>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</si>
  <si>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</si>
  <si>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</si>
  <si>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</si>
  <si>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</si>
  <si>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</si>
  <si>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</si>
  <si>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</si>
  <si>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</si>
  <si>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</si>
  <si>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</si>
  <si>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</si>
  <si>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</si>
  <si>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</si>
  <si>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</si>
  <si>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</si>
  <si>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</si>
  <si>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</si>
  <si>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</si>
  <si>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</si>
  <si>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</si>
  <si>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U</t>
  </si>
  <si>
    <t>DJAMEL SOUDANI</t>
  </si>
  <si>
    <t>BASTIEN BONNETON</t>
  </si>
  <si>
    <t>CYRIL LONGELIN</t>
  </si>
  <si>
    <t>MAGALI CARTIER</t>
  </si>
  <si>
    <t>AXEL QUENEY</t>
  </si>
  <si>
    <t>MONIKA NEDYALKOVA</t>
  </si>
  <si>
    <t>ANASTASIOS KARIOFYLIS</t>
  </si>
  <si>
    <t>SOLON MINAS</t>
  </si>
  <si>
    <t>ANGELOS KALOGERAKOS</t>
  </si>
  <si>
    <t>KRANIOTIS, KONSTANTINOS</t>
  </si>
  <si>
    <t>CHRISTOLIAKOU, MARIA ALEXANDRA</t>
  </si>
  <si>
    <t>KAROUMPALOU, ATHINA</t>
  </si>
  <si>
    <t>KARAGIAKIOULES, VASILEOS</t>
  </si>
  <si>
    <t>KOURTI, SPYRIDOULA</t>
  </si>
  <si>
    <t>KALESIORIS, ANASTASIS</t>
  </si>
  <si>
    <t>FRANCIS RUIZ</t>
  </si>
  <si>
    <t>LLUIS ESPINOSA</t>
  </si>
  <si>
    <t>LAILA GONELL</t>
  </si>
  <si>
    <t>ROBERTO BAÑOS</t>
  </si>
  <si>
    <t>MARIA JOSE SERRANO</t>
  </si>
  <si>
    <t>JESUS LOPEZ</t>
  </si>
  <si>
    <t>ENDER OZBEK</t>
  </si>
  <si>
    <t>SERTAC DOSTEL</t>
  </si>
  <si>
    <t>AHMET YILDIZ</t>
  </si>
  <si>
    <t>MERVE SAGLAM</t>
  </si>
  <si>
    <t>VASILJEVIC, PETAR</t>
  </si>
  <si>
    <t>VASILJEVIC, IVANA</t>
  </si>
  <si>
    <t>VASILJEVIC, PREDRAG</t>
  </si>
  <si>
    <t>PRPA, IVANA</t>
  </si>
  <si>
    <t>KRSTIC, ANA</t>
  </si>
  <si>
    <t>SONJA STANKOVIC</t>
  </si>
  <si>
    <t>JOVANA KRIVOKUCA-MILOVANOVIC</t>
  </si>
  <si>
    <t>JACOBO LAPRESTA</t>
  </si>
  <si>
    <t>JOSE ANTONIO RODRIGUEZ</t>
  </si>
  <si>
    <t>JOSE VICENTE ARQUES</t>
  </si>
  <si>
    <t>YOLANDA BAILACH MADERA</t>
  </si>
  <si>
    <t>CRISTINA TORRES</t>
  </si>
  <si>
    <t>BORJA RODRIGUEZ</t>
  </si>
  <si>
    <t>DANILO VESOVIC</t>
  </si>
  <si>
    <t>LUKA ANDRIC</t>
  </si>
  <si>
    <t>MARKO LEPOVIC</t>
  </si>
  <si>
    <t>BILJANA KOSTRES</t>
  </si>
  <si>
    <t>MILOS MOSIC</t>
  </si>
  <si>
    <t>MIODRAG STOJANOVIC</t>
  </si>
  <si>
    <t>ANA ANDREJIC</t>
  </si>
  <si>
    <t>BOJANA KRALJEVIC</t>
  </si>
  <si>
    <t>LJUPKA VUKOJEVIC</t>
  </si>
  <si>
    <t>JOVANA DOJCINOVIC</t>
  </si>
  <si>
    <t>GIEDRE GARCINSKAITE</t>
  </si>
  <si>
    <t>RASA KIZIKAITE</t>
  </si>
  <si>
    <t>AUKSE ZAKRIENE</t>
  </si>
  <si>
    <t>GINTARE BUKARTAITE</t>
  </si>
  <si>
    <t>MINDAUGAS RUDZEVICIUS</t>
  </si>
  <si>
    <t>NERIJUS MAINONIS</t>
  </si>
  <si>
    <t>STEPHANE DURIEUX</t>
  </si>
  <si>
    <t>JEAN-MARC MORENTE</t>
  </si>
  <si>
    <t>STEPHANE FITOUSSI</t>
  </si>
  <si>
    <t>VIRGINIE USCLADE</t>
  </si>
  <si>
    <t>CEDRIC LAURANCY</t>
  </si>
  <si>
    <t>KADER SI-TAYEB</t>
  </si>
  <si>
    <t>CATHERINE RICARD</t>
  </si>
  <si>
    <t>VANESSA CAUCHIE</t>
  </si>
  <si>
    <t>CLAUDINE CARADONNA</t>
  </si>
  <si>
    <t>CAROLINE MEUNIER</t>
  </si>
  <si>
    <t>ISABELLE GUITTI</t>
  </si>
  <si>
    <t>DAVID MARTINOTTI</t>
  </si>
  <si>
    <t>IVAN MOSIC</t>
  </si>
  <si>
    <t>MARIJANA GOLUBOVIC</t>
  </si>
  <si>
    <t>IVANA KRSTIC</t>
  </si>
  <si>
    <t>LUIS CALLEJA</t>
  </si>
  <si>
    <t>JAIME LAQUIDAIN</t>
  </si>
  <si>
    <t>MIGUEL PENALBA</t>
  </si>
  <si>
    <t>DANIEL MARTIN</t>
  </si>
  <si>
    <t>INES RAQUEL PIATKOWSKA</t>
  </si>
  <si>
    <t>ALVARO PENALBA</t>
  </si>
  <si>
    <t>Konstantinos Kroupis</t>
  </si>
  <si>
    <t>MATTHIAS RUDOLPH</t>
  </si>
  <si>
    <t>FLORIAN ASMUSSEN</t>
  </si>
  <si>
    <t>TIM BLAWAT</t>
  </si>
  <si>
    <t>STEFAN BOIE</t>
  </si>
  <si>
    <t>JÖRN ASMUSSEN</t>
  </si>
  <si>
    <t>ORIOL GARCIA</t>
  </si>
  <si>
    <t>09:25</t>
  </si>
  <si>
    <t>03:18</t>
  </si>
  <si>
    <t>06:01</t>
  </si>
  <si>
    <t>01:28</t>
  </si>
  <si>
    <t>00:42</t>
  </si>
  <si>
    <t xml:space="preserve">The scouting is generally good, but procedures should be improved. During the pregame is mandatory to test both laptops main and backup to be sure all conections are working properly. If Main PC fails during game and we change to bakcup PC which is not working with the scoreboard and it wasn't tested that will be a huge problem. On the other side, you cannot go to refs unless you have our confirmation that we have received the END GAME. </t>
  </si>
  <si>
    <t>C:\Users\oriol.garcia\OneDrive - EUROLEAGUE\Documents\Season 25-26\Reports\Eurocup\Veolia Hamburg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</si>
</sst>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L17" activePane="bottomRight" state="frozen"/>
      <selection pane="topRight" activeCell="H1" sqref="H1"/>
      <selection pane="bottomLeft" activeCell="A17" sqref="A17"/>
      <selection pane="bottomRight" activeCell="N20" sqref="N20"/>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15</v>
      </c>
      <c r="D1" s="124" t="s">
        <v>749</v>
      </c>
      <c r="E1" s="125">
        <v>2025</v>
      </c>
      <c r="F1" s="120" t="str">
        <f>TEXT(C1,"00") &amp; "_" &amp; TEXT(C2,"000")&amp; "_" &amp; H4 &amp; "_" &amp; H5 &amp; "_" &amp; B2</f>
        <v>15_145_HAM_VNC_U2025</v>
      </c>
      <c r="G1" s="5"/>
      <c r="H1" s="5"/>
      <c r="I1" s="5"/>
      <c r="J1" s="8" t="s">
        <v>707</v>
      </c>
      <c r="K1" s="121" t="s">
        <v>742</v>
      </c>
      <c r="L1" s="121"/>
      <c r="M1" s="122" t="s">
        <v>239</v>
      </c>
      <c r="N1" s="121" t="s">
        <v>838</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U2025</v>
      </c>
      <c r="C2" s="123">
        <v>145</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46043.8125</v>
      </c>
      <c r="C3" s="157"/>
      <c r="D3" s="39">
        <v>597</v>
      </c>
      <c r="E3" s="29"/>
      <c r="F3" s="26">
        <f>SUBTOTAL(3,I17:I106)</f>
        <v>5</v>
      </c>
      <c r="G3" s="27">
        <f>IF(OR(D3="",D3=0),"",F3/D3)</f>
        <v>8.3752093802345051E-3</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Veolia Towers Hamburg</v>
      </c>
      <c r="E4" s="161"/>
      <c r="F4" s="161"/>
      <c r="G4" s="162"/>
      <c r="H4" s="118" t="str">
        <f>IF(ISERROR(VLOOKUP($B$2&amp;TEXT($C$2,"000"),GAMES!$A$3:$I$562,6,FALSE)),"LOC",VLOOKUP($B$2&amp;TEXT($C$2,"000"),GAMES!$A$3:$I$562,6,FALSE))</f>
        <v>HAM</v>
      </c>
      <c r="I4" s="5"/>
      <c r="J4" s="119" t="s">
        <v>714</v>
      </c>
      <c r="K4" s="54" t="s">
        <v>743</v>
      </c>
      <c r="L4" s="5"/>
      <c r="M4" s="167" t="s">
        <v>837</v>
      </c>
      <c r="N4" s="168"/>
      <c r="O4" s="2"/>
      <c r="P4" s="2"/>
      <c r="Q4" s="84" t="s">
        <v>175</v>
      </c>
      <c r="R4" s="94">
        <f>(IF(G3="",0,G3))</f>
        <v>8.3752093802345051E-3</v>
      </c>
      <c r="S4" s="61">
        <f>SUM(I13:M13)</f>
        <v>7</v>
      </c>
      <c r="T4" s="78"/>
      <c r="U4" s="61">
        <f>AC18</f>
        <v>2</v>
      </c>
      <c r="V4" s="61">
        <f>+AC22</f>
        <v>2</v>
      </c>
      <c r="W4" s="61">
        <f>AC24</f>
        <v>0</v>
      </c>
      <c r="X4" s="61">
        <f>AC29</f>
        <v>0</v>
      </c>
      <c r="Y4" s="61">
        <f>AC25</f>
        <v>0</v>
      </c>
      <c r="Z4" s="84">
        <f>AC23</f>
        <v>1</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Umana Reyer Venice</v>
      </c>
      <c r="E5" s="174"/>
      <c r="F5" s="174"/>
      <c r="G5" s="175"/>
      <c r="H5" s="118" t="str">
        <f>IF(ISERROR(VLOOKUP($B$2&amp;TEXT($C$2,"000"),GAMES!$A$3:$I$562,7,FALSE)),"VIS",VLOOKUP($B$2&amp;TEXT($C$2,"000"),GAMES!$A$3:$I$562,7,FALSE))</f>
        <v>VNC</v>
      </c>
      <c r="I5" s="5"/>
      <c r="J5" s="5"/>
      <c r="K5" s="5"/>
      <c r="L5" s="5"/>
      <c r="M5" s="169"/>
      <c r="N5" s="170"/>
      <c r="O5" s="2"/>
      <c r="P5" s="2"/>
      <c r="Q5" s="89" t="s">
        <v>174</v>
      </c>
      <c r="R5" s="94">
        <f>R4*R3</f>
        <v>0.83752093802345051</v>
      </c>
      <c r="S5" s="70">
        <f t="shared" ref="S5" si="0">S4*S3</f>
        <v>7</v>
      </c>
      <c r="T5" s="92"/>
      <c r="U5" s="70">
        <f t="shared" ref="U5:AG5" si="1">U4*U3</f>
        <v>1</v>
      </c>
      <c r="V5" s="70">
        <f t="shared" si="1"/>
        <v>2</v>
      </c>
      <c r="W5" s="70">
        <f t="shared" si="1"/>
        <v>0</v>
      </c>
      <c r="X5" s="70">
        <f t="shared" si="1"/>
        <v>0</v>
      </c>
      <c r="Y5" s="70">
        <f t="shared" si="1"/>
        <v>0</v>
      </c>
      <c r="Z5" s="89">
        <f t="shared" si="1"/>
        <v>2.5</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826</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827</v>
      </c>
      <c r="E7" s="179"/>
      <c r="F7" s="179"/>
      <c r="G7" s="180"/>
      <c r="H7" s="129" t="s">
        <v>709</v>
      </c>
      <c r="I7" s="129" t="s">
        <v>710</v>
      </c>
      <c r="J7" s="129" t="s">
        <v>711</v>
      </c>
      <c r="K7" s="129" t="s">
        <v>712</v>
      </c>
      <c r="L7" s="129" t="s">
        <v>713</v>
      </c>
      <c r="M7" s="58">
        <f>Q7</f>
        <v>13.337520938023451</v>
      </c>
      <c r="N7" s="58"/>
      <c r="O7" s="2"/>
      <c r="P7" s="2"/>
      <c r="Q7" s="86">
        <f>SUM(R5,S5,AC16)</f>
        <v>13.337520938023451</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828</v>
      </c>
      <c r="E8" s="182"/>
      <c r="F8" s="182"/>
      <c r="G8" s="183"/>
      <c r="H8" s="129" t="s">
        <v>747</v>
      </c>
      <c r="I8" s="129" t="s">
        <v>747</v>
      </c>
      <c r="J8" s="129" t="s">
        <v>748</v>
      </c>
      <c r="K8" s="129" t="s">
        <v>744</v>
      </c>
      <c r="L8" s="129" t="s">
        <v>745</v>
      </c>
      <c r="M8" s="129" t="s">
        <v>108</v>
      </c>
      <c r="N8" s="2"/>
      <c r="O8" s="2"/>
      <c r="P8" s="2"/>
      <c r="Q8" s="85">
        <f>SUM(R5:BA5)</f>
        <v>13.337520938023451</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829</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830</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tr">
        <f>M8</f>
        <v>IRS</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U2025</v>
      </c>
      <c r="G12" s="50">
        <f>IF(I12="","",$C$2)</f>
        <v>145</v>
      </c>
      <c r="H12" s="40" t="str">
        <f>$I$10</f>
        <v>LOGISTICS</v>
      </c>
      <c r="I12" s="14" t="s">
        <v>17</v>
      </c>
      <c r="J12" s="15" t="s">
        <v>15</v>
      </c>
      <c r="K12" s="15" t="s">
        <v>17</v>
      </c>
      <c r="L12" s="15" t="s">
        <v>17</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5</v>
      </c>
      <c r="K13" s="5">
        <f>IF(ISERROR(VLOOKUP(K12,AT17:AU19,2,FALSE)),0,VLOOKUP(K12,AT17:AU19,2,FALSE))</f>
        <v>1</v>
      </c>
      <c r="L13" s="5">
        <f>IF(ISERROR(VLOOKUP(L12,AV17:AW19,2,FALSE)),0,VLOOKUP(L12,AV17:AW19,2,FALSE))</f>
        <v>1</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831</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5</v>
      </c>
      <c r="J15" s="24">
        <f>SUBTOTAL(3,J17:J106)</f>
        <v>5</v>
      </c>
      <c r="K15" s="24">
        <f>SUBTOTAL(3,K17:K106)</f>
        <v>5</v>
      </c>
      <c r="L15" s="24">
        <f>SUBTOTAL(3,L17:L106)</f>
        <v>5</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5</v>
      </c>
      <c r="Z16" s="90" t="s">
        <v>110</v>
      </c>
      <c r="AA16" s="75">
        <f>SUM(AA17:AA24)</f>
        <v>5</v>
      </c>
      <c r="AB16" s="76" t="s">
        <v>54</v>
      </c>
      <c r="AC16" s="75">
        <f>SUM(AC17*AD17,AC18*AD18,AC19*AD19,AC20*AD20,AC21*AD21,AC22*AD22,AC23*AD23,AC24*AD24,AC25*AD25,AC26*AD26,AC27*AD27,AC28*AD28,AC29*AD29,AC30*AD30,AC30*AD30,AC31*AD31,AC32*AD32,AC33*AD33,AC34*AD34,AC35*AD35,AC36*AD36)</f>
        <v>5.5</v>
      </c>
      <c r="AD16" s="75">
        <f>SUM(AD17:AD24)</f>
        <v>45</v>
      </c>
      <c r="AE16" s="76" t="s">
        <v>42</v>
      </c>
      <c r="AF16" s="75">
        <f>SUM(AF17:AF24)</f>
        <v>4</v>
      </c>
      <c r="AG16" s="75">
        <f>SUM(AG17:AG21)</f>
        <v>5</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U2025</v>
      </c>
      <c r="C17" s="31">
        <f t="shared" ref="C17:C48" si="3">IF(I17="","",$C$2)</f>
        <v>145</v>
      </c>
      <c r="D17" s="32" t="s">
        <v>832</v>
      </c>
      <c r="E17" s="33">
        <v>1</v>
      </c>
      <c r="F17" s="36">
        <v>3</v>
      </c>
      <c r="G17" s="36">
        <v>0</v>
      </c>
      <c r="H17" s="38" t="str">
        <f>IF(I17="","",$I$14)</f>
        <v>SCOUTING</v>
      </c>
      <c r="I17" s="34">
        <v>7</v>
      </c>
      <c r="J17" s="13" t="s">
        <v>4</v>
      </c>
      <c r="K17" s="13" t="s">
        <v>61</v>
      </c>
      <c r="L17" s="13" t="s">
        <v>7</v>
      </c>
      <c r="M17" s="13" t="s">
        <v>12</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5</v>
      </c>
      <c r="Z17" s="105" t="s">
        <v>63</v>
      </c>
      <c r="AA17" s="62">
        <f>COUNTIF($K$17:$K$106,Z17)</f>
        <v>2</v>
      </c>
      <c r="AB17" s="66" t="s">
        <v>19</v>
      </c>
      <c r="AC17" s="61">
        <f t="shared" ref="AC17:AC29" si="5">COUNTIF($L$17:$L$106,AB17)</f>
        <v>0</v>
      </c>
      <c r="AD17" s="61">
        <f t="shared" ref="AD17:AD25" si="6">P17</f>
        <v>10</v>
      </c>
      <c r="AE17" s="66" t="s">
        <v>11</v>
      </c>
      <c r="AF17" s="65">
        <f t="shared" ref="AF17:AF48" si="7">COUNTIF($M$17:$M$106,AE17)</f>
        <v>2</v>
      </c>
      <c r="AG17" s="62">
        <f>COUNTIF($E$17:$E$106,$AK17)</f>
        <v>2</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U2025</v>
      </c>
      <c r="C18" s="31">
        <f t="shared" si="3"/>
        <v>145</v>
      </c>
      <c r="D18" s="32" t="s">
        <v>833</v>
      </c>
      <c r="E18" s="33">
        <v>1</v>
      </c>
      <c r="F18" s="36">
        <v>14</v>
      </c>
      <c r="G18" s="36">
        <v>12</v>
      </c>
      <c r="H18" s="38" t="str">
        <f t="shared" ref="H18:H81" si="8">IF(I18="","",$I$14)</f>
        <v>SCOUTING</v>
      </c>
      <c r="I18" s="34">
        <v>84</v>
      </c>
      <c r="J18" s="13" t="s">
        <v>4</v>
      </c>
      <c r="K18" s="13" t="s">
        <v>62</v>
      </c>
      <c r="L18" s="13" t="s">
        <v>5</v>
      </c>
      <c r="M18" s="13" t="s">
        <v>11</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2</v>
      </c>
      <c r="AB18" s="66" t="s">
        <v>5</v>
      </c>
      <c r="AC18" s="61">
        <f t="shared" si="5"/>
        <v>2</v>
      </c>
      <c r="AD18" s="61">
        <f t="shared" si="6"/>
        <v>0.5</v>
      </c>
      <c r="AE18" s="66" t="s">
        <v>12</v>
      </c>
      <c r="AF18" s="65">
        <f t="shared" si="7"/>
        <v>1</v>
      </c>
      <c r="AG18" s="62">
        <f>COUNTIF($E$17:$E$106,$AK18)</f>
        <v>1</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U2025</v>
      </c>
      <c r="C19" s="31">
        <f t="shared" si="3"/>
        <v>145</v>
      </c>
      <c r="D19" s="32" t="s">
        <v>834</v>
      </c>
      <c r="E19" s="33">
        <v>2</v>
      </c>
      <c r="F19" s="36">
        <v>36</v>
      </c>
      <c r="G19" s="36">
        <v>30</v>
      </c>
      <c r="H19" s="38" t="str">
        <f t="shared" si="8"/>
        <v>SCOUTING</v>
      </c>
      <c r="I19" s="34">
        <v>176</v>
      </c>
      <c r="J19" s="13" t="s">
        <v>4</v>
      </c>
      <c r="K19" s="13" t="s">
        <v>62</v>
      </c>
      <c r="L19" s="13" t="s">
        <v>6</v>
      </c>
      <c r="M19" s="13" t="s">
        <v>11</v>
      </c>
      <c r="N19" s="35"/>
      <c r="O19" s="5" t="s">
        <v>76</v>
      </c>
      <c r="P19" s="5">
        <v>15</v>
      </c>
      <c r="Q19" s="84">
        <f t="shared" si="4"/>
        <v>0</v>
      </c>
      <c r="R19" s="5" t="s">
        <v>172</v>
      </c>
      <c r="U19" s="66" t="s">
        <v>8</v>
      </c>
      <c r="V19" s="65">
        <f t="shared" si="9"/>
        <v>0</v>
      </c>
      <c r="W19" s="75"/>
      <c r="X19" s="82"/>
      <c r="Y19" s="83"/>
      <c r="Z19" s="105" t="s">
        <v>61</v>
      </c>
      <c r="AA19" s="62">
        <f>COUNTIF($K$17:$K$106,Z19)</f>
        <v>1</v>
      </c>
      <c r="AB19" s="66" t="s">
        <v>76</v>
      </c>
      <c r="AC19" s="61">
        <f t="shared" si="5"/>
        <v>0</v>
      </c>
      <c r="AD19" s="61">
        <f t="shared" si="6"/>
        <v>15</v>
      </c>
      <c r="AE19" s="66" t="s">
        <v>19</v>
      </c>
      <c r="AF19" s="65">
        <f t="shared" si="7"/>
        <v>0</v>
      </c>
      <c r="AG19" s="62">
        <f>COUNTIF($E$17:$E$106,$AK19)</f>
        <v>0</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U2025</v>
      </c>
      <c r="C20" s="31">
        <f t="shared" si="3"/>
        <v>145</v>
      </c>
      <c r="D20" s="32" t="s">
        <v>835</v>
      </c>
      <c r="E20" s="33">
        <v>4</v>
      </c>
      <c r="F20" s="36">
        <v>80</v>
      </c>
      <c r="G20" s="36">
        <v>82</v>
      </c>
      <c r="H20" s="38" t="str">
        <f t="shared" si="8"/>
        <v>SCOUTING</v>
      </c>
      <c r="I20" s="34">
        <v>553</v>
      </c>
      <c r="J20" s="13" t="s">
        <v>4</v>
      </c>
      <c r="K20" s="13" t="s">
        <v>63</v>
      </c>
      <c r="L20" s="13" t="s">
        <v>5</v>
      </c>
      <c r="M20" s="13" t="s">
        <v>10</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1</v>
      </c>
      <c r="AG20" s="62">
        <f>COUNTIF($E$17:$E$106,$AK20)</f>
        <v>2</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U2025</v>
      </c>
      <c r="C21" s="31">
        <f t="shared" si="3"/>
        <v>145</v>
      </c>
      <c r="D21" s="32" t="s">
        <v>836</v>
      </c>
      <c r="E21" s="33">
        <v>4</v>
      </c>
      <c r="F21" s="36">
        <v>91</v>
      </c>
      <c r="G21" s="36">
        <v>84</v>
      </c>
      <c r="H21" s="38" t="str">
        <f t="shared" si="8"/>
        <v>SCOUTING</v>
      </c>
      <c r="I21" s="34">
        <v>572</v>
      </c>
      <c r="J21" s="13" t="s">
        <v>4</v>
      </c>
      <c r="K21" s="13" t="s">
        <v>63</v>
      </c>
      <c r="L21" s="13" t="s">
        <v>6</v>
      </c>
      <c r="M21" s="13" t="s">
        <v>168</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2</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1</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J19" sqref="J19:N1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t="s">
        <v>804</v>
      </c>
      <c r="E3" s="133" t="s">
        <v>805</v>
      </c>
      <c r="F3" s="133" t="s">
        <v>806</v>
      </c>
      <c r="G3" s="133" t="s">
        <v>807</v>
      </c>
      <c r="H3" s="133" t="s">
        <v>808</v>
      </c>
      <c r="I3" s="134" t="s">
        <v>809</v>
      </c>
      <c r="J3" s="135"/>
      <c r="K3" s="133"/>
      <c r="L3" s="133"/>
      <c r="M3" s="133"/>
      <c r="N3" s="134"/>
      <c r="O3" s="134"/>
    </row>
    <row r="4" spans="2:15" x14ac:dyDescent="0.25">
      <c r="B4" s="153" t="s">
        <v>178</v>
      </c>
      <c r="C4" s="150" t="s">
        <v>223</v>
      </c>
      <c r="D4" s="136" t="s">
        <v>765</v>
      </c>
      <c r="E4" s="137" t="s">
        <v>766</v>
      </c>
      <c r="F4" s="137" t="s">
        <v>767</v>
      </c>
      <c r="G4" s="137" t="s">
        <v>768</v>
      </c>
      <c r="H4" s="137" t="s">
        <v>769</v>
      </c>
      <c r="I4" s="138" t="s">
        <v>770</v>
      </c>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t="s">
        <v>788</v>
      </c>
      <c r="E6" s="137" t="s">
        <v>789</v>
      </c>
      <c r="F6" s="137" t="s">
        <v>790</v>
      </c>
      <c r="G6" s="137" t="s">
        <v>781</v>
      </c>
      <c r="H6" s="137" t="s">
        <v>780</v>
      </c>
      <c r="I6" s="138" t="s">
        <v>791</v>
      </c>
      <c r="J6" s="139"/>
      <c r="K6" s="137"/>
      <c r="L6" s="137"/>
      <c r="M6" s="137"/>
      <c r="N6" s="140"/>
      <c r="O6" s="138"/>
    </row>
    <row r="7" spans="2:15" x14ac:dyDescent="0.25">
      <c r="B7" s="153" t="s">
        <v>181</v>
      </c>
      <c r="C7" s="150" t="s">
        <v>226</v>
      </c>
      <c r="D7" s="136" t="s">
        <v>729</v>
      </c>
      <c r="E7" s="137" t="s">
        <v>755</v>
      </c>
      <c r="F7" s="137" t="s">
        <v>756</v>
      </c>
      <c r="G7" s="137" t="s">
        <v>757</v>
      </c>
      <c r="H7" s="137" t="s">
        <v>758</v>
      </c>
      <c r="I7" s="137" t="s">
        <v>825</v>
      </c>
      <c r="J7" s="139"/>
      <c r="K7" s="137"/>
      <c r="L7" s="137"/>
      <c r="M7" s="137"/>
      <c r="N7" s="140"/>
      <c r="O7" s="138"/>
    </row>
    <row r="8" spans="2:15" x14ac:dyDescent="0.25">
      <c r="B8" s="153" t="s">
        <v>182</v>
      </c>
      <c r="C8" s="150" t="s">
        <v>217</v>
      </c>
      <c r="D8" s="136" t="s">
        <v>735</v>
      </c>
      <c r="E8" s="137" t="s">
        <v>771</v>
      </c>
      <c r="F8" s="137" t="s">
        <v>772</v>
      </c>
      <c r="G8" s="137" t="s">
        <v>773</v>
      </c>
      <c r="H8" s="137" t="s">
        <v>774</v>
      </c>
      <c r="I8" s="138" t="s">
        <v>740</v>
      </c>
      <c r="J8" s="139" t="s">
        <v>717</v>
      </c>
      <c r="K8" s="137" t="s">
        <v>718</v>
      </c>
      <c r="L8" s="137" t="s">
        <v>719</v>
      </c>
      <c r="M8" s="137" t="s">
        <v>720</v>
      </c>
      <c r="N8" s="140" t="s">
        <v>721</v>
      </c>
      <c r="O8" s="138" t="s">
        <v>722</v>
      </c>
    </row>
    <row r="9" spans="2:15" x14ac:dyDescent="0.25">
      <c r="B9" s="153" t="s">
        <v>183</v>
      </c>
      <c r="C9" s="150" t="s">
        <v>233</v>
      </c>
      <c r="D9" s="136" t="s">
        <v>819</v>
      </c>
      <c r="E9" s="137" t="s">
        <v>820</v>
      </c>
      <c r="F9" s="137" t="s">
        <v>821</v>
      </c>
      <c r="G9" s="137" t="s">
        <v>822</v>
      </c>
      <c r="H9" s="137" t="s">
        <v>823</v>
      </c>
      <c r="I9" s="138" t="s">
        <v>824</v>
      </c>
      <c r="J9" s="139"/>
      <c r="K9" s="137"/>
      <c r="L9" s="137"/>
      <c r="M9" s="137"/>
      <c r="N9" s="140"/>
      <c r="O9" s="138"/>
    </row>
    <row r="10" spans="2:15" x14ac:dyDescent="0.25">
      <c r="B10" s="153" t="s">
        <v>184</v>
      </c>
      <c r="C10" s="150" t="s">
        <v>218</v>
      </c>
      <c r="D10" s="136" t="s">
        <v>810</v>
      </c>
      <c r="E10" s="137" t="s">
        <v>811</v>
      </c>
      <c r="F10" s="137" t="s">
        <v>812</v>
      </c>
      <c r="G10" s="137" t="s">
        <v>813</v>
      </c>
      <c r="H10" s="137" t="s">
        <v>814</v>
      </c>
      <c r="I10" s="138" t="s">
        <v>815</v>
      </c>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t="s">
        <v>759</v>
      </c>
      <c r="E13" s="137" t="s">
        <v>760</v>
      </c>
      <c r="F13" s="137" t="s">
        <v>761</v>
      </c>
      <c r="G13" s="137" t="s">
        <v>762</v>
      </c>
      <c r="H13" s="137" t="s">
        <v>763</v>
      </c>
      <c r="I13" s="138" t="s">
        <v>764</v>
      </c>
      <c r="J13" s="139"/>
      <c r="K13" s="137" t="s">
        <v>775</v>
      </c>
      <c r="L13" s="137"/>
      <c r="M13" s="137"/>
      <c r="N13" s="140"/>
      <c r="O13" s="138"/>
    </row>
    <row r="14" spans="2:15" x14ac:dyDescent="0.25">
      <c r="B14" s="153" t="s">
        <v>188</v>
      </c>
      <c r="C14" s="150" t="s">
        <v>234</v>
      </c>
      <c r="D14" s="136" t="s">
        <v>782</v>
      </c>
      <c r="E14" s="137" t="s">
        <v>783</v>
      </c>
      <c r="F14" s="137" t="s">
        <v>784</v>
      </c>
      <c r="G14" s="137" t="s">
        <v>785</v>
      </c>
      <c r="H14" s="137" t="s">
        <v>786</v>
      </c>
      <c r="I14" s="138" t="s">
        <v>787</v>
      </c>
      <c r="J14" s="139"/>
      <c r="K14" s="137" t="s">
        <v>776</v>
      </c>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t="s">
        <v>777</v>
      </c>
      <c r="L15" s="137"/>
      <c r="M15" s="137"/>
      <c r="N15" s="140"/>
      <c r="O15" s="138"/>
    </row>
    <row r="16" spans="2:15" x14ac:dyDescent="0.25">
      <c r="B16" s="153" t="s">
        <v>190</v>
      </c>
      <c r="C16" s="150" t="s">
        <v>232</v>
      </c>
      <c r="D16" s="136" t="s">
        <v>747</v>
      </c>
      <c r="E16" s="137" t="s">
        <v>746</v>
      </c>
      <c r="F16" s="137" t="s">
        <v>748</v>
      </c>
      <c r="G16" s="137" t="s">
        <v>744</v>
      </c>
      <c r="H16" s="137" t="s">
        <v>745</v>
      </c>
      <c r="I16" s="137" t="s">
        <v>781</v>
      </c>
      <c r="J16" s="139"/>
      <c r="K16" s="137" t="s">
        <v>778</v>
      </c>
      <c r="L16" s="137"/>
      <c r="M16" s="137"/>
      <c r="N16" s="140"/>
      <c r="O16" s="138"/>
    </row>
    <row r="17" spans="2:15" x14ac:dyDescent="0.25">
      <c r="B17" s="153" t="s">
        <v>191</v>
      </c>
      <c r="C17" s="150" t="s">
        <v>231</v>
      </c>
      <c r="D17" s="136" t="s">
        <v>750</v>
      </c>
      <c r="E17" s="137" t="s">
        <v>751</v>
      </c>
      <c r="F17" s="137" t="s">
        <v>752</v>
      </c>
      <c r="G17" s="137" t="s">
        <v>753</v>
      </c>
      <c r="H17" s="137" t="s">
        <v>754</v>
      </c>
      <c r="I17" s="138"/>
      <c r="J17" s="139"/>
      <c r="K17" s="137" t="s">
        <v>779</v>
      </c>
      <c r="L17" s="137"/>
      <c r="M17" s="137"/>
      <c r="N17" s="140"/>
      <c r="O17" s="138"/>
    </row>
    <row r="18" spans="2:15" x14ac:dyDescent="0.25">
      <c r="B18" s="153" t="s">
        <v>192</v>
      </c>
      <c r="C18" s="150" t="s">
        <v>220</v>
      </c>
      <c r="D18" s="136" t="s">
        <v>792</v>
      </c>
      <c r="E18" s="137" t="s">
        <v>793</v>
      </c>
      <c r="F18" s="137" t="s">
        <v>794</v>
      </c>
      <c r="G18" s="137" t="s">
        <v>795</v>
      </c>
      <c r="H18" s="137" t="s">
        <v>796</v>
      </c>
      <c r="I18" s="138" t="s">
        <v>797</v>
      </c>
      <c r="J18" s="139"/>
      <c r="K18" s="137"/>
      <c r="L18" s="137"/>
      <c r="M18" s="137"/>
      <c r="N18" s="140"/>
      <c r="O18" s="138"/>
    </row>
    <row r="19" spans="2:15" x14ac:dyDescent="0.25">
      <c r="B19" s="153" t="s">
        <v>193</v>
      </c>
      <c r="C19" s="150" t="s">
        <v>228</v>
      </c>
      <c r="D19" s="136" t="s">
        <v>816</v>
      </c>
      <c r="E19" s="137" t="s">
        <v>793</v>
      </c>
      <c r="F19" s="137" t="s">
        <v>817</v>
      </c>
      <c r="G19" s="137" t="s">
        <v>818</v>
      </c>
      <c r="H19" s="137" t="s">
        <v>796</v>
      </c>
      <c r="I19" s="138" t="s">
        <v>797</v>
      </c>
      <c r="J19" s="139" t="s">
        <v>775</v>
      </c>
      <c r="K19" s="137" t="s">
        <v>776</v>
      </c>
      <c r="L19" s="137" t="s">
        <v>777</v>
      </c>
      <c r="M19" s="137" t="s">
        <v>778</v>
      </c>
      <c r="N19" s="140" t="s">
        <v>779</v>
      </c>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t="s">
        <v>798</v>
      </c>
      <c r="E22" s="142" t="s">
        <v>799</v>
      </c>
      <c r="F22" s="142" t="s">
        <v>800</v>
      </c>
      <c r="G22" s="142" t="s">
        <v>801</v>
      </c>
      <c r="H22" s="142" t="s">
        <v>802</v>
      </c>
      <c r="I22" s="143" t="s">
        <v>803</v>
      </c>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REPORT_U2025145</v>
      </c>
    </row>
    <row r="2" spans="2:6" x14ac:dyDescent="0.25">
      <c r="F2" s="45" t="s">
        <v>157</v>
      </c>
    </row>
    <row r="3" spans="2:6" x14ac:dyDescent="0.25">
      <c r="B3" s="43" t="s">
        <v>156</v>
      </c>
      <c r="C3" s="43" t="str">
        <f>""""&amp;'SCOUT &amp; LOGISTICS'!B2&amp;TEXT('SCOUT &amp; LOGISTICS'!C2,"000")&amp;""""</f>
        <v>"U2025145"</v>
      </c>
      <c r="F3" s="45" t="str">
        <f t="shared" ref="F3:F16" si="0">""""&amp;B3&amp;"""" &amp; " : " &amp;C3&amp;","</f>
        <v>"name" : "U2025145",</v>
      </c>
    </row>
    <row r="4" spans="2:6" x14ac:dyDescent="0.25">
      <c r="B4" s="43" t="s">
        <v>119</v>
      </c>
      <c r="C4" s="43" t="str">
        <f>""""&amp;LEFT('SCOUT &amp; LOGISTICS'!B2,1) &amp; TEXT('SCOUT &amp; LOGISTICS'!C2,"000")&amp;""""</f>
        <v>"U145"</v>
      </c>
      <c r="F4" s="45" t="str">
        <f t="shared" si="0"/>
        <v>"cod" : "U145",</v>
      </c>
    </row>
    <row r="5" spans="2:6" x14ac:dyDescent="0.25">
      <c r="B5" s="43" t="s">
        <v>117</v>
      </c>
      <c r="C5" s="43" t="str">
        <f>""""&amp;LEFT('SCOUT &amp; LOGISTICS'!B2,1)&amp;""""</f>
        <v>"U"</v>
      </c>
      <c r="F5" s="45" t="str">
        <f t="shared" si="0"/>
        <v>"competition" : "U",</v>
      </c>
    </row>
    <row r="6" spans="2:6" x14ac:dyDescent="0.25">
      <c r="B6" s="43" t="s">
        <v>118</v>
      </c>
      <c r="C6" s="43" t="str">
        <f>TEXT('SCOUT &amp; LOGISTICS'!C2,"000")</f>
        <v>145</v>
      </c>
      <c r="F6" s="45" t="str">
        <f t="shared" si="0"/>
        <v>"number" : 145,</v>
      </c>
    </row>
    <row r="7" spans="2:6" x14ac:dyDescent="0.25">
      <c r="B7" s="43" t="s">
        <v>116</v>
      </c>
      <c r="C7" s="43" t="str">
        <f ca="1">""""&amp;TEXT('SCOUT &amp; LOGISTICS'!B3,"dd/mm/aaaa")&amp;""""</f>
        <v>"21/01/Wednesday"</v>
      </c>
      <c r="F7" s="45" t="str">
        <f t="shared" ca="1" si="0"/>
        <v>"date" : "21/01/Wednesday",</v>
      </c>
    </row>
    <row r="8" spans="2:6" x14ac:dyDescent="0.25">
      <c r="B8" s="43" t="s">
        <v>125</v>
      </c>
      <c r="C8" s="43" t="str">
        <f>""""&amp;'SCOUT &amp; LOGISTICS'!D4 &amp;""""</f>
        <v>"Veolia Towers Hamburg"</v>
      </c>
      <c r="F8" s="45" t="str">
        <f t="shared" si="0"/>
        <v>"home_team" : "Veolia Towers Hamburg",</v>
      </c>
    </row>
    <row r="9" spans="2:6" x14ac:dyDescent="0.25">
      <c r="B9" s="43" t="s">
        <v>126</v>
      </c>
      <c r="C9" s="43" t="str">
        <f>""""&amp;'SCOUT &amp; LOGISTICS'!D5&amp;""""</f>
        <v>"Umana Reyer Venice"</v>
      </c>
      <c r="F9" s="45" t="str">
        <f t="shared" si="0"/>
        <v>"away_team" : "Umana Reyer Venice",</v>
      </c>
    </row>
    <row r="10" spans="2:6" x14ac:dyDescent="0.25">
      <c r="B10" s="43" t="s">
        <v>127</v>
      </c>
      <c r="C10" s="43" t="str">
        <f>""""&amp;IF('SCOUT &amp; LOGISTICS'!D6="","",'SCOUT &amp; LOGISTICS'!D6)&amp;""""</f>
        <v>"MATTHIAS RUDOLPH"</v>
      </c>
      <c r="F10" s="45" t="str">
        <f t="shared" si="0"/>
        <v>"Data_entry" : "MATTHIAS RUDOLPH",</v>
      </c>
    </row>
    <row r="11" spans="2:6" x14ac:dyDescent="0.25">
      <c r="B11" s="43" t="s">
        <v>128</v>
      </c>
      <c r="C11" s="43" t="str">
        <f>""""&amp;IF('SCOUT &amp; LOGISTICS'!D7="","",'SCOUT &amp; LOGISTICS'!D7)&amp;""""</f>
        <v>"FLORIAN ASMUSSEN"</v>
      </c>
      <c r="F11" s="45" t="str">
        <f t="shared" si="0"/>
        <v>"Caller_1" : "FLORIAN ASMUSSEN",</v>
      </c>
    </row>
    <row r="12" spans="2:6" x14ac:dyDescent="0.25">
      <c r="B12" s="43" t="s">
        <v>129</v>
      </c>
      <c r="C12" s="43" t="str">
        <f>""""&amp;IF('SCOUT &amp; LOGISTICS'!D8="","",'SCOUT &amp; LOGISTICS'!D8)&amp;""""</f>
        <v>"TIM BLAWAT"</v>
      </c>
      <c r="F12" s="45" t="str">
        <f t="shared" si="0"/>
        <v>"Caller_2" : "TIM BLAWAT",</v>
      </c>
    </row>
    <row r="13" spans="2:6" x14ac:dyDescent="0.25">
      <c r="B13" s="43" t="s">
        <v>98</v>
      </c>
      <c r="C13" s="43" t="str">
        <f>""""&amp;IF('SCOUT &amp; LOGISTICS'!D9="","",'SCOUT &amp; LOGISTICS'!D9)&amp;""""</f>
        <v>"STEFAN BOIE"</v>
      </c>
      <c r="F13" s="45" t="str">
        <f t="shared" si="0"/>
        <v>"Timerkeeper" : "STEFAN BOIE",</v>
      </c>
    </row>
    <row r="14" spans="2:6" x14ac:dyDescent="0.25">
      <c r="B14" s="43" t="s">
        <v>99</v>
      </c>
      <c r="C14" s="43" t="str">
        <f>""""&amp;IF('SCOUT &amp; LOGISTICS'!D10="","",'SCOUT &amp; LOGISTICS'!D10)&amp;""""</f>
        <v>"JÖRN ASMUSSEN"</v>
      </c>
      <c r="F14" s="45" t="str">
        <f t="shared" si="0"/>
        <v>"Shotclock" : "JÖRN ASMUSSEN",</v>
      </c>
    </row>
    <row r="15" spans="2:6" x14ac:dyDescent="0.25">
      <c r="B15" s="43" t="s">
        <v>108</v>
      </c>
      <c r="C15" s="43" t="str">
        <f>""""&amp;IF('SCOUT &amp; LOGISTICS'!D11="","",'SCOUT &amp; LOGISTICS'!D11)&amp;""""</f>
        <v>"IRS"</v>
      </c>
      <c r="F15" s="45" t="str">
        <f t="shared" si="0"/>
        <v>"IRS" : "IRS",</v>
      </c>
    </row>
    <row r="16" spans="2:6" x14ac:dyDescent="0.25">
      <c r="B16" s="43" t="s">
        <v>130</v>
      </c>
      <c r="C16" s="43" t="str">
        <f>""""&amp;IF('SCOUT &amp; LOGISTICS'!D14=0,"",'SCOUT &amp; LOGISTICS'!D14)&amp;""""</f>
        <v>"ORIOL GARCIA"</v>
      </c>
      <c r="F16" s="45" t="str">
        <f t="shared" si="0"/>
        <v>"Live_Game_Manager" : "ORIOL GARCIA",</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"NO"</v>
      </c>
      <c r="F19" s="45" t="str">
        <f>""""&amp;C19&amp;"""" &amp; " : " &amp;D19&amp;","</f>
        <v>"check_list_on_time" : "NO",</v>
      </c>
    </row>
    <row r="20" spans="2:6" x14ac:dyDescent="0.25">
      <c r="C20" s="43" t="s">
        <v>122</v>
      </c>
      <c r="D20" s="43" t="str">
        <f>""""&amp;IF('SCOUT &amp; LOGISTICS'!K12="","",'SCOUT &amp; LOGISTICS'!K12)&amp;""""</f>
        <v>"OK"</v>
      </c>
      <c r="F20" s="45" t="str">
        <f>""""&amp;C20&amp;"""" &amp; " : " &amp;D20&amp;","</f>
        <v>"communication" : "OK",</v>
      </c>
    </row>
    <row r="21" spans="2:6" x14ac:dyDescent="0.25">
      <c r="C21" s="43" t="s">
        <v>123</v>
      </c>
      <c r="D21" s="43" t="str">
        <f>""""&amp;IF('SCOUT &amp; LOGISTICS'!L12="","",'SCOUT &amp; LOGISTICS'!L12)&amp;""""</f>
        <v>"OK"</v>
      </c>
      <c r="F21" s="45" t="str">
        <f>""""&amp;C21&amp;"""" &amp; " : " &amp;D21&amp;","</f>
        <v>"corrections" : "OK",</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597</v>
      </c>
      <c r="F25" s="45" t="str">
        <f t="shared" ref="F25:F48" si="1">""""&amp;C25&amp;"""" &amp; " : " &amp;D25&amp;","</f>
        <v>"total_actions" : 597,</v>
      </c>
    </row>
    <row r="26" spans="2:6" x14ac:dyDescent="0.25">
      <c r="C26" s="43" t="s">
        <v>132</v>
      </c>
      <c r="D26" s="43">
        <f>'SCOUT &amp; LOGISTICS'!F3</f>
        <v>5</v>
      </c>
      <c r="F26" s="45" t="str">
        <f t="shared" si="1"/>
        <v>"total_correcions" : 5,</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2</v>
      </c>
      <c r="F28" s="45" t="str">
        <f t="shared" si="1"/>
        <v>"home_team" : 2,</v>
      </c>
    </row>
    <row r="29" spans="2:6" x14ac:dyDescent="0.25">
      <c r="C29" s="43" t="s">
        <v>134</v>
      </c>
      <c r="D29" s="43">
        <f>IF('SCOUT &amp; LOGISTICS'!AA18="","",'SCOUT &amp; LOGISTICS'!AA18)</f>
        <v>2</v>
      </c>
      <c r="F29" s="45" t="str">
        <f t="shared" si="1"/>
        <v>"no_team" : 2,</v>
      </c>
    </row>
    <row r="30" spans="2:6" x14ac:dyDescent="0.25">
      <c r="C30" s="43" t="s">
        <v>126</v>
      </c>
      <c r="D30" s="43">
        <f>IF('SCOUT &amp; LOGISTICS'!AA19="","",'SCOUT &amp; LOGISTICS'!AA19)</f>
        <v>1</v>
      </c>
      <c r="F30" s="45" t="str">
        <f t="shared" si="1"/>
        <v>"away_team" : 1,</v>
      </c>
    </row>
    <row r="31" spans="2:6" x14ac:dyDescent="0.25">
      <c r="C31" s="43" t="s">
        <v>135</v>
      </c>
      <c r="D31" s="43">
        <f>'SCOUT &amp; LOGISTICS'!AG17</f>
        <v>2</v>
      </c>
      <c r="F31" s="45" t="str">
        <f t="shared" si="1"/>
        <v>"q1" : 2,</v>
      </c>
    </row>
    <row r="32" spans="2:6" x14ac:dyDescent="0.25">
      <c r="C32" s="43" t="s">
        <v>136</v>
      </c>
      <c r="D32" s="43">
        <f>'SCOUT &amp; LOGISTICS'!AG18</f>
        <v>1</v>
      </c>
      <c r="F32" s="45" t="str">
        <f t="shared" si="1"/>
        <v>"q2" : 1,</v>
      </c>
    </row>
    <row r="33" spans="3:6" x14ac:dyDescent="0.25">
      <c r="C33" s="43" t="s">
        <v>137</v>
      </c>
      <c r="D33" s="43">
        <f>'SCOUT &amp; LOGISTICS'!AG19</f>
        <v>0</v>
      </c>
      <c r="F33" s="45" t="str">
        <f t="shared" si="1"/>
        <v>"q3" : 0,</v>
      </c>
    </row>
    <row r="34" spans="3:6" x14ac:dyDescent="0.25">
      <c r="C34" s="43" t="s">
        <v>138</v>
      </c>
      <c r="D34" s="43">
        <f>'SCOUT &amp; LOGISTICS'!AG20</f>
        <v>2</v>
      </c>
      <c r="F34" s="45" t="str">
        <f t="shared" si="1"/>
        <v>"q4" : 2,</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5</v>
      </c>
      <c r="F37" s="45" t="str">
        <f t="shared" si="1"/>
        <v>"scoresheet_corrections" : 5,</v>
      </c>
    </row>
    <row r="38" spans="3:6" x14ac:dyDescent="0.25">
      <c r="C38" s="43" t="s">
        <v>141</v>
      </c>
      <c r="D38" s="43">
        <f>'SCOUT &amp; LOGISTICS'!AC17</f>
        <v>0</v>
      </c>
      <c r="F38" s="45" t="str">
        <f t="shared" si="1"/>
        <v>"criteria" : 0,</v>
      </c>
    </row>
    <row r="39" spans="3:6" x14ac:dyDescent="0.25">
      <c r="C39" s="43" t="s">
        <v>142</v>
      </c>
      <c r="D39" s="43">
        <f>'SCOUT &amp; LOGISTICS'!AC18</f>
        <v>2</v>
      </c>
      <c r="F39" s="45" t="str">
        <f t="shared" si="1"/>
        <v>"missidentity" : 2,</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1</v>
      </c>
      <c r="F46" s="45" t="str">
        <f t="shared" si="1"/>
        <v>"part_of_a_sequence" : 1,</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"The scouting is generally good, but procedures should be improved. During the pregame is mandatory to test both laptops main and backup to be sure all conections are working properly. If Main PC fails during game and we change to bakcup PC which is not working with the scoreboard and it wasn't tested that will be a huge problem. On the other side, you cannot go to refs unless you have our confirmation that we have received the END GAME. "</v>
      </c>
      <c r="F51" s="45" t="str">
        <f>""""&amp;B51&amp;"""" &amp; " : " &amp;C51&amp;","</f>
        <v>"comments" : "The scouting is generally good, but procedures should be improved. During the pregame is mandatory to test both laptops main and backup to be sure all conections are working properly. If Main PC fails during game and we change to bakcup PC which is not working with the scoreboard and it wasn't tested that will be a huge problem. On the other side, you cannot go to refs unless you have our confirmation that we have received the END GAME. ",</v>
      </c>
    </row>
    <row r="52" spans="2:6" x14ac:dyDescent="0.25">
      <c r="B52" s="43" t="s">
        <v>153</v>
      </c>
      <c r="C52" s="43" t="str">
        <f>TEXT('SCOUT &amp; LOGISTICS'!F1,"0,0")</f>
        <v>15_145_HAM_VNC_U2025</v>
      </c>
      <c r="F52" s="45" t="str">
        <f>""""&amp;B52&amp;"""" &amp; " : " &amp;C52</f>
        <v>"result" : 15_145_HAM_VNC_U2025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U145 (EUROCUP)</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21/01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Veolia Towers Hamburg</v>
      </c>
      <c r="C6" s="212"/>
      <c r="D6" s="212"/>
      <c r="E6" s="212"/>
      <c r="F6" s="212"/>
      <c r="G6" s="212"/>
      <c r="H6" s="212"/>
      <c r="I6" s="212"/>
      <c r="J6" s="212"/>
      <c r="K6" s="212"/>
      <c r="L6" s="212"/>
      <c r="M6" s="212"/>
      <c r="N6" s="212"/>
      <c r="O6" s="212"/>
      <c r="P6" s="212"/>
      <c r="Q6" s="212" t="str">
        <f>PROPER('SCOUT &amp; LOGISTICS'!D5)</f>
        <v>Umana Reyer Venice</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MATTHIAS RUDOLPH</v>
      </c>
      <c r="C8" s="206"/>
      <c r="D8" s="206"/>
      <c r="E8" s="206"/>
      <c r="F8" s="206"/>
      <c r="G8" s="206" t="str">
        <f>IF('SCOUT &amp; LOGISTICS'!D7="","",'SCOUT &amp; LOGISTICS'!D7)</f>
        <v>FLORIAN ASMUSSEN</v>
      </c>
      <c r="H8" s="206"/>
      <c r="I8" s="206"/>
      <c r="J8" s="206"/>
      <c r="K8" s="206"/>
      <c r="L8" s="206" t="str">
        <f>IF('SCOUT &amp; LOGISTICS'!D8="","",'SCOUT &amp; LOGISTICS'!D8)</f>
        <v>TIM BLAWAT</v>
      </c>
      <c r="M8" s="206"/>
      <c r="N8" s="206"/>
      <c r="O8" s="206"/>
      <c r="P8" s="206"/>
      <c r="Q8" s="206" t="str">
        <f>IF('SCOUT &amp; LOGISTICS'!D9="","",'SCOUT &amp; LOGISTICS'!D9)</f>
        <v>STEFAN BOIE</v>
      </c>
      <c r="R8" s="206"/>
      <c r="S8" s="206"/>
      <c r="T8" s="206"/>
      <c r="U8" s="206"/>
      <c r="V8" s="206" t="str">
        <f>IF('SCOUT &amp; LOGISTICS'!D10="","",'SCOUT &amp; LOGISTICS'!D10)</f>
        <v>JÖRN ASMUSSEN</v>
      </c>
      <c r="W8" s="206"/>
      <c r="X8" s="206"/>
      <c r="Y8" s="206"/>
      <c r="Z8" s="206"/>
      <c r="AA8" s="206" t="str">
        <f>IF('SCOUT &amp; LOGISTICS'!D11="","",'SCOUT &amp; LOGISTICS'!D11)</f>
        <v>IRS</v>
      </c>
      <c r="AB8" s="206"/>
      <c r="AC8" s="206"/>
      <c r="AD8" s="206"/>
      <c r="AE8" s="206"/>
      <c r="AF8" s="48"/>
    </row>
    <row r="9" spans="1:33" ht="13" thickBot="1" x14ac:dyDescent="0.3">
      <c r="A9" s="48"/>
      <c r="B9" s="200" t="str">
        <f>IF(OR('SCOUT &amp; LOGISTICS'!D14="",'SCOUT &amp; LOGISTICS'!D14=0),"",'SCOUT &amp; LOGISTICS'!B14 &amp; ": " &amp; 'SCOUT &amp; LOGISTICS'!D14) &amp; "     "</f>
        <v xml:space="preserve">L G M: : ORIOL GARCIA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NO</v>
      </c>
      <c r="I13" s="207"/>
      <c r="J13" s="207"/>
      <c r="K13" s="207"/>
      <c r="L13" s="207"/>
      <c r="M13" s="207"/>
      <c r="N13" s="207" t="str">
        <f>IF('SCOUT &amp; LOGISTICS'!K12="","",'SCOUT &amp; LOGISTICS'!K12)</f>
        <v>OK</v>
      </c>
      <c r="O13" s="207"/>
      <c r="P13" s="207"/>
      <c r="Q13" s="207"/>
      <c r="R13" s="207"/>
      <c r="S13" s="207"/>
      <c r="T13" s="207" t="str">
        <f>IF('SCOUT &amp; LOGISTICS'!L12="","",'SCOUT &amp; LOGISTICS'!L12)</f>
        <v>OK</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597</v>
      </c>
      <c r="C17" s="204"/>
      <c r="D17" s="204"/>
      <c r="E17" s="204"/>
      <c r="F17" s="204"/>
      <c r="G17" s="204"/>
      <c r="H17" s="204"/>
      <c r="I17" s="204"/>
      <c r="J17" s="204"/>
      <c r="K17" s="204"/>
      <c r="L17" s="204">
        <f>'SCOUT &amp; LOGISTICS'!F3</f>
        <v>5</v>
      </c>
      <c r="M17" s="204"/>
      <c r="N17" s="204"/>
      <c r="O17" s="204"/>
      <c r="P17" s="204"/>
      <c r="Q17" s="204"/>
      <c r="R17" s="204"/>
      <c r="S17" s="204"/>
      <c r="T17" s="204"/>
      <c r="U17" s="204"/>
      <c r="V17" s="205">
        <f>IF(OR(B17="",B17=0),"",L17/B17)</f>
        <v>8.3752093802345051E-3</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2</v>
      </c>
      <c r="C20" s="197"/>
      <c r="D20" s="197"/>
      <c r="E20" s="197"/>
      <c r="F20" s="197"/>
      <c r="G20" s="197"/>
      <c r="H20" s="197"/>
      <c r="I20" s="197"/>
      <c r="J20" s="197"/>
      <c r="K20" s="197"/>
      <c r="L20" s="197">
        <f>IF('SCOUT &amp; LOGISTICS'!AA18="","",'SCOUT &amp; LOGISTICS'!AA18)</f>
        <v>2</v>
      </c>
      <c r="M20" s="197"/>
      <c r="N20" s="197"/>
      <c r="O20" s="197"/>
      <c r="P20" s="197"/>
      <c r="Q20" s="197"/>
      <c r="R20" s="197"/>
      <c r="S20" s="197"/>
      <c r="T20" s="197"/>
      <c r="U20" s="197"/>
      <c r="V20" s="197">
        <f>IF('SCOUT &amp; LOGISTICS'!AA19="","",'SCOUT &amp; LOGISTICS'!AA19)</f>
        <v>1</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2</v>
      </c>
      <c r="C22" s="197"/>
      <c r="D22" s="197"/>
      <c r="E22" s="197"/>
      <c r="F22" s="197"/>
      <c r="G22" s="197"/>
      <c r="H22" s="197">
        <f>'SCOUT &amp; LOGISTICS'!AG18</f>
        <v>1</v>
      </c>
      <c r="I22" s="197"/>
      <c r="J22" s="197"/>
      <c r="K22" s="197"/>
      <c r="L22" s="197"/>
      <c r="M22" s="197"/>
      <c r="N22" s="197">
        <f>'SCOUT &amp; LOGISTICS'!AG19</f>
        <v>0</v>
      </c>
      <c r="O22" s="197"/>
      <c r="P22" s="197"/>
      <c r="Q22" s="197"/>
      <c r="R22" s="197"/>
      <c r="S22" s="197"/>
      <c r="T22" s="197">
        <f>'SCOUT &amp; LOGISTICS'!AG20</f>
        <v>2</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5</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2</v>
      </c>
      <c r="C27" s="197"/>
      <c r="D27" s="197"/>
      <c r="E27" s="197"/>
      <c r="F27" s="197"/>
      <c r="G27" s="197">
        <f>'SCOUT &amp; LOGISTICS'!AC22</f>
        <v>2</v>
      </c>
      <c r="H27" s="197"/>
      <c r="I27" s="197"/>
      <c r="J27" s="197"/>
      <c r="K27" s="197"/>
      <c r="L27" s="197">
        <f>'SCOUT &amp; LOGISTICS'!AC23</f>
        <v>1</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 xml:space="preserve">The scouting is generally good, but procedures should be improved. During the pregame is mandatory to test both laptops main and backup to be sure all conections are working properly. If Main PC fails during game and we change to bakcup PC which is not working with the scoreboard and it wasn't tested that will be a huge problem. On the other side, you cannot go to refs unless you have our confirmation that we have received the END GAME. </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13.337520938023451</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te a new document." ma:contentTypeScope="" ma:versionID="de36969f4ed48e290014b5fd8755fec7">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499fb8b56df7ec750a6b01bb270a1e23"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D8A8642B-9DCA-4D65-8C97-85C593C32422}"/>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2026-01-07T21:12:30Z</cp:lastPrinted>
  <dcterms:created xsi:type="dcterms:W3CDTF">2023-09-19T19:50:35Z</dcterms:created>
  <dcterms:modified xsi:type="dcterms:W3CDTF">2026-02-10T15:35:26Z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