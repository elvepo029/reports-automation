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67" documentId="8_{701A7E2D-2B21-47AE-B882-59ED5225F3D9}" xr6:coauthVersionLast="47" xr6:coauthVersionMax="47" xr10:uidLastSave="{D9281CF4-0A01-4430-B748-3C5A7E140E4A}"/>
  <bookViews>
    <workbookView minimized="1" xWindow="1540" yWindow="2810" windowWidth="14400" windowHeight="727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<sst xmlns="http://schemas.openxmlformats.org/spreadsheetml/2006/main" count="3270" uniqueCount="764">
  <si>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</si>
  <si>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</si>
  <si>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</si>
  <si>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</si>
  <si>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</si>
  <si>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</si>
  <si>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</si>
  <si>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</si>
  <si>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</si>
  <si>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</si>
  <si>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</si>
  <si>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</si>
  <si>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</si>
  <si>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</si>
  <si>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</si>
  <si>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</si>
  <si>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</si>
  <si>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</si>
  <si>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</si>
  <si>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</si>
  <si>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</si>
  <si>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</si>
  <si>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</si>
  <si>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</si>
  <si>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</si>
  <si>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</si>
  <si>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</si>
  <si>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</si>
  <si>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</si>
  <si>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</si>
  <si>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</si>
  <si>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</si>
  <si>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</si>
  <si>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</si>
  <si>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</si>
  <si>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</si>
  <si>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</si>
  <si>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</si>
  <si>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</si>
  <si>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</si>
  <si>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</si>
  <si>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</si>
  <si>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</si>
  <si>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</si>
  <si>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</si>
  <si>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</si>
  <si>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</si>
  <si>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</si>
  <si>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</si>
  <si>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</si>
  <si>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</si>
  <si>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</si>
  <si>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</si>
  <si>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</si>
  <si>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</si>
  <si>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</si>
  <si>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</si>
  <si>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</si>
  <si>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</si>
  <si>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</si>
  <si>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</si>
  <si>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</si>
  <si>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</si>
  <si>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</si>
  <si>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</si>
  <si>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</si>
  <si>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</si>
  <si>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</si>
  <si>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</si>
  <si>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</si>
  <si>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</si>
  <si>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</si>
  <si>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</si>
  <si>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</si>
  <si>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</si>
  <si>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</si>
  <si>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</si>
  <si>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</si>
  <si>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</si>
  <si>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</si>
  <si>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</si>
  <si>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</si>
  <si>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</si>
  <si>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</si>
  <si>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</si>
  <si>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</si>
  <si>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</si>
  <si>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</si>
  <si>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</si>
  <si>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</si>
  <si>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</si>
  <si>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</si>
  <si>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</si>
  <si>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</si>
  <si>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</si>
  <si>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</si>
  <si>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</si>
  <si>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</si>
  <si>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</si>
  <si>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</si>
  <si>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</si>
  <si>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</si>
  <si>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</si>
  <si>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</si>
  <si>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</si>
  <si>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</si>
  <si>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</si>
  <si>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</si>
  <si>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</si>
  <si>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</si>
  <si>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</si>
  <si>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</si>
  <si>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</si>
  <si>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</si>
  <si>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</si>
  <si>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</si>
  <si>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</si>
  <si>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</si>
  <si>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</si>
  <si>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</si>
  <si>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</si>
  <si>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</si>
  <si>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</si>
  <si>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</si>
  <si>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</si>
  <si>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</si>
  <si>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</si>
  <si>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</si>
  <si>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</si>
  <si>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</si>
  <si>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</si>
  <si>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</si>
  <si>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</si>
  <si>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</si>
  <si>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</si>
  <si>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</si>
  <si>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</si>
  <si>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</si>
  <si>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</si>
  <si>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</si>
  <si>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</si>
  <si>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</si>
  <si>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</si>
  <si>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</si>
  <si>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</si>
  <si>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</si>
  <si>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</si>
  <si>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</si>
  <si>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</si>
  <si>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</si>
  <si>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</si>
  <si>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</si>
  <si>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</si>
  <si>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</si>
  <si>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</si>
  <si>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</si>
  <si>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</si>
  <si>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</si>
  <si>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</si>
  <si>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</si>
  <si>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</si>
  <si>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</si>
  <si>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</si>
  <si>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</si>
  <si>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</si>
  <si>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</si>
  <si>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</si>
  <si>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</si>
  <si>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</si>
  <si>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</si>
  <si>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</si>
  <si>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</si>
  <si>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</si>
  <si>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</si>
  <si>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</si>
  <si>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</si>
  <si>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</si>
  <si>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</si>
  <si>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</si>
  <si>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</si>
  <si>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</si>
  <si>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</si>
  <si>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</si>
  <si>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</si>
  <si>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</si>
  <si>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</si>
  <si>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</si>
  <si>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</si>
  <si>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</si>
  <si>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</si>
  <si>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</si>
  <si>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</si>
  <si>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</si>
  <si>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</si>
  <si>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</si>
  <si>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</si>
  <si>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</si>
  <si>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</si>
  <si>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</si>
  <si>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</si>
  <si>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</si>
  <si>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</si>
  <si>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</si>
  <si>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</si>
  <si>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</si>
  <si>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</si>
  <si>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</si>
  <si>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</si>
  <si>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</si>
  <si>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</si>
  <si>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</si>
  <si>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</si>
  <si>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</si>
  <si>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</si>
  <si>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</si>
  <si>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</si>
  <si>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</si>
  <si>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</si>
  <si>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</si>
  <si>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</si>
  <si>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</si>
  <si>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</si>
  <si>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</si>
  <si>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</si>
  <si>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</si>
  <si>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</si>
  <si>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</si>
  <si>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</si>
  <si>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</si>
  <si>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</si>
  <si>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</si>
  <si>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</si>
  <si>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</si>
  <si>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</si>
  <si>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</si>
  <si>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</si>
  <si>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</si>
  <si>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</si>
  <si>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</si>
  <si>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</si>
  <si>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</si>
  <si>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</si>
  <si>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</si>
  <si>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</si>
  <si>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</si>
  <si>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</si>
  <si>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</si>
  <si>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</si>
  <si>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</si>
  <si>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</si>
  <si>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</si>
  <si>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</si>
  <si>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</si>
  <si>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</si>
  <si>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</si>
  <si>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</si>
  <si>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</si>
  <si>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</si>
  <si>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</si>
  <si>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</si>
  <si>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</si>
  <si>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</si>
  <si>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</si>
  <si>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</si>
  <si>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</si>
  <si>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</si>
  <si>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</si>
  <si>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</si>
  <si>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</si>
  <si>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</si>
  <si>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</si>
  <si>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</si>
  <si>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</si>
  <si>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</si>
  <si>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</si>
  <si>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</si>
  <si>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</si>
  <si>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</si>
  <si>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</si>
  <si>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</si>
  <si>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</si>
  <si>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</si>
  <si>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</si>
  <si>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</si>
  <si>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</si>
  <si>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</si>
  <si>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</si>
  <si>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</si>
  <si>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</si>
  <si>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</si>
  <si>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</si>
  <si>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</si>
  <si>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</si>
  <si>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</si>
  <si>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</si>
  <si>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</si>
  <si>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</si>
  <si>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</si>
  <si>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</si>
  <si>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</si>
  <si>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</si>
  <si>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</si>
  <si>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</si>
  <si>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</si>
  <si>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</si>
  <si>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</si>
  <si>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</si>
  <si>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</si>
  <si>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</si>
  <si>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</si>
  <si>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</si>
  <si>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</si>
  <si>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</si>
  <si>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</si>
  <si>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</si>
  <si>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</si>
  <si>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</si>
  <si>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</si>
  <si>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</si>
  <si>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</si>
  <si>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</si>
  <si>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</si>
  <si>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</si>
  <si>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</si>
  <si>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</si>
  <si>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</si>
  <si>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</si>
  <si>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</si>
  <si>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</si>
  <si>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</si>
  <si>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</si>
  <si>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</si>
  <si>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</si>
  <si>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</si>
  <si>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</si>
  <si>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</si>
  <si>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</si>
  <si>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</si>
  <si>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</si>
  <si>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</si>
  <si>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</si>
  <si>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</si>
  <si>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</si>
  <si>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</si>
  <si>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</si>
  <si>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</si>
  <si>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</si>
  <si>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</si>
  <si>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</si>
  <si>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</si>
  <si>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</si>
  <si>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</si>
  <si>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</si>
  <si>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</si>
  <si>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</si>
  <si>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</si>
  <si>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</si>
  <si>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</si>
  <si>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</si>
  <si>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</si>
  <si>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</si>
  <si>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</si>
  <si>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</si>
  <si>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</si>
  <si>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</si>
  <si>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</si>
  <si>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</si>
  <si>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</si>
  <si>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</si>
  <si>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</si>
  <si>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</si>
  <si>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</si>
  <si>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</si>
  <si>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</si>
  <si>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</si>
  <si>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</si>
  <si>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</si>
  <si>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</si>
  <si>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</si>
  <si>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</si>
  <si>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</si>
  <si>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</si>
  <si>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</si>
  <si>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</si>
  <si>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</si>
  <si>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</si>
  <si>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</si>
  <si>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</si>
  <si>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</si>
  <si>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</si>
  <si>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</si>
  <si>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</si>
  <si>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</si>
  <si>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</si>
  <si>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</si>
  <si>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</si>
  <si>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</si>
  <si>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</si>
  <si>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</si>
  <si>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</si>
  <si>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</si>
  <si>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</si>
  <si>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</si>
  <si>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</si>
  <si>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</si>
  <si>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</si>
  <si>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</si>
  <si>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</si>
  <si>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</si>
  <si>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</si>
  <si>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</si>
  <si>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</si>
  <si>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</si>
  <si>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</si>
  <si>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</si>
  <si>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</si>
  <si>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</si>
  <si>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</si>
  <si>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</si>
  <si>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</si>
  <si>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</si>
  <si>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</si>
  <si>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</si>
  <si>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</si>
  <si>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</si>
  <si>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</si>
  <si>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</si>
  <si>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</si>
  <si>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</si>
  <si>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</si>
  <si>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</si>
  <si>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</si>
  <si>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</si>
  <si>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</si>
  <si>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</si>
  <si>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</si>
  <si>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</si>
  <si>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</si>
  <si>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</si>
  <si>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</si>
  <si>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</si>
  <si>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</si>
  <si>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</si>
  <si>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</si>
  <si>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</si>
  <si>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</si>
  <si>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</si>
  <si>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</si>
  <si>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</si>
  <si>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</si>
  <si>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</si>
  <si>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</si>
  <si>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</si>
  <si>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</si>
  <si>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</si>
  <si>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</si>
  <si>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</si>
  <si>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</si>
  <si>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</si>
  <si>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</si>
  <si>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</si>
  <si>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</si>
  <si>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</si>
  <si>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</si>
  <si>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</si>
  <si>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</si>
  <si>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</si>
  <si>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</si>
  <si>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</si>
  <si>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</si>
  <si>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</si>
  <si>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</si>
  <si>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</si>
  <si>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</si>
  <si>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</si>
  <si>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</si>
  <si>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</si>
  <si>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</si>
  <si>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</si>
  <si>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</si>
  <si>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</si>
  <si>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</si>
  <si>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</si>
  <si>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</si>
  <si>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</si>
  <si>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</si>
  <si>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</si>
  <si>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</si>
  <si>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</si>
  <si>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</si>
  <si>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</si>
  <si>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</si>
  <si>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</si>
  <si>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</si>
  <si>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</si>
  <si>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</si>
  <si>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</si>
  <si>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</si>
  <si>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</si>
  <si>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</si>
  <si>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</si>
  <si>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</si>
  <si>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</si>
  <si>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</si>
  <si>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</si>
  <si>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</si>
  <si>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</si>
  <si>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</si>
  <si>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</si>
  <si>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</si>
  <si>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</si>
  <si>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</si>
  <si>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</si>
  <si>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</si>
  <si>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</si>
  <si>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</si>
  <si>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</si>
  <si>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</si>
  <si>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</si>
  <si>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</si>
  <si>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</si>
  <si>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</si>
  <si>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</si>
  <si>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</si>
  <si>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</si>
  <si>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</si>
  <si>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</si>
  <si>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</si>
  <si>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</si>
  <si>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</si>
  <si>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</si>
  <si>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</si>
  <si>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</si>
  <si>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</si>
  <si>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</si>
  <si>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</si>
  <si>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</si>
  <si>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</si>
  <si>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</si>
  <si>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</si>
  <si>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</si>
  <si>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</si>
  <si>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</si>
  <si>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</si>
  <si>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</si>
  <si>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</si>
  <si>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</si>
  <si>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</si>
  <si>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</si>
  <si>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</si>
  <si>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</si>
  <si>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</si>
  <si>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</si>
  <si>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</si>
  <si>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</si>
  <si>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</si>
  <si>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</si>
  <si>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</si>
  <si>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</si>
  <si>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</si>
  <si>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</si>
  <si>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</si>
  <si>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</si>
  <si>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</si>
  <si>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</si>
  <si>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</si>
  <si>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</si>
  <si>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</si>
  <si>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</si>
  <si>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</si>
  <si>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</si>
  <si>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</si>
  <si>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</si>
  <si>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</si>
  <si>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</si>
  <si>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</si>
  <si>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</si>
  <si>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</si>
  <si>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</si>
  <si>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</si>
  <si>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</si>
  <si>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</si>
  <si>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</si>
  <si>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</si>
  <si>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</si>
  <si>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</si>
  <si>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</si>
  <si>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</si>
  <si>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</si>
  <si>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</si>
  <si>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</si>
  <si>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</si>
  <si>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</si>
  <si>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</si>
  <si>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</si>
  <si>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</si>
  <si>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</si>
  <si>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</si>
  <si>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</si>
  <si>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</si>
  <si>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</si>
  <si>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</si>
  <si>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</si>
  <si>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</si>
  <si>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</si>
  <si>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</si>
  <si>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</si>
  <si>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</si>
  <si>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</si>
  <si>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</si>
  <si>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</si>
  <si>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</si>
  <si>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</si>
  <si>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</si>
  <si>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</si>
  <si>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</si>
  <si>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</si>
  <si>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</si>
  <si>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</si>
  <si>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</si>
  <si>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</si>
  <si>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</si>
  <si>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</si>
  <si>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</si>
  <si>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</si>
  <si>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</si>
  <si>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</si>
  <si>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</si>
  <si>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</si>
  <si>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</si>
  <si>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</si>
  <si>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</si>
  <si>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</si>
  <si>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</si>
  <si>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</si>
  <si>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</si>
  <si>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</si>
  <si>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</si>
  <si>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</si>
  <si>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</si>
  <si>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</si>
  <si>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</si>
  <si>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</si>
  <si>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</si>
  <si>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</si>
  <si>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</si>
  <si>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</si>
  <si>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</si>
  <si>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</si>
  <si>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</si>
  <si>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</si>
  <si>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</si>
  <si>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</si>
  <si>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</si>
  <si>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</si>
  <si>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</si>
  <si>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</si>
  <si>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</si>
  <si>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</si>
  <si>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</si>
  <si>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</si>
  <si>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</si>
  <si>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</si>
  <si>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</si>
  <si>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</si>
  <si>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</si>
  <si>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</si>
  <si>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</si>
  <si>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</si>
  <si>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</si>
  <si>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</si>
  <si>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</si>
  <si>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</si>
  <si>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</si>
  <si>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</si>
  <si>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</si>
  <si>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</si>
  <si>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</si>
  <si>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</si>
  <si>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</si>
  <si>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</si>
  <si>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</si>
  <si>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</si>
  <si>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</si>
  <si>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</si>
  <si>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</si>
  <si>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</si>
  <si>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</si>
  <si>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</si>
  <si>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</si>
  <si>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</si>
  <si>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</si>
  <si>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</si>
  <si>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</si>
  <si>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</si>
  <si>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</si>
  <si>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</si>
  <si>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</si>
  <si>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</si>
  <si>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</si>
  <si>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</si>
  <si>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</si>
  <si>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</si>
  <si>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</si>
  <si>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</si>
  <si>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</si>
  <si>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</si>
  <si>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</si>
  <si>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</si>
  <si>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</si>
  <si>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</si>
  <si>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</si>
  <si>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</si>
  <si>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</si>
  <si>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</si>
  <si>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</si>
  <si>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</si>
  <si>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</si>
  <si>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</si>
  <si>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</si>
  <si>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</si>
  <si>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</si>
  <si>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</si>
  <si>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</si>
  <si>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</si>
  <si>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</si>
  <si>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</si>
  <si>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</si>
  <si>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</si>
  <si>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</si>
  <si>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</si>
  <si>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</si>
  <si>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</si>
  <si>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</si>
  <si>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</si>
  <si>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</si>
  <si>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</si>
  <si>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</si>
  <si>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</si>
  <si>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</si>
  <si>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</si>
  <si>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</si>
  <si>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</si>
  <si>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</si>
  <si>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</si>
  <si>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</si>
  <si>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</si>
  <si>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</si>
  <si>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</si>
  <si>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</si>
  <si>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 MATEU</t>
  </si>
  <si>
    <t>JAIME LAQUIDAIN</t>
  </si>
  <si>
    <t>MIGUEL PENALBA</t>
  </si>
  <si>
    <t>ALVARO PENALBA</t>
  </si>
  <si>
    <t>ANDRES DE LA COBA</t>
  </si>
  <si>
    <t>INES RAQUEL PIATKOWSKA</t>
  </si>
  <si>
    <t>ALBERTO GONZALEZ</t>
  </si>
  <si>
    <t>01:53</t>
  </si>
  <si>
    <t>08:14</t>
  </si>
  <si>
    <t>01:07</t>
  </si>
  <si>
    <t>00:20</t>
  </si>
  <si>
    <t>04:17</t>
  </si>
  <si>
    <t>The scouting work has been very good. Remember that in a jumpball with random players we record a team rebound if it is a rebound situation. When there is a shot that doesn’t touch the rim and the shotclock buzzes, it’s a team turnover without recording a rebound. Regarding communication, if a team complains about something to you directly, even if they are not right, even if you have it under control, let us know.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</si>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</sst>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4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20" fontId="5" fillId="0" borderId="7" xfId="0" applyNumberFormat="1" applyFont="1" applyBorder="1" applyAlignment="1" applyProtection="1">
      <alignment horizontal="center" vertical="center"/>
      <protection locked="0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I18" sqref="I18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15_145_MAD_BAS_E2025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145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46002.875</v>
      </c>
      <c r="C3" s="157"/>
      <c r="D3" s="39">
        <v>626</v>
      </c>
      <c r="E3" s="29"/>
      <c r="F3" s="26">
        <f>SUBTOTAL(3,I17:I106)</f>
        <v>5</v>
      </c>
      <c r="G3" s="27">
        <f>IF(OR(D3="",D3=0),"",F3/D3)</f>
        <v>7.9872204472843447E-3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Real Madrid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743</v>
      </c>
      <c r="L4" s="5"/>
      <c r="M4" s="167" t="s">
        <v>762</v>
      </c>
      <c r="N4" s="168"/>
      <c r="O4" s="2"/>
      <c r="P4" s="2"/>
      <c r="Q4" s="84" t="s">
        <v>175</v>
      </c>
      <c r="R4" s="94">
        <f>(IF(G3="",0,G3))</f>
        <v>7.9872204472843447E-3</v>
      </c>
      <c r="S4" s="61">
        <f>SUM(I13:M13)</f>
        <v>1</v>
      </c>
      <c r="T4" s="78"/>
      <c r="U4" s="61">
        <f>AC18</f>
        <v>4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Baskonia Vitoria-Gasteiz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0.79872204472843444</v>
      </c>
      <c r="S5" s="70">
        <f t="shared" ref="S5" si="0">S4*S3</f>
        <v>1</v>
      </c>
      <c r="T5" s="92"/>
      <c r="U5" s="70">
        <f t="shared" ref="U5:AG5" si="1">U4*U3</f>
        <v>2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4.798722044728434</v>
      </c>
      <c r="N7" s="58"/>
      <c r="O7" s="2"/>
      <c r="P7" s="2"/>
      <c r="Q7" s="86">
        <f>SUM(R5,S5,AC16)</f>
        <v>4.798722044728434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4.798722044728434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145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145</v>
      </c>
      <c r="D17" s="32" t="s">
        <v>757</v>
      </c>
      <c r="E17" s="33">
        <v>1</v>
      </c>
      <c r="F17" s="36">
        <v>16</v>
      </c>
      <c r="G17" s="36">
        <v>19</v>
      </c>
      <c r="H17" s="38" t="str">
        <f>IF(I17="","",$I$14)</f>
        <v>SCOUTING</v>
      </c>
      <c r="I17" s="34">
        <v>116</v>
      </c>
      <c r="J17" s="13" t="s">
        <v>4</v>
      </c>
      <c r="K17" s="13" t="s">
        <v>62</v>
      </c>
      <c r="L17" s="13" t="s">
        <v>5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145</v>
      </c>
      <c r="D18" s="32" t="s">
        <v>758</v>
      </c>
      <c r="E18" s="33">
        <v>2</v>
      </c>
      <c r="F18" s="36">
        <v>26</v>
      </c>
      <c r="G18" s="36">
        <v>26</v>
      </c>
      <c r="H18" s="38" t="str">
        <f t="shared" ref="H18:H81" si="8">IF(I18="","",$I$14)</f>
        <v>SCOUTING</v>
      </c>
      <c r="I18" s="213">
        <v>0.34305555555555556</v>
      </c>
      <c r="J18" s="13" t="s">
        <v>4</v>
      </c>
      <c r="K18" s="13" t="s">
        <v>62</v>
      </c>
      <c r="L18" s="13" t="s">
        <v>5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145</v>
      </c>
      <c r="D19" s="32" t="s">
        <v>759</v>
      </c>
      <c r="E19" s="33">
        <v>3</v>
      </c>
      <c r="F19" s="36">
        <v>63</v>
      </c>
      <c r="G19" s="36">
        <v>55</v>
      </c>
      <c r="H19" s="38" t="str">
        <f t="shared" si="8"/>
        <v>SCOUTING</v>
      </c>
      <c r="I19" s="34">
        <v>455</v>
      </c>
      <c r="J19" s="13" t="s">
        <v>4</v>
      </c>
      <c r="K19" s="13" t="s">
        <v>63</v>
      </c>
      <c r="L19" s="13" t="s">
        <v>6</v>
      </c>
      <c r="M19" s="13" t="s">
        <v>28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145</v>
      </c>
      <c r="D20" s="32" t="s">
        <v>760</v>
      </c>
      <c r="E20" s="33">
        <v>3</v>
      </c>
      <c r="F20" s="36">
        <v>68</v>
      </c>
      <c r="G20" s="36">
        <v>59</v>
      </c>
      <c r="H20" s="38" t="str">
        <f t="shared" si="8"/>
        <v>SCOUTING</v>
      </c>
      <c r="I20" s="34">
        <v>479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145</v>
      </c>
      <c r="D21" s="32" t="s">
        <v>761</v>
      </c>
      <c r="E21" s="33">
        <v>4</v>
      </c>
      <c r="F21" s="36">
        <v>82</v>
      </c>
      <c r="G21" s="36">
        <v>77</v>
      </c>
      <c r="H21" s="38" t="str">
        <f t="shared" si="8"/>
        <v>SCOUTING</v>
      </c>
      <c r="I21" s="34">
        <v>561</v>
      </c>
      <c r="J21" s="13" t="s">
        <v>4</v>
      </c>
      <c r="K21" s="13" t="s">
        <v>62</v>
      </c>
      <c r="L21" s="13" t="s">
        <v>5</v>
      </c>
      <c r="M21" s="13" t="s">
        <v>28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REPORT_E2025145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"E2025145"</v>
      </c>
      <c r="F3" s="45" t="str">
        <f t="shared" ref="F3:F16" si="0">""""&amp;B3&amp;"""" &amp; " : " &amp;C3&amp;","</f>
        <v>"name" : "E2025145",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"E145"</v>
      </c>
      <c r="F4" s="45" t="str">
        <f t="shared" si="0"/>
        <v>"cod" : "E145",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145</v>
      </c>
      <c r="F6" s="45" t="str">
        <f t="shared" si="0"/>
        <v>"number" : 145,</v>
      </c>
    </row>
    <row r="7" spans="2:6" x14ac:dyDescent="0.25">
      <c r="B7" s="43" t="s">
        <v>116</v>
      </c>
      <c r="C7" s="43" t="str">
        <f ca="1">""""&amp;TEXT('SCOUT &amp; LOGISTICS'!B3,"dd/mm/aaaa")&amp;""""</f>
        <v>"11/12/Thursday"</v>
      </c>
      <c r="F7" s="45" t="str">
        <f t="shared" ca="1" si="0"/>
        <v>"date" : "11/12/Thursday",</v>
      </c>
    </row>
    <row r="8" spans="2:6" x14ac:dyDescent="0.25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5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"JAIME LAQUIDAIN"</v>
      </c>
      <c r="F10" s="45" t="str">
        <f t="shared" si="0"/>
        <v>"Data_entry" : "JAIME LAQUIDAIN",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"MIGUEL PENALBA"</v>
      </c>
      <c r="F11" s="45" t="str">
        <f t="shared" si="0"/>
        <v>"Caller_1" : "MIGUEL PENALBA",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"ALVARO PENALBA"</v>
      </c>
      <c r="F12" s="45" t="str">
        <f t="shared" si="0"/>
        <v>"Caller_2" : "ALVARO PENALBA",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"ANDRES DE LA COBA"</v>
      </c>
      <c r="F13" s="45" t="str">
        <f t="shared" si="0"/>
        <v>"Timerkeeper" : "ANDRES DE LA COBA",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"INES RAQUEL PIATKOWSKA"</v>
      </c>
      <c r="F14" s="45" t="str">
        <f t="shared" si="0"/>
        <v>"Shotclock" : "INES RAQUEL PIATKOWSKA",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"ALBERTO GONZALEZ"</v>
      </c>
      <c r="F15" s="45" t="str">
        <f t="shared" si="0"/>
        <v>"IRS" : "ALBERTO GONZALEZ",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626</v>
      </c>
      <c r="F25" s="45" t="str">
        <f t="shared" ref="F25:F48" si="1">""""&amp;C25&amp;"""" &amp; " : " &amp;D25&amp;","</f>
        <v>"total_actions" : 626,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"The scouting work has been very good. Remember that in a jumpball with random players we record a team rebound if it is a rebound situation. When there is a shot that doesn’t touch the rim and the shotclock buzzes, it’s a team turnover without recording a rebound. Regarding communication, if a team complains about something to you directly, even if they are not right, even if you have it under control, let us know."</v>
      </c>
      <c r="F51" s="45" t="str">
        <f>""""&amp;B51&amp;"""" &amp; " : " &amp;C51&amp;","</f>
        <v>"comments" : "The scouting work has been very good. Remember that in a jumpball with random players we record a team rebound if it is a rebound situation. When there is a shot that doesn’t touch the rim and the shotclock buzzes, it’s a team turnover without recording a rebound. Regarding communication, if a team complains about something to you directly, even if they are not right, even if you have it under control, let us know.",</v>
      </c>
    </row>
    <row r="52" spans="2:6" x14ac:dyDescent="0.25">
      <c r="B52" s="43" t="s">
        <v>153</v>
      </c>
      <c r="C52" s="43" t="str">
        <f>TEXT('SCOUT &amp; LOGISTICS'!F1,"0,0")</f>
        <v>15_145_MAD_BAS_E2025</v>
      </c>
      <c r="F52" s="45" t="str">
        <f>""""&amp;B52&amp;"""" &amp; " : " &amp;C52</f>
        <v>"result" : 15_145_MAD_BAS_E2025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E145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11/12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Real Madrid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Baskonia Vitoria-Gasteiz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JAIME LAQUIDAIN</v>
      </c>
      <c r="C8" s="206"/>
      <c r="D8" s="206"/>
      <c r="E8" s="206"/>
      <c r="F8" s="206"/>
      <c r="G8" s="206" t="str">
        <f>IF('SCOUT &amp; LOGISTICS'!D7="","",'SCOUT &amp; LOGISTICS'!D7)</f>
        <v>MIGUEL PENALBA</v>
      </c>
      <c r="H8" s="206"/>
      <c r="I8" s="206"/>
      <c r="J8" s="206"/>
      <c r="K8" s="206"/>
      <c r="L8" s="206" t="str">
        <f>IF('SCOUT &amp; LOGISTICS'!D8="","",'SCOUT &amp; LOGISTICS'!D8)</f>
        <v>ALVARO PENALBA</v>
      </c>
      <c r="M8" s="206"/>
      <c r="N8" s="206"/>
      <c r="O8" s="206"/>
      <c r="P8" s="206"/>
      <c r="Q8" s="206" t="str">
        <f>IF('SCOUT &amp; LOGISTICS'!D9="","",'SCOUT &amp; LOGISTICS'!D9)</f>
        <v>ANDRES DE LA COBA</v>
      </c>
      <c r="R8" s="206"/>
      <c r="S8" s="206"/>
      <c r="T8" s="206"/>
      <c r="U8" s="206"/>
      <c r="V8" s="206" t="str">
        <f>IF('SCOUT &amp; LOGISTICS'!D10="","",'SCOUT &amp; LOGISTICS'!D10)</f>
        <v>INES RAQUEL PIATKOWSKA</v>
      </c>
      <c r="W8" s="206"/>
      <c r="X8" s="206"/>
      <c r="Y8" s="206"/>
      <c r="Z8" s="206"/>
      <c r="AA8" s="206" t="str">
        <f>IF('SCOUT &amp; LOGISTICS'!D11="","",'SCOUT &amp; LOGISTICS'!D11)</f>
        <v>ALBERTO GONZALEZ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OK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626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7.9872204472843447E-3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The scouting work has been very good. Remember that in a jumpball with random players we record a team rebound if it is a rebound situation. When there is a shot that doesn’t touch the rim and the shotclock buzzes, it’s a team turnover without recording a rebound. Regarding communication, if a team complains about something to you directly, even if they are not right, even if you have it under control, let us know.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4.798722044728434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11C89BE-CB96-43F9-9F73-8DA339A0EF1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2025-12-12T15:06:59Z</cp:lastPrinted>
  <dcterms:created xsi:type="dcterms:W3CDTF">2023-09-19T19:50:35Z</dcterms:created>
  <dcterms:modified xsi:type="dcterms:W3CDTF">2025-12-12T15:09:01Z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