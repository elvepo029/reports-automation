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D4EAB81-F693-4E59-8882-A6289BD320D2}" xr6:coauthVersionLast="47" xr6:coauthVersionMax="47" xr10:uidLastSave="{00000000-0000-0000-0000-000000000000}"/>
  <bookViews>
    <workbookView xWindow="1440" yWindow="-14760" windowWidth="21600" windowHeight="11235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<sst xmlns="http://schemas.openxmlformats.org/spreadsheetml/2006/main" count="3385" uniqueCount="844">
  <si>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</si>
  <si>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</si>
  <si>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</si>
  <si>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</si>
  <si>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</si>
  <si>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</si>
  <si>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</si>
  <si>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</si>
  <si>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</si>
  <si>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</si>
  <si>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</si>
  <si>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</si>
  <si>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</si>
  <si>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</si>
  <si>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</si>
  <si>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</si>
  <si>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</si>
  <si>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</si>
  <si>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</si>
  <si>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</si>
  <si>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</si>
  <si>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</si>
  <si>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</si>
  <si>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</si>
  <si>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</si>
  <si>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</si>
  <si>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</si>
  <si>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</si>
  <si>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</si>
  <si>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</si>
  <si>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</si>
  <si>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</si>
  <si>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</si>
  <si>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</si>
  <si>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</si>
  <si>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</si>
  <si>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</si>
  <si>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</si>
  <si>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</si>
  <si>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</si>
  <si>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</si>
  <si>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</si>
  <si>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</si>
  <si>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</si>
  <si>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</si>
  <si>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</si>
  <si>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</si>
  <si>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</si>
  <si>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</si>
  <si>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</si>
  <si>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</si>
  <si>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</si>
  <si>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</si>
  <si>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</si>
  <si>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</si>
  <si>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</si>
  <si>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</si>
  <si>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</si>
  <si>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</si>
  <si>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</si>
  <si>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</si>
  <si>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</si>
  <si>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</si>
  <si>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</si>
  <si>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</si>
  <si>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</si>
  <si>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</si>
  <si>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</si>
  <si>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</si>
  <si>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</si>
  <si>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</si>
  <si>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</si>
  <si>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</si>
  <si>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</si>
  <si>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</si>
  <si>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</si>
  <si>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</si>
  <si>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</si>
  <si>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</si>
  <si>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</si>
  <si>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</si>
  <si>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</si>
  <si>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</si>
  <si>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</si>
  <si>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</si>
  <si>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</si>
  <si>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</si>
  <si>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</si>
  <si>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</si>
  <si>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</si>
  <si>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</si>
  <si>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</si>
  <si>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</si>
  <si>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</si>
  <si>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</si>
  <si>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</si>
  <si>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</si>
  <si>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</si>
  <si>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</si>
  <si>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</si>
  <si>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</si>
  <si>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</si>
  <si>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</si>
  <si>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</si>
  <si>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</si>
  <si>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</si>
  <si>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</si>
  <si>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</si>
  <si>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</si>
  <si>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</si>
  <si>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</si>
  <si>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</si>
  <si>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</si>
  <si>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</si>
  <si>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</si>
  <si>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</si>
  <si>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</si>
  <si>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</si>
  <si>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</si>
  <si>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</si>
  <si>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</si>
  <si>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</si>
  <si>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</si>
  <si>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</si>
  <si>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</si>
  <si>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</si>
  <si>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</si>
  <si>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</si>
  <si>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</si>
  <si>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</si>
  <si>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</si>
  <si>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</si>
  <si>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</si>
  <si>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</si>
  <si>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</si>
  <si>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</si>
  <si>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</si>
  <si>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</si>
  <si>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</si>
  <si>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</si>
  <si>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</si>
  <si>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</si>
  <si>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</si>
  <si>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</si>
  <si>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</si>
  <si>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</si>
  <si>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</si>
  <si>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</si>
  <si>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</si>
  <si>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</si>
  <si>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</si>
  <si>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</si>
  <si>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</si>
  <si>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</si>
  <si>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</si>
  <si>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</si>
  <si>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</si>
  <si>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</si>
  <si>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</si>
  <si>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</si>
  <si>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</si>
  <si>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</si>
  <si>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</si>
  <si>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</si>
  <si>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</si>
  <si>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</si>
  <si>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</si>
  <si>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</si>
  <si>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</si>
  <si>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</si>
  <si>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</si>
  <si>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</si>
  <si>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</si>
  <si>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</si>
  <si>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</si>
  <si>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</si>
  <si>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</si>
  <si>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</si>
  <si>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</si>
  <si>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</si>
  <si>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</si>
  <si>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</si>
  <si>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</si>
  <si>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</si>
  <si>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</si>
  <si>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</si>
  <si>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</si>
  <si>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</si>
  <si>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</si>
  <si>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</si>
  <si>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</si>
  <si>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</si>
  <si>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</si>
  <si>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</si>
  <si>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</si>
  <si>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</si>
  <si>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</si>
  <si>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</si>
  <si>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</si>
  <si>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</si>
  <si>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</si>
  <si>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</si>
  <si>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</si>
  <si>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</si>
  <si>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</si>
  <si>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</si>
  <si>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</si>
  <si>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</si>
  <si>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</si>
  <si>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</si>
  <si>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</si>
  <si>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</si>
  <si>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</si>
  <si>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</si>
  <si>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</si>
  <si>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</si>
  <si>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</si>
  <si>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</si>
  <si>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</si>
  <si>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</si>
  <si>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</si>
  <si>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</si>
  <si>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</si>
  <si>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</si>
  <si>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</si>
  <si>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</si>
  <si>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</si>
  <si>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</si>
  <si>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</si>
  <si>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</si>
  <si>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</si>
  <si>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</si>
  <si>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</si>
  <si>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</si>
  <si>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</si>
  <si>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</si>
  <si>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</si>
  <si>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</si>
  <si>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</si>
  <si>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</si>
  <si>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</si>
  <si>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</si>
  <si>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</si>
  <si>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</si>
  <si>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</si>
  <si>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</si>
  <si>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</si>
  <si>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</si>
  <si>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</si>
  <si>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</si>
  <si>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</si>
  <si>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</si>
  <si>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</si>
  <si>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</si>
  <si>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</si>
  <si>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</si>
  <si>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</si>
  <si>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</si>
  <si>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</si>
  <si>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</si>
  <si>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</si>
  <si>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</si>
  <si>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</si>
  <si>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</si>
  <si>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</si>
  <si>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</si>
  <si>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</si>
  <si>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</si>
  <si>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</si>
  <si>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</si>
  <si>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</si>
  <si>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</si>
  <si>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</si>
  <si>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</si>
  <si>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</si>
  <si>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</si>
  <si>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</si>
  <si>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</si>
  <si>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</si>
  <si>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</si>
  <si>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</si>
  <si>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</si>
  <si>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</si>
  <si>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</si>
  <si>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</si>
  <si>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</si>
  <si>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</si>
  <si>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</si>
  <si>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</si>
  <si>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</si>
  <si>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</si>
  <si>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</si>
  <si>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</si>
  <si>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</si>
  <si>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</si>
  <si>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</si>
  <si>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</si>
  <si>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</si>
  <si>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</si>
  <si>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</si>
  <si>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</si>
  <si>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</si>
  <si>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</si>
  <si>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</si>
  <si>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</si>
  <si>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</si>
  <si>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</si>
  <si>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</si>
  <si>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</si>
  <si>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</si>
  <si>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</si>
  <si>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</si>
  <si>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</si>
  <si>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</si>
  <si>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</si>
  <si>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</si>
  <si>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</si>
  <si>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</si>
  <si>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</si>
  <si>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</si>
  <si>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</si>
  <si>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</si>
  <si>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</si>
  <si>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</si>
  <si>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</si>
  <si>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</si>
  <si>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</si>
  <si>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</si>
  <si>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</si>
  <si>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</si>
  <si>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</si>
  <si>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</si>
  <si>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</si>
  <si>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</si>
  <si>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</si>
  <si>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</si>
  <si>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</si>
  <si>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</si>
  <si>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</si>
  <si>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</si>
  <si>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</si>
  <si>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</si>
  <si>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</si>
  <si>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</si>
  <si>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</si>
  <si>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</si>
  <si>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</si>
  <si>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</si>
  <si>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</si>
  <si>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</si>
  <si>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</si>
  <si>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</si>
  <si>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</si>
  <si>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</si>
  <si>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</si>
  <si>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</si>
  <si>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</si>
  <si>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</si>
  <si>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</si>
  <si>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</si>
  <si>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</si>
  <si>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</si>
  <si>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</si>
  <si>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</si>
  <si>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</si>
  <si>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</si>
  <si>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</si>
  <si>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</si>
  <si>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</si>
  <si>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</si>
  <si>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</si>
  <si>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</si>
  <si>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</si>
  <si>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</si>
  <si>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</si>
  <si>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</si>
  <si>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</si>
  <si>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</si>
  <si>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</si>
  <si>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</si>
  <si>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</si>
  <si>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</si>
  <si>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</si>
  <si>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</si>
  <si>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</si>
  <si>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</si>
  <si>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</si>
  <si>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</si>
  <si>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</si>
  <si>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</si>
  <si>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</si>
  <si>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</si>
  <si>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</si>
  <si>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</si>
  <si>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</si>
  <si>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</si>
  <si>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</si>
  <si>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</si>
  <si>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</si>
  <si>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</si>
  <si>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</si>
  <si>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</si>
  <si>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</si>
  <si>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</si>
  <si>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</si>
  <si>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</si>
  <si>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</si>
  <si>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</si>
  <si>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</si>
  <si>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</si>
  <si>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</si>
  <si>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</si>
  <si>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</si>
  <si>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</si>
  <si>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</si>
  <si>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</si>
  <si>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</si>
  <si>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</si>
  <si>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</si>
  <si>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</si>
  <si>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</si>
  <si>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</si>
  <si>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</si>
  <si>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</si>
  <si>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</si>
  <si>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</si>
  <si>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</si>
  <si>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</si>
  <si>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</si>
  <si>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</si>
  <si>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</si>
  <si>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</si>
  <si>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</si>
  <si>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</si>
  <si>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</si>
  <si>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</si>
  <si>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</si>
  <si>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</si>
  <si>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</si>
  <si>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</si>
  <si>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</si>
  <si>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</si>
  <si>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</si>
  <si>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</si>
  <si>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</si>
  <si>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</si>
  <si>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</si>
  <si>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</si>
  <si>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</si>
  <si>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</si>
  <si>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</si>
  <si>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</si>
  <si>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</si>
  <si>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</si>
  <si>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</si>
  <si>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</si>
  <si>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</si>
  <si>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</si>
  <si>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</si>
  <si>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</si>
  <si>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</si>
  <si>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</si>
  <si>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</si>
  <si>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</si>
  <si>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</si>
  <si>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</si>
  <si>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</si>
  <si>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</si>
  <si>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</si>
  <si>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</si>
  <si>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</si>
  <si>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</si>
  <si>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</si>
  <si>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</si>
  <si>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</si>
  <si>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</si>
  <si>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</si>
  <si>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</si>
  <si>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</si>
  <si>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</si>
  <si>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</si>
  <si>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</si>
  <si>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</si>
  <si>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</si>
  <si>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</si>
  <si>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</si>
  <si>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</si>
  <si>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</si>
  <si>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</si>
  <si>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</si>
  <si>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</si>
  <si>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</si>
  <si>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</si>
  <si>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</si>
  <si>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</si>
  <si>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</si>
  <si>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</si>
  <si>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</si>
  <si>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</si>
  <si>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</si>
  <si>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</si>
  <si>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</si>
  <si>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</si>
  <si>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</si>
  <si>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</si>
  <si>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</si>
  <si>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</si>
  <si>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</si>
  <si>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</si>
  <si>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</si>
  <si>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</si>
  <si>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</si>
  <si>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</si>
  <si>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</si>
  <si>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</si>
  <si>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</si>
  <si>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</si>
  <si>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</si>
  <si>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</si>
  <si>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</si>
  <si>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</si>
  <si>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</si>
  <si>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</si>
  <si>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</si>
  <si>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</si>
  <si>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</si>
  <si>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</si>
  <si>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</si>
  <si>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</si>
  <si>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</si>
  <si>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</si>
  <si>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</si>
  <si>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</si>
  <si>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</si>
  <si>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</si>
  <si>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</si>
  <si>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</si>
  <si>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</si>
  <si>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</si>
  <si>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</si>
  <si>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</si>
  <si>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</si>
  <si>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</si>
  <si>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</si>
  <si>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</si>
  <si>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</si>
  <si>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</si>
  <si>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</si>
  <si>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</si>
  <si>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</si>
  <si>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</si>
  <si>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</si>
  <si>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</si>
  <si>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</si>
  <si>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</si>
  <si>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</si>
  <si>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</si>
  <si>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</si>
  <si>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</si>
  <si>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</si>
  <si>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</si>
  <si>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</si>
  <si>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</si>
  <si>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</si>
  <si>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</si>
  <si>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</si>
  <si>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</si>
  <si>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</si>
  <si>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</si>
  <si>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</si>
  <si>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</si>
  <si>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</si>
  <si>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</si>
  <si>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</si>
  <si>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</si>
  <si>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</si>
  <si>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</si>
  <si>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</si>
  <si>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</si>
  <si>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</si>
  <si>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</si>
  <si>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</si>
  <si>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</si>
  <si>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</si>
  <si>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</si>
  <si>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</si>
  <si>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</si>
  <si>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</si>
  <si>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</si>
  <si>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</si>
  <si>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</si>
  <si>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</si>
  <si>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</si>
  <si>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</si>
  <si>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</si>
  <si>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</si>
  <si>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</si>
  <si>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</si>
  <si>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</si>
  <si>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</si>
  <si>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</si>
  <si>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</si>
  <si>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</si>
  <si>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</si>
  <si>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</si>
  <si>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</si>
  <si>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</si>
  <si>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</si>
  <si>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</si>
  <si>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</si>
  <si>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</si>
  <si>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</si>
  <si>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</si>
  <si>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</si>
  <si>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</si>
  <si>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</si>
  <si>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</si>
  <si>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</si>
  <si>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</si>
  <si>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</si>
  <si>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</si>
  <si>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</si>
  <si>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</si>
  <si>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</si>
  <si>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</si>
  <si>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</si>
  <si>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</si>
  <si>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</si>
  <si>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</si>
  <si>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</si>
  <si>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</si>
  <si>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</si>
  <si>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</si>
  <si>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</si>
  <si>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</si>
  <si>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</si>
  <si>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</si>
  <si>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</si>
  <si>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</si>
  <si>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</si>
  <si>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</si>
  <si>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</si>
  <si>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</si>
  <si>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</si>
  <si>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</si>
  <si>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</si>
  <si>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</si>
  <si>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</si>
  <si>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</si>
  <si>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</si>
  <si>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</si>
  <si>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</si>
  <si>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</si>
  <si>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</si>
  <si>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</si>
  <si>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</si>
  <si>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</si>
  <si>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</si>
  <si>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</si>
  <si>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</si>
  <si>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</si>
  <si>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</si>
  <si>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</si>
  <si>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</si>
  <si>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</si>
  <si>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</si>
  <si>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</si>
  <si>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</si>
  <si>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</si>
  <si>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</si>
  <si>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</si>
  <si>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</si>
  <si>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</si>
  <si>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</si>
  <si>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</si>
  <si>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</si>
  <si>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</si>
  <si>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</si>
  <si>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</si>
  <si>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</si>
  <si>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</si>
  <si>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</si>
  <si>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</si>
  <si>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</si>
  <si>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</si>
  <si>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</si>
  <si>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</si>
  <si>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</si>
  <si>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</si>
  <si>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</si>
  <si>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</si>
  <si>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</si>
  <si>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</si>
  <si>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</si>
  <si>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</si>
  <si>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</si>
  <si>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</si>
  <si>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</si>
  <si>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</si>
  <si>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</si>
  <si>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</si>
  <si>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</si>
  <si>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</si>
  <si>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</si>
  <si>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</si>
  <si>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</si>
  <si>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</si>
  <si>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</si>
  <si>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</si>
  <si>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</si>
  <si>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</si>
  <si>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</si>
  <si>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</si>
  <si>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</si>
  <si>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</si>
  <si>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</si>
  <si>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</si>
  <si>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</si>
  <si>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</si>
  <si>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</si>
  <si>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</si>
  <si>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</si>
  <si>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</si>
  <si>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</si>
  <si>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</si>
  <si>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</si>
  <si>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</si>
  <si>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</si>
  <si>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</si>
  <si>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</si>
  <si>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</si>
  <si>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</si>
  <si>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</si>
  <si>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</si>
  <si>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</si>
  <si>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</si>
  <si>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</si>
  <si>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</si>
  <si>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</si>
  <si>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</si>
  <si>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</si>
  <si>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</si>
  <si>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</si>
  <si>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</si>
  <si>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</si>
  <si>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</si>
  <si>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</si>
  <si>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</si>
  <si>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</si>
  <si>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</si>
  <si>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</si>
  <si>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</si>
  <si>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</si>
  <si>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</si>
  <si>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</si>
  <si>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</si>
  <si>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</si>
  <si>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</si>
  <si>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</si>
  <si>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</si>
  <si>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</si>
  <si>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</si>
  <si>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</si>
  <si>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</si>
  <si>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</si>
  <si>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</si>
  <si>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</si>
  <si>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</si>
  <si>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</si>
  <si>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</si>
  <si>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</si>
  <si>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</si>
  <si>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</si>
  <si>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</si>
  <si>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</si>
  <si>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</si>
  <si>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</si>
  <si>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</si>
  <si>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</si>
  <si>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</si>
  <si>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</si>
  <si>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</si>
  <si>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</si>
  <si>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</si>
  <si>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</si>
  <si>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</si>
  <si>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</si>
  <si>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</si>
  <si>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</si>
  <si>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</si>
  <si>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</si>
  <si>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</si>
  <si>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</si>
  <si>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</si>
  <si>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</si>
  <si>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</si>
  <si>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</si>
  <si>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</si>
  <si>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</si>
  <si>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</si>
  <si>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</si>
  <si>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</si>
  <si>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</si>
  <si>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</si>
  <si>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</si>
  <si>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</si>
  <si>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</si>
  <si>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</si>
  <si>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</si>
  <si>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</si>
  <si>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</si>
  <si>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</si>
  <si>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</si>
  <si>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</si>
  <si>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</si>
  <si>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</si>
  <si>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</si>
  <si>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</si>
  <si>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</si>
  <si>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</si>
  <si>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</si>
  <si>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</si>
  <si>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</si>
  <si>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</si>
  <si>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</si>
  <si>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</si>
  <si>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MOCHAEL AHNSON-MORRIS</t>
  </si>
  <si>
    <t>TONU SHOREY</t>
  </si>
  <si>
    <t>CARA ALLAN</t>
  </si>
  <si>
    <t>HAZEL GRAY</t>
  </si>
  <si>
    <t>STEVE CUTTS</t>
  </si>
  <si>
    <t>OSCAR CUESTA</t>
  </si>
  <si>
    <t>3.43</t>
  </si>
  <si>
    <t>6:47</t>
  </si>
  <si>
    <t>Tampoc inserten STEAL</t>
  </si>
  <si>
    <t>1:27</t>
  </si>
  <si>
    <t>0:42</t>
  </si>
  <si>
    <t>1:28</t>
  </si>
  <si>
    <t>0:03</t>
  </si>
  <si>
    <t>2:18</t>
  </si>
  <si>
    <t>8:31</t>
  </si>
  <si>
    <t>Es un OFF REB</t>
  </si>
  <si>
    <t>Es un BLOCK</t>
  </si>
  <si>
    <t>All about assist criteria was super, but there were some gross mistakes. I'm convinced you just had a bad night.Many thanks for close cooperation and comunication all along the 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</si>
</sst>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8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15_146_LLI_ULM_U2025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46043.8125</v>
      </c>
      <c r="C3" s="157"/>
      <c r="D3" s="39">
        <v>632</v>
      </c>
      <c r="E3" s="29"/>
      <c r="F3" s="26">
        <f>SUBTOTAL(3,I17:I106)</f>
        <v>10</v>
      </c>
      <c r="G3" s="27">
        <f>IF(OR(D3="",D3=0),"",F3/D3)</f>
        <v>1.5822784810126583E-2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London Lions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743</v>
      </c>
      <c r="L4" s="5"/>
      <c r="M4" s="167" t="s">
        <v>843</v>
      </c>
      <c r="N4" s="168"/>
      <c r="O4" s="2"/>
      <c r="P4" s="2"/>
      <c r="Q4" s="84" t="s">
        <v>175</v>
      </c>
      <c r="R4" s="94">
        <f>(IF(G3="",0,G3))</f>
        <v>1.5822784810126583E-2</v>
      </c>
      <c r="S4" s="61">
        <f>SUM(I13:M13)</f>
        <v>1</v>
      </c>
      <c r="T4" s="78"/>
      <c r="U4" s="61">
        <f>AC18</f>
        <v>1</v>
      </c>
      <c r="V4" s="61">
        <f>+AC22</f>
        <v>0</v>
      </c>
      <c r="W4" s="61">
        <f>AC24</f>
        <v>1</v>
      </c>
      <c r="X4" s="61">
        <f>AC29</f>
        <v>0</v>
      </c>
      <c r="Y4" s="61">
        <f>AC25</f>
        <v>4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ratiopharm Ulm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1.5822784810126582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1</v>
      </c>
      <c r="X5" s="70">
        <f t="shared" si="1"/>
        <v>0</v>
      </c>
      <c r="Y5" s="70">
        <f t="shared" si="1"/>
        <v>8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22.082278481012658</v>
      </c>
      <c r="N7" s="58"/>
      <c r="O7" s="2"/>
      <c r="P7" s="2"/>
      <c r="Q7" s="86">
        <f>SUM(R5,S5,AC16)</f>
        <v>22.082278481012658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22.082278481012658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19.5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146</v>
      </c>
      <c r="D17" s="32" t="s">
        <v>832</v>
      </c>
      <c r="E17" s="33">
        <v>1</v>
      </c>
      <c r="F17" s="36">
        <v>12</v>
      </c>
      <c r="G17" s="36">
        <v>12</v>
      </c>
      <c r="H17" s="38" t="str">
        <f>IF(I17="","",$I$14)</f>
        <v>SCOUTING</v>
      </c>
      <c r="I17" s="34">
        <v>96</v>
      </c>
      <c r="J17" s="13" t="s">
        <v>4</v>
      </c>
      <c r="K17" s="13" t="s">
        <v>63</v>
      </c>
      <c r="L17" s="13" t="s">
        <v>7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146</v>
      </c>
      <c r="D18" s="32" t="s">
        <v>833</v>
      </c>
      <c r="E18" s="33">
        <v>2</v>
      </c>
      <c r="F18" s="36">
        <v>20</v>
      </c>
      <c r="G18" s="36">
        <v>25</v>
      </c>
      <c r="H18" s="38" t="str">
        <f t="shared" ref="H18:H81" si="8">IF(I18="","",$I$14)</f>
        <v>SCOUTING</v>
      </c>
      <c r="I18" s="34">
        <v>202</v>
      </c>
      <c r="J18" s="13" t="s">
        <v>4</v>
      </c>
      <c r="K18" s="13" t="s">
        <v>62</v>
      </c>
      <c r="L18" s="13" t="s">
        <v>7</v>
      </c>
      <c r="M18" s="13" t="s">
        <v>9</v>
      </c>
      <c r="N18" s="35" t="s">
        <v>834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6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146</v>
      </c>
      <c r="D19" s="32" t="s">
        <v>833</v>
      </c>
      <c r="E19" s="33">
        <v>2</v>
      </c>
      <c r="F19" s="36">
        <v>20</v>
      </c>
      <c r="G19" s="36">
        <v>25</v>
      </c>
      <c r="H19" s="38" t="str">
        <f t="shared" si="8"/>
        <v>SCOUTING</v>
      </c>
      <c r="I19" s="34">
        <v>202</v>
      </c>
      <c r="J19" s="13" t="s">
        <v>4</v>
      </c>
      <c r="K19" s="13" t="s">
        <v>62</v>
      </c>
      <c r="L19" s="13" t="s">
        <v>48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146</v>
      </c>
      <c r="D20" s="32" t="s">
        <v>837</v>
      </c>
      <c r="E20" s="33">
        <v>2</v>
      </c>
      <c r="F20" s="36">
        <v>30</v>
      </c>
      <c r="G20" s="36">
        <v>36</v>
      </c>
      <c r="H20" s="38" t="str">
        <f t="shared" si="8"/>
        <v>SCOUTING</v>
      </c>
      <c r="I20" s="34">
        <v>268</v>
      </c>
      <c r="J20" s="13" t="s">
        <v>4</v>
      </c>
      <c r="K20" s="13" t="s">
        <v>63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U2025</v>
      </c>
      <c r="C21" s="31">
        <f t="shared" si="3"/>
        <v>146</v>
      </c>
      <c r="D21" s="32" t="s">
        <v>835</v>
      </c>
      <c r="E21" s="33">
        <v>2</v>
      </c>
      <c r="F21" s="36">
        <v>30</v>
      </c>
      <c r="G21" s="36">
        <v>36</v>
      </c>
      <c r="H21" s="38" t="str">
        <f t="shared" si="8"/>
        <v>SCOUTING</v>
      </c>
      <c r="I21" s="34">
        <v>269</v>
      </c>
      <c r="J21" s="13" t="s">
        <v>3</v>
      </c>
      <c r="K21" s="13" t="s">
        <v>63</v>
      </c>
      <c r="L21" s="13" t="s">
        <v>48</v>
      </c>
      <c r="M21" s="13" t="s">
        <v>39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U2025</v>
      </c>
      <c r="C22" s="31">
        <f t="shared" si="3"/>
        <v>146</v>
      </c>
      <c r="D22" s="32" t="s">
        <v>836</v>
      </c>
      <c r="E22" s="33">
        <v>2</v>
      </c>
      <c r="F22" s="36">
        <v>30</v>
      </c>
      <c r="G22" s="36">
        <v>36</v>
      </c>
      <c r="H22" s="38" t="str">
        <f t="shared" si="8"/>
        <v>SCOUTING</v>
      </c>
      <c r="I22" s="34">
        <v>288</v>
      </c>
      <c r="J22" s="13" t="s">
        <v>4</v>
      </c>
      <c r="K22" s="13" t="s">
        <v>62</v>
      </c>
      <c r="L22" s="13" t="s">
        <v>47</v>
      </c>
      <c r="M22" s="13" t="s">
        <v>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U2025</v>
      </c>
      <c r="C23" s="31">
        <f t="shared" si="3"/>
        <v>146</v>
      </c>
      <c r="D23" s="32" t="s">
        <v>838</v>
      </c>
      <c r="E23" s="33">
        <v>2</v>
      </c>
      <c r="F23" s="36">
        <v>32</v>
      </c>
      <c r="G23" s="36">
        <v>36</v>
      </c>
      <c r="H23" s="38" t="str">
        <f t="shared" si="8"/>
        <v>SCOUTING</v>
      </c>
      <c r="I23" s="34">
        <v>300</v>
      </c>
      <c r="J23" s="13" t="s">
        <v>4</v>
      </c>
      <c r="K23" s="13" t="s">
        <v>63</v>
      </c>
      <c r="L23" s="13" t="s">
        <v>7</v>
      </c>
      <c r="M23" s="13" t="s">
        <v>27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U2025</v>
      </c>
      <c r="C24" s="31">
        <f t="shared" si="3"/>
        <v>146</v>
      </c>
      <c r="D24" s="32" t="s">
        <v>839</v>
      </c>
      <c r="E24" s="33">
        <v>3</v>
      </c>
      <c r="F24" s="36">
        <v>44</v>
      </c>
      <c r="G24" s="36">
        <v>46</v>
      </c>
      <c r="H24" s="38" t="str">
        <f t="shared" si="8"/>
        <v>SCOUTING</v>
      </c>
      <c r="I24" s="34">
        <v>433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U2025</v>
      </c>
      <c r="C25" s="31">
        <f t="shared" si="3"/>
        <v>146</v>
      </c>
      <c r="D25" s="32" t="s">
        <v>840</v>
      </c>
      <c r="E25" s="33">
        <v>4</v>
      </c>
      <c r="F25" s="36">
        <v>49</v>
      </c>
      <c r="G25" s="36">
        <v>51</v>
      </c>
      <c r="H25" s="38" t="str">
        <f t="shared" si="8"/>
        <v>SCOUTING</v>
      </c>
      <c r="I25" s="34">
        <v>477</v>
      </c>
      <c r="J25" s="13" t="s">
        <v>4</v>
      </c>
      <c r="K25" s="13" t="s">
        <v>63</v>
      </c>
      <c r="L25" s="13" t="s">
        <v>48</v>
      </c>
      <c r="M25" s="13" t="s">
        <v>9</v>
      </c>
      <c r="N25" s="35" t="s">
        <v>841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4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U2025</v>
      </c>
      <c r="C26" s="31">
        <f t="shared" si="3"/>
        <v>146</v>
      </c>
      <c r="D26" s="32" t="s">
        <v>840</v>
      </c>
      <c r="E26" s="33">
        <v>4</v>
      </c>
      <c r="F26" s="36">
        <v>49</v>
      </c>
      <c r="G26" s="36">
        <v>51</v>
      </c>
      <c r="H26" s="38" t="str">
        <f t="shared" si="8"/>
        <v>SCOUTING</v>
      </c>
      <c r="I26" s="34">
        <v>478</v>
      </c>
      <c r="J26" s="13" t="s">
        <v>4</v>
      </c>
      <c r="K26" s="13" t="s">
        <v>63</v>
      </c>
      <c r="L26" s="13" t="s">
        <v>48</v>
      </c>
      <c r="M26" s="13" t="s">
        <v>28</v>
      </c>
      <c r="N26" s="35" t="s">
        <v>842</v>
      </c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REPORT_U2025146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"U2025146"</v>
      </c>
      <c r="F3" s="45" t="str">
        <f t="shared" ref="F3:F16" si="0">""""&amp;B3&amp;"""" &amp; " : " &amp;C3&amp;","</f>
        <v>"name" : "U2025146",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"U146"</v>
      </c>
      <c r="F4" s="45" t="str">
        <f t="shared" si="0"/>
        <v>"cod" : "U146",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146</v>
      </c>
      <c r="F6" s="45" t="str">
        <f t="shared" si="0"/>
        <v>"number" : 146,</v>
      </c>
    </row>
    <row r="7" spans="2:6" x14ac:dyDescent="0.25">
      <c r="B7" s="43" t="s">
        <v>116</v>
      </c>
      <c r="C7" s="43" t="str">
        <f ca="1">""""&amp;TEXT('SCOUT &amp; LOGISTICS'!B3,"dd/mm/aaaa")&amp;""""</f>
        <v>"21/01/2026"</v>
      </c>
      <c r="F7" s="45" t="str">
        <f t="shared" ca="1" si="0"/>
        <v>"date" : "21/01/2026",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"MOCHAEL AHNSON-MORRIS"</v>
      </c>
      <c r="F10" s="45" t="str">
        <f t="shared" si="0"/>
        <v>"Data_entry" : "MOCHAEL AHNSON-MORRIS",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"TONU SHOREY"</v>
      </c>
      <c r="F11" s="45" t="str">
        <f t="shared" si="0"/>
        <v>"Caller_1" : "TONU SHOREY",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"CARA ALLAN"</v>
      </c>
      <c r="F12" s="45" t="str">
        <f t="shared" si="0"/>
        <v>"Caller_2" : "CARA ALLAN",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"HAZEL GRAY"</v>
      </c>
      <c r="F13" s="45" t="str">
        <f t="shared" si="0"/>
        <v>"Timerkeeper" : "HAZEL GRAY",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"STEVE CUTTS"</v>
      </c>
      <c r="F14" s="45" t="str">
        <f t="shared" si="0"/>
        <v>"Shotclock" : "STEVE CUTTS",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632</v>
      </c>
      <c r="F25" s="45" t="str">
        <f t="shared" ref="F25:F48" si="1">""""&amp;C25&amp;"""" &amp; " : " &amp;D25&amp;","</f>
        <v>"total_actions" : 632,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6</v>
      </c>
      <c r="F32" s="45" t="str">
        <f t="shared" si="1"/>
        <v>"q2" : 6,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"All about assist criteria was super, but there were some gross mistakes. I'm convinced you just had a bad night.Many thanks for close cooperation and comunication all along the match."</v>
      </c>
      <c r="F51" s="45" t="str">
        <f>""""&amp;B51&amp;"""" &amp; " : " &amp;C51&amp;","</f>
        <v>"comments" : "All about assist criteria was super, but there were some gross mistakes. I'm convinced you just had a bad night.Many thanks for close cooperation and comunication all along the match.",</v>
      </c>
    </row>
    <row r="52" spans="2:6" x14ac:dyDescent="0.25">
      <c r="B52" s="43" t="s">
        <v>153</v>
      </c>
      <c r="C52" s="43" t="str">
        <f>TEXT('SCOUT &amp; LOGISTICS'!F1,"0,0")</f>
        <v>15_146_LLI_ULM_U2025</v>
      </c>
      <c r="F52" s="45" t="str">
        <f>""""&amp;B52&amp;"""" &amp; " : " &amp;C52</f>
        <v>"result" : 15_146_LLI_ULM_U2025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U146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21/01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London Lions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Ratiopharm Ulm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MOCHAEL AHNSON-MORRIS</v>
      </c>
      <c r="C8" s="206"/>
      <c r="D8" s="206"/>
      <c r="E8" s="206"/>
      <c r="F8" s="206"/>
      <c r="G8" s="206" t="str">
        <f>IF('SCOUT &amp; LOGISTICS'!D7="","",'SCOUT &amp; LOGISTICS'!D7)</f>
        <v>TONU SHOREY</v>
      </c>
      <c r="H8" s="206"/>
      <c r="I8" s="206"/>
      <c r="J8" s="206"/>
      <c r="K8" s="206"/>
      <c r="L8" s="206" t="str">
        <f>IF('SCOUT &amp; LOGISTICS'!D8="","",'SCOUT &amp; LOGISTICS'!D8)</f>
        <v>CARA ALLAN</v>
      </c>
      <c r="M8" s="206"/>
      <c r="N8" s="206"/>
      <c r="O8" s="206"/>
      <c r="P8" s="206"/>
      <c r="Q8" s="206" t="str">
        <f>IF('SCOUT &amp; LOGISTICS'!D9="","",'SCOUT &amp; LOGISTICS'!D9)</f>
        <v>HAZEL GRAY</v>
      </c>
      <c r="R8" s="206"/>
      <c r="S8" s="206"/>
      <c r="T8" s="206"/>
      <c r="U8" s="206"/>
      <c r="V8" s="206" t="str">
        <f>IF('SCOUT &amp; LOGISTICS'!D10="","",'SCOUT &amp; LOGISTICS'!D10)</f>
        <v>STEVE CUTTS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632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1.5822784810126583E-2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6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4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4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All about assist criteria was super, but there were some gross mistakes. I'm convinced you just had a bad night.Many thanks for close cooperation and comunication all along the match.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22.082278481012658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F4F345-B002-4928-8ED8-480948B37FE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2026-01-21T22:23:19Z</cp:lastPrinted>
  <dcterms:created xsi:type="dcterms:W3CDTF">2023-09-19T19:50:35Z</dcterms:created>
  <dcterms:modified xsi:type="dcterms:W3CDTF">2026-01-21T22:23:30Z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