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B7BDAEA7-AD52-4CD3-B5F1-1BD2F37D2E87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<sst xmlns="http://schemas.openxmlformats.org/spreadsheetml/2006/main" count="3321" uniqueCount="826">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</sst>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15_146_LLI_ULM_U2025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146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46043.8125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London Lions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LLI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ratiopharm Ulm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REPORT_U2025146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"U2025146"</v>
      </c>
      <c r="F3" s="45" t="str">
        <f t="shared" ref="F3:F16" si="0">""""&amp;B3&amp;"""" &amp; " : " &amp;C3&amp;","</f>
        <v>"name" : "U2025146",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"U146"</v>
      </c>
      <c r="F4" s="45" t="str">
        <f t="shared" si="0"/>
        <v>"cod" : "U146",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146</v>
      </c>
      <c r="F6" s="45" t="str">
        <f t="shared" si="0"/>
        <v>"number" : 146,</v>
      </c>
    </row>
    <row r="7" spans="2:6" x14ac:dyDescent="0.2">
      <c r="B7" s="43" t="s">
        <v>116</v>
      </c>
      <c r="C7" s="43" t="str">
        <f ca="1">""""&amp;TEXT('SCOUT &amp; LOGISTICS'!B3,"dd/mm/aaaa")&amp;""""</f>
        <v>"21/01/Wednesday"</v>
      </c>
      <c r="F7" s="45" t="str">
        <f t="shared" ca="1" si="0"/>
        <v>"date" : "21/01/Wednesday",</v>
      </c>
    </row>
    <row r="8" spans="2:6" x14ac:dyDescent="0.2">
      <c r="B8" s="43" t="s">
        <v>125</v>
      </c>
      <c r="C8" s="43" t="str">
        <f>""""&amp;'SCOUT &amp; LOGISTICS'!D4 &amp;""""</f>
        <v>"London Lions"</v>
      </c>
      <c r="F8" s="45" t="str">
        <f t="shared" si="0"/>
        <v>"home_team" : "London Lions",</v>
      </c>
    </row>
    <row r="9" spans="2:6" x14ac:dyDescent="0.2">
      <c r="B9" s="43" t="s">
        <v>126</v>
      </c>
      <c r="C9" s="43" t="str">
        <f>""""&amp;'SCOUT &amp; LOGISTICS'!D5&amp;""""</f>
        <v>"ratiopharm Ulm"</v>
      </c>
      <c r="F9" s="45" t="str">
        <f t="shared" si="0"/>
        <v>"away_team" : "ratiopharm Ulm",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15_146_LLI_ULM_U2025</v>
      </c>
      <c r="F52" s="45" t="str">
        <f>""""&amp;B52&amp;"""" &amp; " : " &amp;C52</f>
        <v>"result" : 15_146_LLI_ULM_U2025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U146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21/01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London Lions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Ratiopharm Ulm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FC2385E-566D-4532-9F2D-4D5B8BDDC1D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2026-01-07T21:12:38Z</cp:lastPrinted>
  <dcterms:created xsi:type="dcterms:W3CDTF">2023-09-19T19:50:35Z</dcterms:created>
  <dcterms:modified xsi:type="dcterms:W3CDTF">2026-01-07T21:12:44Z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