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36" documentId="8_{D742CDDD-6A87-4E43-9A52-F12EA67143F9}" xr6:coauthVersionLast="47" xr6:coauthVersionMax="47" xr10:uidLastSave="{AA1DC31B-6502-47DA-ABD3-2476FE2F47E8}"/>
  <bookViews>
    <workbookView xWindow="-110" yWindow="-110" windowWidth="19420" windowHeight="1030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" i="1" l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<sst xmlns="http://schemas.openxmlformats.org/spreadsheetml/2006/main" count="3254" uniqueCount="760">
  <si>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</si>
  <si>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</si>
  <si>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</si>
  <si>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</si>
  <si>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</si>
  <si>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</si>
  <si>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</si>
  <si>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</si>
  <si>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</si>
  <si>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</si>
  <si>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</si>
  <si>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</si>
  <si>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</si>
  <si>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</si>
  <si>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</si>
  <si>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</si>
  <si>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</si>
  <si>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</si>
  <si>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</si>
  <si>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</si>
  <si>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</si>
  <si>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</si>
  <si>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</si>
  <si>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</si>
  <si>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</si>
  <si>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</si>
  <si>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</si>
  <si>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</si>
  <si>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</si>
  <si>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</si>
  <si>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</si>
  <si>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</si>
  <si>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</si>
  <si>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</si>
  <si>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</si>
  <si>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</si>
  <si>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</si>
  <si>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</si>
  <si>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</si>
  <si>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</si>
  <si>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</si>
  <si>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</si>
  <si>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</si>
  <si>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</si>
  <si>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</si>
  <si>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</si>
  <si>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</si>
  <si>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</si>
  <si>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</si>
  <si>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</si>
  <si>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</si>
  <si>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</si>
  <si>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</si>
  <si>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</si>
  <si>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</si>
  <si>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</si>
  <si>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</si>
  <si>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</si>
  <si>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</si>
  <si>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</si>
  <si>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</si>
  <si>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</si>
  <si>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</si>
  <si>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</si>
  <si>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</si>
  <si>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</si>
  <si>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</si>
  <si>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</si>
  <si>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</si>
  <si>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</si>
  <si>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</si>
  <si>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</si>
  <si>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</si>
  <si>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</si>
  <si>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</si>
  <si>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</si>
  <si>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</si>
  <si>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</si>
  <si>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</si>
  <si>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</si>
  <si>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</si>
  <si>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</si>
  <si>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</si>
  <si>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</si>
  <si>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</si>
  <si>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</si>
  <si>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</si>
  <si>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</si>
  <si>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</si>
  <si>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</si>
  <si>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</si>
  <si>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</si>
  <si>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</si>
  <si>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</si>
  <si>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</si>
  <si>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</si>
  <si>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</si>
  <si>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</si>
  <si>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</si>
  <si>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</si>
  <si>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</si>
  <si>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</si>
  <si>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</si>
  <si>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</si>
  <si>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</si>
  <si>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</si>
  <si>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</si>
  <si>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</si>
  <si>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</si>
  <si>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</si>
  <si>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</si>
  <si>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</si>
  <si>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</si>
  <si>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</si>
  <si>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</si>
  <si>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</si>
  <si>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</si>
  <si>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</si>
  <si>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</si>
  <si>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</si>
  <si>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</si>
  <si>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</si>
  <si>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</si>
  <si>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</si>
  <si>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</si>
  <si>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</si>
  <si>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</si>
  <si>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</si>
  <si>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</si>
  <si>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</si>
  <si>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</si>
  <si>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</si>
  <si>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</si>
  <si>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</si>
  <si>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</si>
  <si>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</si>
  <si>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</si>
  <si>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</si>
  <si>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</si>
  <si>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</si>
  <si>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</si>
  <si>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</si>
  <si>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</si>
  <si>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</si>
  <si>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</si>
  <si>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</si>
  <si>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</si>
  <si>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</si>
  <si>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</si>
  <si>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</si>
  <si>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</si>
  <si>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</si>
  <si>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</si>
  <si>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</si>
  <si>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</si>
  <si>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</si>
  <si>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</si>
  <si>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</si>
  <si>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</si>
  <si>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</si>
  <si>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</si>
  <si>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</si>
  <si>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</si>
  <si>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</si>
  <si>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</si>
  <si>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</si>
  <si>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</si>
  <si>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</si>
  <si>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</si>
  <si>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</si>
  <si>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</si>
  <si>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</si>
  <si>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</si>
  <si>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</si>
  <si>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</si>
  <si>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</si>
  <si>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</si>
  <si>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</si>
  <si>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</si>
  <si>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</si>
  <si>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</si>
  <si>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</si>
  <si>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</si>
  <si>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</si>
  <si>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</si>
  <si>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</si>
  <si>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</si>
  <si>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</si>
  <si>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</si>
  <si>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</si>
  <si>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</si>
  <si>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</si>
  <si>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</si>
  <si>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</si>
  <si>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</si>
  <si>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</si>
  <si>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</si>
  <si>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</si>
  <si>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</si>
  <si>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</si>
  <si>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</si>
  <si>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</si>
  <si>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</si>
  <si>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</si>
  <si>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</si>
  <si>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</si>
  <si>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</si>
  <si>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</si>
  <si>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</si>
  <si>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</si>
  <si>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</si>
  <si>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</si>
  <si>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</si>
  <si>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</si>
  <si>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</si>
  <si>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</si>
  <si>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</si>
  <si>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</si>
  <si>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</si>
  <si>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</si>
  <si>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</si>
  <si>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</si>
  <si>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</si>
  <si>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</si>
  <si>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</si>
  <si>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</si>
  <si>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</si>
  <si>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</si>
  <si>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</si>
  <si>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</si>
  <si>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</si>
  <si>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</si>
  <si>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</si>
  <si>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</si>
  <si>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</si>
  <si>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</si>
  <si>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</si>
  <si>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</si>
  <si>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</si>
  <si>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</si>
  <si>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</si>
  <si>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</si>
  <si>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</si>
  <si>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</si>
  <si>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</si>
  <si>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</si>
  <si>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</si>
  <si>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</si>
  <si>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</si>
  <si>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</si>
  <si>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</si>
  <si>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</si>
  <si>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</si>
  <si>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</si>
  <si>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</si>
  <si>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</si>
  <si>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</si>
  <si>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</si>
  <si>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</si>
  <si>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</si>
  <si>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</si>
  <si>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</si>
  <si>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</si>
  <si>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</si>
  <si>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</si>
  <si>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</si>
  <si>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</si>
  <si>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</si>
  <si>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</si>
  <si>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</si>
  <si>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</si>
  <si>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</si>
  <si>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</si>
  <si>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</si>
  <si>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</si>
  <si>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</si>
  <si>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</si>
  <si>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</si>
  <si>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</si>
  <si>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</si>
  <si>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</si>
  <si>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</si>
  <si>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</si>
  <si>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</si>
  <si>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</si>
  <si>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</si>
  <si>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</si>
  <si>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</si>
  <si>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</si>
  <si>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</si>
  <si>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</si>
  <si>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</si>
  <si>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</si>
  <si>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</si>
  <si>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</si>
  <si>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</si>
  <si>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</si>
  <si>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</si>
  <si>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</si>
  <si>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</si>
  <si>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</si>
  <si>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</si>
  <si>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</si>
  <si>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</si>
  <si>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</si>
  <si>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</si>
  <si>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</si>
  <si>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</si>
  <si>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</si>
  <si>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</si>
  <si>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</si>
  <si>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</si>
  <si>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</si>
  <si>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</si>
  <si>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</si>
  <si>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</si>
  <si>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</si>
  <si>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</si>
  <si>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</si>
  <si>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</si>
  <si>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</si>
  <si>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</si>
  <si>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</si>
  <si>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</si>
  <si>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</si>
  <si>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</si>
  <si>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</si>
  <si>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</si>
  <si>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</si>
  <si>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</si>
  <si>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</si>
  <si>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</si>
  <si>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</si>
  <si>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</si>
  <si>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</si>
  <si>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</si>
  <si>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</si>
  <si>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</si>
  <si>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</si>
  <si>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</si>
  <si>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</si>
  <si>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</si>
  <si>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</si>
  <si>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</si>
  <si>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</si>
  <si>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</si>
  <si>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</si>
  <si>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</si>
  <si>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</si>
  <si>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</si>
  <si>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</si>
  <si>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</si>
  <si>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</si>
  <si>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</si>
  <si>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</si>
  <si>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</si>
  <si>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</si>
  <si>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</si>
  <si>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</si>
  <si>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</si>
  <si>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</si>
  <si>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</si>
  <si>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</si>
  <si>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</si>
  <si>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</si>
  <si>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</si>
  <si>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</si>
  <si>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</si>
  <si>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</si>
  <si>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</si>
  <si>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</si>
  <si>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</si>
  <si>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</si>
  <si>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</si>
  <si>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</si>
  <si>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</si>
  <si>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</si>
  <si>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</si>
  <si>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</si>
  <si>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</si>
  <si>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</si>
  <si>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</si>
  <si>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</si>
  <si>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</si>
  <si>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</si>
  <si>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</si>
  <si>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</si>
  <si>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</si>
  <si>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</si>
  <si>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</si>
  <si>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</si>
  <si>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</si>
  <si>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</si>
  <si>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</si>
  <si>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</si>
  <si>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</si>
  <si>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</si>
  <si>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</si>
  <si>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</si>
  <si>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</si>
  <si>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</si>
  <si>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</si>
  <si>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</si>
  <si>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</si>
  <si>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</si>
  <si>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</si>
  <si>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</si>
  <si>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</si>
  <si>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</si>
  <si>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</si>
  <si>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</si>
  <si>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</si>
  <si>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</si>
  <si>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</si>
  <si>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</si>
  <si>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</si>
  <si>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</si>
  <si>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</si>
  <si>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</si>
  <si>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</si>
  <si>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</si>
  <si>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</si>
  <si>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</si>
  <si>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</si>
  <si>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</si>
  <si>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</si>
  <si>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</si>
  <si>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</si>
  <si>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</si>
  <si>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</si>
  <si>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</si>
  <si>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</si>
  <si>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</si>
  <si>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</si>
  <si>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</si>
  <si>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</si>
  <si>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</si>
  <si>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</si>
  <si>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</si>
  <si>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</si>
  <si>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</si>
  <si>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</si>
  <si>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</si>
  <si>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</si>
  <si>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</si>
  <si>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</si>
  <si>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</si>
  <si>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</si>
  <si>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</si>
  <si>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</si>
  <si>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</si>
  <si>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</si>
  <si>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</si>
  <si>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</si>
  <si>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</si>
  <si>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</si>
  <si>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</si>
  <si>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</si>
  <si>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</si>
  <si>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</si>
  <si>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</si>
  <si>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</si>
  <si>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</si>
  <si>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</si>
  <si>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</si>
  <si>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</si>
  <si>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</si>
  <si>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</si>
  <si>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</si>
  <si>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</si>
  <si>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</si>
  <si>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</si>
  <si>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</si>
  <si>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</si>
  <si>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</si>
  <si>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</si>
  <si>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</si>
  <si>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</si>
  <si>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</si>
  <si>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</si>
  <si>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</si>
  <si>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</si>
  <si>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</si>
  <si>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</si>
  <si>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</si>
  <si>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</si>
  <si>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</si>
  <si>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</si>
  <si>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</si>
  <si>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</si>
  <si>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</si>
  <si>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</si>
  <si>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</si>
  <si>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</si>
  <si>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</si>
  <si>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</si>
  <si>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</si>
  <si>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</si>
  <si>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</si>
  <si>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</si>
  <si>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</si>
  <si>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</si>
  <si>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</si>
  <si>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</si>
  <si>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</si>
  <si>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</si>
  <si>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</si>
  <si>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</si>
  <si>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</si>
  <si>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</si>
  <si>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</si>
  <si>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</si>
  <si>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</si>
  <si>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</si>
  <si>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</si>
  <si>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</si>
  <si>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</si>
  <si>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</si>
  <si>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</si>
  <si>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</si>
  <si>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</si>
  <si>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</si>
  <si>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</si>
  <si>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</si>
  <si>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</si>
  <si>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</si>
  <si>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</si>
  <si>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</si>
  <si>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</si>
  <si>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</si>
  <si>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</si>
  <si>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</si>
  <si>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</si>
  <si>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</si>
  <si>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</si>
  <si>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</si>
  <si>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</si>
  <si>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</si>
  <si>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</si>
  <si>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</si>
  <si>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</si>
  <si>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</si>
  <si>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</si>
  <si>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</si>
  <si>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</si>
  <si>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</si>
  <si>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</si>
  <si>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</si>
  <si>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</si>
  <si>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</si>
  <si>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</si>
  <si>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</si>
  <si>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</si>
  <si>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</si>
  <si>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</si>
  <si>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</si>
  <si>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</si>
  <si>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</si>
  <si>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</si>
  <si>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</si>
  <si>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</si>
  <si>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</si>
  <si>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</si>
  <si>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</si>
  <si>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</si>
  <si>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</si>
  <si>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</si>
  <si>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</si>
  <si>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</si>
  <si>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</si>
  <si>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</si>
  <si>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</si>
  <si>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</si>
  <si>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</si>
  <si>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</si>
  <si>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</si>
  <si>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</si>
  <si>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</si>
  <si>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</si>
  <si>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</si>
  <si>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</si>
  <si>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</si>
  <si>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</si>
  <si>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</si>
  <si>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</si>
  <si>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</si>
  <si>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</si>
  <si>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</si>
  <si>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</si>
  <si>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</si>
  <si>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</si>
  <si>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</si>
  <si>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</si>
  <si>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</si>
  <si>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</si>
  <si>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</si>
  <si>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</si>
  <si>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</si>
  <si>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</si>
  <si>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</si>
  <si>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</si>
  <si>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</si>
  <si>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</si>
  <si>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</si>
  <si>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</si>
  <si>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</si>
  <si>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</si>
  <si>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</si>
  <si>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</si>
  <si>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</si>
  <si>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</si>
  <si>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</si>
  <si>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</si>
  <si>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</si>
  <si>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</si>
  <si>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</si>
  <si>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</si>
  <si>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</si>
  <si>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</si>
  <si>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</si>
  <si>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</si>
  <si>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</si>
  <si>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</si>
  <si>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</si>
  <si>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</si>
  <si>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</si>
  <si>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</si>
  <si>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</si>
  <si>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</si>
  <si>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</si>
  <si>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</si>
  <si>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</si>
  <si>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</si>
  <si>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</si>
  <si>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</si>
  <si>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</si>
  <si>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</si>
  <si>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</si>
  <si>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</si>
  <si>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</si>
  <si>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</si>
  <si>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</si>
  <si>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</si>
  <si>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</si>
  <si>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</si>
  <si>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</si>
  <si>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</si>
  <si>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</si>
  <si>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</si>
  <si>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</si>
  <si>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</si>
  <si>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</si>
  <si>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</si>
  <si>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</si>
  <si>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</si>
  <si>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</si>
  <si>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</si>
  <si>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</si>
  <si>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</si>
  <si>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</si>
  <si>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</si>
  <si>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</si>
  <si>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</si>
  <si>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</si>
  <si>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</si>
  <si>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</si>
  <si>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</si>
  <si>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</si>
  <si>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</si>
  <si>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</si>
  <si>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</si>
  <si>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</si>
  <si>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</si>
  <si>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</si>
  <si>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</si>
  <si>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</si>
  <si>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</si>
  <si>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</si>
  <si>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</si>
  <si>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</si>
  <si>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</si>
  <si>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</si>
  <si>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</si>
  <si>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</si>
  <si>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</si>
  <si>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</si>
  <si>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</si>
  <si>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</si>
  <si>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</si>
  <si>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</si>
  <si>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</si>
  <si>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</si>
  <si>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</si>
  <si>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</si>
  <si>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</si>
  <si>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</si>
  <si>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</si>
  <si>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</si>
  <si>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</si>
  <si>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</si>
  <si>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</si>
  <si>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</si>
  <si>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</si>
  <si>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</si>
  <si>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</si>
  <si>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</si>
  <si>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</si>
  <si>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</si>
  <si>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</si>
  <si>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</si>
  <si>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</si>
  <si>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</si>
  <si>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</si>
  <si>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</si>
  <si>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</si>
  <si>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</si>
  <si>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</si>
  <si>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</si>
  <si>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</si>
  <si>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</si>
  <si>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</si>
  <si>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</si>
  <si>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</si>
  <si>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</si>
  <si>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</si>
  <si>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</si>
  <si>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</si>
  <si>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</si>
  <si>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</si>
  <si>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</si>
  <si>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</si>
  <si>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</si>
  <si>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</si>
  <si>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</si>
  <si>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</si>
  <si>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</si>
  <si>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</si>
  <si>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</si>
  <si>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</si>
  <si>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</si>
  <si>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</si>
  <si>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</si>
  <si>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</si>
  <si>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</si>
  <si>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</si>
  <si>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</si>
  <si>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</si>
  <si>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</si>
  <si>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</si>
  <si>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PABLO CAMPOY</t>
  </si>
  <si>
    <t>C:\Users\pablo.campoy\EUROLEAGUE\EB STATS - General\SEASON 2025-26\Reports\Euroleague</t>
  </si>
  <si>
    <t>C:\Users\pablo.campoy\EUROLEAGUE\EB STATS - General\SEASON 2025-26\Reports\Euroleague\PDF</t>
  </si>
  <si>
    <t>03:37</t>
  </si>
  <si>
    <t>09:41</t>
  </si>
  <si>
    <t>JACOBO LAPRESTA</t>
  </si>
  <si>
    <t>JOSE VICENTE ARQUES</t>
  </si>
  <si>
    <t>JOSE ANTONIO RODRIGUEZ</t>
  </si>
  <si>
    <t>NOELIA OTERO</t>
  </si>
  <si>
    <t>MARIA DESSE</t>
  </si>
  <si>
    <t>Great job! You corrected some actions on your own. Almost perfect. Congratulations.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</si>
</sst>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00"/>
    <numFmt numFmtId="165" formatCode="0.0%"/>
    <numFmt numFmtId="166" formatCode="dd/mm/yyyy;@"/>
    <numFmt numFmtId="167" formatCode="00"/>
    <numFmt numFmtId="168" formatCode="0.0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5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5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I17" activePane="bottomRight" state="frozen"/>
      <selection pane="topRight" activeCell="H1" sqref="H1"/>
      <selection pane="bottomLeft" activeCell="A17" sqref="A17"/>
      <selection pane="bottomRight"/>
    </sheetView>
  </sheetViews>
  <sheetFormatPr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15</v>
      </c>
      <c r="D1" s="124" t="s">
        <v>748</v>
      </c>
      <c r="E1" s="125">
        <v>2025</v>
      </c>
      <c r="F1" s="120" t="str">
        <f>TEXT(C1,"00") &amp; "_" &amp; TEXT(C2,"000")&amp; "_" &amp; H4 &amp; "_" &amp; H5 &amp; "_" &amp; B2</f>
        <v>15_146_PAM_IST_E2025</v>
      </c>
      <c r="G1" s="5"/>
      <c r="H1" s="5"/>
      <c r="I1" s="5"/>
      <c r="J1" s="8" t="s">
        <v>707</v>
      </c>
      <c r="K1" s="121" t="s">
        <v>750</v>
      </c>
      <c r="L1" s="121"/>
      <c r="M1" s="122" t="s">
        <v>239</v>
      </c>
      <c r="N1" s="121" t="s">
        <v>751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E2025</v>
      </c>
      <c r="C2" s="123">
        <v>146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56">
        <f ca="1">IF(ISERROR(VLOOKUP($B$2&amp;TEXT($C$2,"000"),GAMES!$A$3:$I$562,8,FALSE)),NOW(),VLOOKUP($B$2&amp;TEXT($C$2,"000"),GAMES!$A$3:$I$562,8,FALSE))</f>
        <v>46002.854166666664</v>
      </c>
      <c r="C3" s="157"/>
      <c r="D3" s="39">
        <v>590</v>
      </c>
      <c r="E3" s="29"/>
      <c r="F3" s="26">
        <f>SUBTOTAL(3,I17:I106)</f>
        <v>2</v>
      </c>
      <c r="G3" s="27">
        <f>IF(OR(D3="",D3=0),"",F3/D3)</f>
        <v>3.3898305084745762E-3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Valencia Basket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PAM</v>
      </c>
      <c r="I4" s="5"/>
      <c r="J4" s="119" t="s">
        <v>714</v>
      </c>
      <c r="K4" s="54" t="s">
        <v>742</v>
      </c>
      <c r="L4" s="5"/>
      <c r="M4" s="167" t="s">
        <v>759</v>
      </c>
      <c r="N4" s="168"/>
      <c r="O4" s="2"/>
      <c r="P4" s="2"/>
      <c r="Q4" s="84" t="s">
        <v>175</v>
      </c>
      <c r="R4" s="94">
        <f>(IF(G3="",0,G3))</f>
        <v>3.3898305084745762E-3</v>
      </c>
      <c r="S4" s="61">
        <f>SUM(I13:M13)</f>
        <v>0</v>
      </c>
      <c r="T4" s="78"/>
      <c r="U4" s="61">
        <f>AC18</f>
        <v>1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1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65" t="s">
        <v>87</v>
      </c>
      <c r="C5" s="166"/>
      <c r="D5" s="173" t="str">
        <f>IF(ISERROR(VLOOKUP(H5,Teams!$B$2:$C$44,2,FALSE)),"Visitor Team",VLOOKUP(H5,Teams!$B$2:$C$44,2,FALSE))</f>
        <v>Anadolu Efes Istanbul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IST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0.33898305084745761</v>
      </c>
      <c r="S5" s="70">
        <f t="shared" ref="S5" si="0">S4*S3</f>
        <v>0</v>
      </c>
      <c r="T5" s="92"/>
      <c r="U5" s="70">
        <f t="shared" ref="U5:AG5" si="1">U4*U3</f>
        <v>0.5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2.5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3" t="s">
        <v>95</v>
      </c>
      <c r="C6" s="164"/>
      <c r="D6" s="178" t="s">
        <v>754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87" t="s">
        <v>96</v>
      </c>
      <c r="C7" s="188"/>
      <c r="D7" s="178" t="s">
        <v>756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3.3389830508474576</v>
      </c>
      <c r="N7" s="58"/>
      <c r="O7" s="2"/>
      <c r="P7" s="2"/>
      <c r="Q7" s="86">
        <f>SUM(R5,S5,AC16)</f>
        <v>3.3389830508474576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65" t="s">
        <v>97</v>
      </c>
      <c r="C8" s="189"/>
      <c r="D8" s="181" t="s">
        <v>755</v>
      </c>
      <c r="E8" s="182"/>
      <c r="F8" s="182"/>
      <c r="G8" s="183"/>
      <c r="H8" s="129" t="s">
        <v>746</v>
      </c>
      <c r="I8" s="129" t="s">
        <v>746</v>
      </c>
      <c r="J8" s="129" t="s">
        <v>747</v>
      </c>
      <c r="K8" s="129" t="s">
        <v>743</v>
      </c>
      <c r="L8" s="129" t="s">
        <v>744</v>
      </c>
      <c r="M8" s="129" t="s">
        <v>108</v>
      </c>
      <c r="N8" s="2"/>
      <c r="O8" s="2"/>
      <c r="P8" s="2"/>
      <c r="Q8" s="85">
        <f>SUM(R5:BA5)</f>
        <v>3.3389830508474576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3" t="s">
        <v>98</v>
      </c>
      <c r="C9" s="190"/>
      <c r="D9" s="178" t="s">
        <v>757</v>
      </c>
      <c r="E9" s="179"/>
      <c r="F9" s="179"/>
      <c r="G9" s="18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65" t="s">
        <v>99</v>
      </c>
      <c r="C10" s="189"/>
      <c r="D10" s="181" t="s">
        <v>758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76" t="s">
        <v>108</v>
      </c>
      <c r="C11" s="177"/>
      <c r="D11" s="191" t="str">
        <f>M8</f>
        <v>IRS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146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76" t="s">
        <v>162</v>
      </c>
      <c r="C14" s="177"/>
      <c r="D14" s="184" t="s">
        <v>749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2</v>
      </c>
      <c r="J15" s="24">
        <f>SUBTOTAL(3,J17:J106)</f>
        <v>2</v>
      </c>
      <c r="K15" s="24">
        <f>SUBTOTAL(3,K17:K106)</f>
        <v>2</v>
      </c>
      <c r="L15" s="24">
        <f>SUBTOTAL(3,L17:L106)</f>
        <v>2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2</v>
      </c>
      <c r="Z16" s="90" t="s">
        <v>110</v>
      </c>
      <c r="AA16" s="75">
        <f>SUM(AA17:AA24)</f>
        <v>2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3</v>
      </c>
      <c r="AD16" s="75">
        <f>SUM(AD17:AD24)</f>
        <v>45</v>
      </c>
      <c r="AE16" s="76" t="s">
        <v>42</v>
      </c>
      <c r="AF16" s="75">
        <f>SUM(AF17:AF24)</f>
        <v>2</v>
      </c>
      <c r="AG16" s="75">
        <f>SUM(AG17:AG21)</f>
        <v>2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146</v>
      </c>
      <c r="D17" s="32" t="s">
        <v>752</v>
      </c>
      <c r="E17" s="33">
        <v>2</v>
      </c>
      <c r="F17" s="36">
        <v>33</v>
      </c>
      <c r="G17" s="36">
        <v>30</v>
      </c>
      <c r="H17" s="38" t="str">
        <f>IF(I17="","",$I$14)</f>
        <v>SCOUTING</v>
      </c>
      <c r="I17" s="34">
        <v>241</v>
      </c>
      <c r="J17" s="13" t="s">
        <v>4</v>
      </c>
      <c r="K17" s="13" t="s">
        <v>62</v>
      </c>
      <c r="L17" s="13" t="s">
        <v>7</v>
      </c>
      <c r="M17" s="13" t="s">
        <v>11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2</v>
      </c>
      <c r="Z17" s="105" t="s">
        <v>63</v>
      </c>
      <c r="AA17" s="62">
        <f>COUNTIF($K$17:$K$106,Z17)</f>
        <v>1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2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>E2025</v>
      </c>
      <c r="C18" s="31">
        <f t="shared" si="3"/>
        <v>146</v>
      </c>
      <c r="D18" s="32" t="s">
        <v>753</v>
      </c>
      <c r="E18" s="33">
        <v>3</v>
      </c>
      <c r="F18" s="36">
        <v>45</v>
      </c>
      <c r="G18" s="36">
        <v>41</v>
      </c>
      <c r="H18" s="38" t="str">
        <f t="shared" ref="H18:H81" si="8">IF(I18="","",$I$14)</f>
        <v>SCOUTING</v>
      </c>
      <c r="I18" s="34">
        <v>311</v>
      </c>
      <c r="J18" s="13" t="s">
        <v>4</v>
      </c>
      <c r="K18" s="13" t="s">
        <v>63</v>
      </c>
      <c r="L18" s="13" t="s">
        <v>5</v>
      </c>
      <c r="M18" s="13" t="s">
        <v>11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1</v>
      </c>
      <c r="AB18" s="66" t="s">
        <v>5</v>
      </c>
      <c r="AC18" s="61">
        <f t="shared" si="5"/>
        <v>1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1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1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1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746</v>
      </c>
      <c r="E16" s="137" t="s">
        <v>745</v>
      </c>
      <c r="F16" s="137" t="s">
        <v>747</v>
      </c>
      <c r="G16" s="137" t="s">
        <v>743</v>
      </c>
      <c r="H16" s="137" t="s">
        <v>744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746</v>
      </c>
      <c r="E30" s="137" t="s">
        <v>745</v>
      </c>
      <c r="F30" s="137" t="s">
        <v>747</v>
      </c>
      <c r="G30" s="137" t="s">
        <v>743</v>
      </c>
      <c r="H30" s="137" t="s">
        <v>744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3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REPORT_E2025146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"E2025146"</v>
      </c>
      <c r="F3" s="45" t="str">
        <f t="shared" ref="F3:F16" si="0">""""&amp;B3&amp;"""" &amp; " : " &amp;C3&amp;","</f>
        <v>"name" : "E2025146",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"E146"</v>
      </c>
      <c r="F4" s="45" t="str">
        <f t="shared" si="0"/>
        <v>"cod" : "E146",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146</v>
      </c>
      <c r="F6" s="45" t="str">
        <f t="shared" si="0"/>
        <v>"number" : 146,</v>
      </c>
    </row>
    <row r="7" spans="2:6" x14ac:dyDescent="0.25">
      <c r="B7" s="43" t="s">
        <v>116</v>
      </c>
      <c r="C7" s="43" t="str">
        <f ca="1">""""&amp;TEXT('SCOUT &amp; LOGISTICS'!B3,"dd/mm/aaaa")&amp;""""</f>
        <v>"11/12/2025"</v>
      </c>
      <c r="F7" s="45" t="str">
        <f t="shared" ca="1" si="0"/>
        <v>"date" : "11/12/2025",</v>
      </c>
    </row>
    <row r="8" spans="2:6" x14ac:dyDescent="0.25">
      <c r="B8" s="43" t="s">
        <v>125</v>
      </c>
      <c r="C8" s="43" t="str">
        <f>""""&amp;'SCOUT &amp; LOGISTICS'!D4 &amp;""""</f>
        <v>"Valencia Basket"</v>
      </c>
      <c r="F8" s="45" t="str">
        <f t="shared" si="0"/>
        <v>"home_team" : "Valencia Basket",</v>
      </c>
    </row>
    <row r="9" spans="2:6" x14ac:dyDescent="0.25">
      <c r="B9" s="43" t="s">
        <v>126</v>
      </c>
      <c r="C9" s="43" t="str">
        <f>""""&amp;'SCOUT &amp; LOGISTICS'!D5&amp;""""</f>
        <v>"Anadolu Efes Istanbul"</v>
      </c>
      <c r="F9" s="45" t="str">
        <f t="shared" si="0"/>
        <v>"away_team" : "Anadolu Efes Istanbul",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"JACOBO LAPRESTA"</v>
      </c>
      <c r="F10" s="45" t="str">
        <f t="shared" si="0"/>
        <v>"Data_entry" : "JACOBO LAPRESTA",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"JOSE ANTONIO RODRIGUEZ"</v>
      </c>
      <c r="F11" s="45" t="str">
        <f t="shared" si="0"/>
        <v>"Caller_1" : "JOSE ANTONIO RODRIGUEZ",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"JOSE VICENTE ARQUES"</v>
      </c>
      <c r="F12" s="45" t="str">
        <f t="shared" si="0"/>
        <v>"Caller_2" : "JOSE VICENTE ARQUES",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"NOELIA OTERO"</v>
      </c>
      <c r="F13" s="45" t="str">
        <f t="shared" si="0"/>
        <v>"Timerkeeper" : "NOELIA OTERO",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"MARIA DESSE"</v>
      </c>
      <c r="F14" s="45" t="str">
        <f t="shared" si="0"/>
        <v>"Shotclock" : "MARIA DESSE",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"PABLO CAMPOY"</v>
      </c>
      <c r="F16" s="45" t="str">
        <f t="shared" si="0"/>
        <v>"Live_Game_Manager" : "PABLO CAMPOY",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590</v>
      </c>
      <c r="F25" s="45" t="str">
        <f t="shared" ref="F25:F48" si="1">""""&amp;C25&amp;"""" &amp; " : " &amp;D25&amp;","</f>
        <v>"total_actions" : 590,</v>
      </c>
    </row>
    <row r="26" spans="2:6" x14ac:dyDescent="0.25">
      <c r="C26" s="43" t="s">
        <v>132</v>
      </c>
      <c r="D26" s="43">
        <f>'SCOUT &amp; LOGISTICS'!F3</f>
        <v>2</v>
      </c>
      <c r="F26" s="45" t="str">
        <f t="shared" si="1"/>
        <v>"total_correcions" : 2,</v>
      </c>
    </row>
    <row r="27" spans="2:6" x14ac:dyDescent="0.25">
      <c r="C27" s="43" t="s">
        <v>133</v>
      </c>
      <c r="D27" s="43" t="str">
        <f>""""&amp;IF(OR(D25="",D25=0),"",TEXT(D26/D25,"0,0%"))&amp;""""</f>
        <v>"0,3%"</v>
      </c>
      <c r="F27" s="45" t="str">
        <f t="shared" si="1"/>
        <v>"%_corrections" : "0,3%",</v>
      </c>
    </row>
    <row r="28" spans="2:6" x14ac:dyDescent="0.25">
      <c r="C28" s="43" t="s">
        <v>125</v>
      </c>
      <c r="D28" s="43">
        <f>IF('SCOUT &amp; LOGISTICS'!AA17="","",'SCOUT &amp; LOGISTICS'!AA17)</f>
        <v>1</v>
      </c>
      <c r="F28" s="45" t="str">
        <f t="shared" si="1"/>
        <v>"home_team" : 1,</v>
      </c>
    </row>
    <row r="29" spans="2:6" x14ac:dyDescent="0.25">
      <c r="C29" s="43" t="s">
        <v>134</v>
      </c>
      <c r="D29" s="43">
        <f>IF('SCOUT &amp; LOGISTICS'!AA18="","",'SCOUT &amp; LOGISTICS'!AA18)</f>
        <v>1</v>
      </c>
      <c r="F29" s="45" t="str">
        <f t="shared" si="1"/>
        <v>"no_team" : 1,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5">
      <c r="C32" s="43" t="s">
        <v>136</v>
      </c>
      <c r="D32" s="43">
        <f>'SCOUT &amp; LOGISTICS'!AG18</f>
        <v>1</v>
      </c>
      <c r="F32" s="45" t="str">
        <f t="shared" si="1"/>
        <v>"q2" : 1,</v>
      </c>
    </row>
    <row r="33" spans="3:6" x14ac:dyDescent="0.25">
      <c r="C33" s="43" t="s">
        <v>137</v>
      </c>
      <c r="D33" s="43">
        <f>'SCOUT &amp; LOGISTICS'!AG19</f>
        <v>1</v>
      </c>
      <c r="F33" s="45" t="str">
        <f t="shared" si="1"/>
        <v>"q3" : 1,</v>
      </c>
    </row>
    <row r="34" spans="3:6" x14ac:dyDescent="0.25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2</v>
      </c>
      <c r="F37" s="45" t="str">
        <f t="shared" si="1"/>
        <v>"scoresheet_corrections" : 2,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1</v>
      </c>
      <c r="F39" s="45" t="str">
        <f t="shared" si="1"/>
        <v>"missidentity" : 1,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1</v>
      </c>
      <c r="F46" s="45" t="str">
        <f t="shared" si="1"/>
        <v>"part_of_a_sequence" : 1,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"Great job! You corrected some actions on your own. Almost perfect. Congratulations."</v>
      </c>
      <c r="F51" s="45" t="str">
        <f>""""&amp;B51&amp;"""" &amp; " : " &amp;C51&amp;","</f>
        <v>"comments" : "Great job! You corrected some actions on your own. Almost perfect. Congratulations.",</v>
      </c>
    </row>
    <row r="52" spans="2:6" x14ac:dyDescent="0.25">
      <c r="B52" s="43" t="s">
        <v>153</v>
      </c>
      <c r="C52" s="43" t="str">
        <f>TEXT('SCOUT &amp; LOGISTICS'!F1,"0,0")</f>
        <v>15_146_PAM_IST_E2025</v>
      </c>
      <c r="F52" s="45" t="str">
        <f>""""&amp;B52&amp;"""" &amp; " : " &amp;C52</f>
        <v>"result" : 15_146_PAM_IST_E2025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5.5" zeroHeight="1" x14ac:dyDescent="0.4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45"/>
    <row r="2" spans="1:33" ht="42.65" customHeight="1" thickBot="1" x14ac:dyDescent="0.5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5">
      <c r="A3" s="48"/>
      <c r="B3" s="208" t="str">
        <f>"GAME: "&amp; LEFT('SCOUT &amp; LOGISTICS'!B2,1) &amp; TEXT('SCOUT &amp; LOGISTICS'!C2,"000") &amp; " " &amp; IF(LEFT('SCOUT &amp; LOGISTICS'!B2,1)="U","(EUROCUP)","(EUROLEAGUE)")</f>
        <v>GAME: E146 (EUROLEAGUE)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5">
      <c r="A4" s="48"/>
      <c r="B4" s="194" t="str">
        <f ca="1">"DATE: " &amp; TEXT('SCOUT &amp; LOGISTICS'!B3,"dd/mm")</f>
        <v>DATE: 11/12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49999999999999" customHeight="1" thickBot="1" x14ac:dyDescent="0.5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5" customHeight="1" thickBot="1" x14ac:dyDescent="0.5">
      <c r="A6" s="48"/>
      <c r="B6" s="212" t="str">
        <f>PROPER('SCOUT &amp; LOGISTICS'!D4)</f>
        <v>Valencia Basket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Anadolu Efes Istanbul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5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5">
      <c r="A8" s="48"/>
      <c r="B8" s="206" t="str">
        <f>IF('SCOUT &amp; LOGISTICS'!D6="","",'SCOUT &amp; LOGISTICS'!D6)</f>
        <v>JACOBO LAPRESTA</v>
      </c>
      <c r="C8" s="206"/>
      <c r="D8" s="206"/>
      <c r="E8" s="206"/>
      <c r="F8" s="206"/>
      <c r="G8" s="206" t="str">
        <f>IF('SCOUT &amp; LOGISTICS'!D7="","",'SCOUT &amp; LOGISTICS'!D7)</f>
        <v>JOSE ANTONIO RODRIGUEZ</v>
      </c>
      <c r="H8" s="206"/>
      <c r="I8" s="206"/>
      <c r="J8" s="206"/>
      <c r="K8" s="206"/>
      <c r="L8" s="206" t="str">
        <f>IF('SCOUT &amp; LOGISTICS'!D8="","",'SCOUT &amp; LOGISTICS'!D8)</f>
        <v>JOSE VICENTE ARQUES</v>
      </c>
      <c r="M8" s="206"/>
      <c r="N8" s="206"/>
      <c r="O8" s="206"/>
      <c r="P8" s="206"/>
      <c r="Q8" s="206" t="str">
        <f>IF('SCOUT &amp; LOGISTICS'!D9="","",'SCOUT &amp; LOGISTICS'!D9)</f>
        <v>NOELIA OTERO</v>
      </c>
      <c r="R8" s="206"/>
      <c r="S8" s="206"/>
      <c r="T8" s="206"/>
      <c r="U8" s="206"/>
      <c r="V8" s="206" t="str">
        <f>IF('SCOUT &amp; LOGISTICS'!D10="","",'SCOUT &amp; LOGISTICS'!D10)</f>
        <v>MARIA DESSE</v>
      </c>
      <c r="W8" s="206"/>
      <c r="X8" s="206"/>
      <c r="Y8" s="206"/>
      <c r="Z8" s="206"/>
      <c r="AA8" s="206" t="str">
        <f>IF('SCOUT &amp; LOGISTICS'!D11="","",'SCOUT &amp; LOGISTICS'!D11)</f>
        <v>IRS</v>
      </c>
      <c r="AB8" s="206"/>
      <c r="AC8" s="206"/>
      <c r="AD8" s="206"/>
      <c r="AE8" s="206"/>
      <c r="AF8" s="48"/>
    </row>
    <row r="9" spans="1:33" ht="16" thickBot="1" x14ac:dyDescent="0.5">
      <c r="A9" s="48"/>
      <c r="B9" s="200" t="str">
        <f>IF(OR('SCOUT &amp; LOGISTICS'!D14="",'SCOUT &amp; LOGISTICS'!D14=0),"",'SCOUT &amp; LOGISTICS'!B14 &amp; ": " &amp; 'SCOUT &amp; LOGISTICS'!D14) &amp; "     "</f>
        <v xml:space="preserve">L G M: : PABLO CAMPOY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6" thickBot="1" x14ac:dyDescent="0.5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49999999999999" customHeight="1" thickBot="1" x14ac:dyDescent="0.5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5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5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6" thickBot="1" x14ac:dyDescent="0.5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49999999999999" customHeight="1" thickBot="1" x14ac:dyDescent="0.5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5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5">
      <c r="A17" s="48"/>
      <c r="B17" s="204">
        <f>'SCOUT &amp; LOGISTICS'!D3</f>
        <v>590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2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3.3898305084745762E-3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6" thickBot="1" x14ac:dyDescent="0.5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5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5">
      <c r="A20" s="48"/>
      <c r="B20" s="197">
        <f>IF('SCOUT &amp; LOGISTICS'!AA17="","",'SCOUT &amp; LOGISTICS'!AA17)</f>
        <v>1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1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5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5">
      <c r="A22" s="48"/>
      <c r="B22" s="197">
        <f>'SCOUT &amp; LOGISTICS'!AG17</f>
        <v>0</v>
      </c>
      <c r="C22" s="197"/>
      <c r="D22" s="197"/>
      <c r="E22" s="197"/>
      <c r="F22" s="197"/>
      <c r="G22" s="197"/>
      <c r="H22" s="197">
        <f>'SCOUT &amp; LOGISTICS'!AG18</f>
        <v>1</v>
      </c>
      <c r="I22" s="197"/>
      <c r="J22" s="197"/>
      <c r="K22" s="197"/>
      <c r="L22" s="197"/>
      <c r="M22" s="197"/>
      <c r="N22" s="197">
        <f>'SCOUT &amp; LOGISTICS'!AG19</f>
        <v>1</v>
      </c>
      <c r="O22" s="197"/>
      <c r="P22" s="197"/>
      <c r="Q22" s="197"/>
      <c r="R22" s="197"/>
      <c r="S22" s="197"/>
      <c r="T22" s="197">
        <f>'SCOUT &amp; LOGISTICS'!AG20</f>
        <v>0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6" thickBot="1" x14ac:dyDescent="0.5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5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5">
      <c r="A25" s="48"/>
      <c r="B25" s="197">
        <f>'SCOUT &amp; LOGISTICS'!Y17</f>
        <v>2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5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5">
      <c r="A27" s="48"/>
      <c r="B27" s="197">
        <f>'SCOUT &amp; LOGISTICS'!AC18</f>
        <v>1</v>
      </c>
      <c r="C27" s="197"/>
      <c r="D27" s="197"/>
      <c r="E27" s="197"/>
      <c r="F27" s="197"/>
      <c r="G27" s="197">
        <f>'SCOUT &amp; LOGISTICS'!AC22</f>
        <v>0</v>
      </c>
      <c r="H27" s="197"/>
      <c r="I27" s="197"/>
      <c r="J27" s="197"/>
      <c r="K27" s="197"/>
      <c r="L27" s="197">
        <f>'SCOUT &amp; LOGISTICS'!AC23</f>
        <v>1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5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5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6" thickBot="1" x14ac:dyDescent="0.5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49999999999999" customHeight="1" thickBot="1" x14ac:dyDescent="0.5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5" customHeight="1" thickBot="1" x14ac:dyDescent="0.5">
      <c r="A32" s="48"/>
      <c r="B32" s="195" t="str">
        <f>IF('SCOUT &amp; LOGISTICS'!M4="","",'SCOUT &amp; LOGISTICS'!M4)</f>
        <v>Great job! You corrected some actions on your own. Almost perfect. Congratulations.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49999999999999" customHeight="1" thickBot="1" x14ac:dyDescent="0.5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49999999999999" customHeight="1" thickBot="1" x14ac:dyDescent="0.5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5">
      <c r="A35" s="48"/>
      <c r="B35" s="196">
        <f>'SCOUT &amp; LOGISTICS'!M7</f>
        <v>3.3389830508474576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4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7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BFB60CCA-0428-4450-905C-A5641A3EE0F0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Pablo Campoy</cp:lastModifiedBy>
  <cp:lastPrinted>2025-12-11T21:25:42Z</cp:lastPrinted>
  <dcterms:created xsi:type="dcterms:W3CDTF">2023-09-19T19:50:35Z</dcterms:created>
  <dcterms:modified xsi:type="dcterms:W3CDTF">2025-12-11T21:27:44Z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