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0" documentId="13_ncr:1_{616B8B46-A97A-4C3F-953D-7E9835B6B756}" xr6:coauthVersionLast="47" xr6:coauthVersionMax="47" xr10:uidLastSave="{00000000-0000-0000-0000-000000000000}"/>
  <bookViews>
    <workbookView xWindow="-60" yWindow="-16320" windowWidth="29040" windowHeight="15720" xr2:uid="{00000000-000D-0000-FFFF-FFFF00000000}"/>
  </bookViews>
  <sheets>
    <sheet name="SCOUT &amp; LOGISTICS" sheetId="1" r:id="rId1"/>
    <sheet name="Sheet1" sheetId="7" state="hidden" r:id="rId2"/>
    <sheet name="Teams" sheetId="5" state="hidden" r:id="rId3"/>
    <sheet name="GAMES" sheetId="6" state="hidden" r:id="rId4"/>
    <sheet name="json" sheetId="4" state="hidden" r:id="rId5"/>
    <sheet name="Report" sheetId="2" state="hidden" r:id="rId6"/>
  </sheets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7" l="1"/>
  <c r="F3" i="7"/>
  <c r="E3" i="7"/>
  <c r="D3" i="7" a="1"/>
  <c r="D3" i="7" s="1"/>
  <c r="H2" i="7"/>
  <c r="E2" i="7"/>
  <c r="F2" i="7" s="1"/>
  <c r="D2" i="7" a="1"/>
  <c r="D2" i="7" s="1"/>
  <c r="C2" i="7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<sst xmlns="http://schemas.openxmlformats.org/spreadsheetml/2006/main" count="3277" uniqueCount="777">
  <si>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</si>
  <si>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</si>
  <si>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</si>
  <si>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</si>
  <si>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</si>
  <si>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</si>
  <si>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</si>
  <si>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</si>
  <si>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</si>
  <si>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</si>
  <si>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</si>
  <si>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</si>
  <si>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</si>
  <si>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</si>
  <si>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</si>
  <si>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</si>
  <si>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</si>
  <si>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</si>
  <si>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</si>
  <si>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</si>
  <si>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</si>
  <si>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</si>
  <si>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</si>
  <si>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</si>
  <si>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</si>
  <si>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</si>
  <si>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</si>
  <si>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</si>
  <si>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</si>
  <si>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</si>
  <si>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</si>
  <si>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</si>
  <si>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</si>
  <si>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</si>
  <si>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</si>
  <si>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</si>
  <si>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</si>
  <si>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</si>
  <si>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</si>
  <si>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</si>
  <si>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</si>
  <si>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</si>
  <si>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</si>
  <si>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</si>
  <si>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</si>
  <si>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</si>
  <si>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</si>
  <si>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</si>
  <si>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</si>
  <si>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</si>
  <si>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</si>
  <si>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</si>
  <si>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</si>
  <si>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</si>
  <si>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</si>
  <si>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</si>
  <si>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</si>
  <si>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</si>
  <si>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</si>
  <si>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</si>
  <si>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</si>
  <si>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</si>
  <si>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</si>
  <si>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</si>
  <si>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</si>
  <si>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</si>
  <si>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</si>
  <si>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</si>
  <si>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</si>
  <si>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</si>
  <si>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</si>
  <si>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</si>
  <si>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</si>
  <si>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</si>
  <si>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</si>
  <si>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</si>
  <si>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</si>
  <si>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</si>
  <si>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</si>
  <si>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</si>
  <si>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</si>
  <si>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</si>
  <si>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</si>
  <si>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</si>
  <si>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</si>
  <si>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</si>
  <si>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</si>
  <si>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</si>
  <si>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</si>
  <si>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</si>
  <si>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</si>
  <si>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</si>
  <si>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</si>
  <si>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</si>
  <si>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</si>
  <si>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</si>
  <si>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</si>
  <si>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</si>
  <si>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</si>
  <si>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</si>
  <si>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</si>
  <si>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</si>
  <si>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</si>
  <si>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</si>
  <si>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</si>
  <si>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</si>
  <si>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</si>
  <si>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</si>
  <si>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</si>
  <si>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</si>
  <si>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</si>
  <si>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</si>
  <si>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</si>
  <si>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</si>
  <si>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</si>
  <si>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</si>
  <si>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</si>
  <si>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</si>
  <si>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</si>
  <si>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</si>
  <si>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</si>
  <si>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</si>
  <si>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</si>
  <si>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</si>
  <si>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</si>
  <si>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</si>
  <si>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</si>
  <si>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</si>
  <si>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</si>
  <si>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</si>
  <si>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</si>
  <si>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</si>
  <si>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</si>
  <si>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</si>
  <si>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</si>
  <si>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</si>
  <si>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</si>
  <si>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</si>
  <si>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</si>
  <si>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</si>
  <si>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</si>
  <si>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</si>
  <si>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</si>
  <si>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</si>
  <si>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</si>
  <si>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</si>
  <si>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</si>
  <si>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</si>
  <si>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</si>
  <si>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</si>
  <si>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</si>
  <si>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</si>
  <si>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</si>
  <si>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</si>
  <si>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</si>
  <si>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</si>
  <si>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</si>
  <si>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</si>
  <si>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</si>
  <si>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</si>
  <si>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</si>
  <si>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</si>
  <si>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</si>
  <si>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</si>
  <si>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</si>
  <si>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</si>
  <si>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</si>
  <si>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</si>
  <si>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</si>
  <si>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</si>
  <si>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</si>
  <si>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</si>
  <si>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</si>
  <si>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</si>
  <si>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</si>
  <si>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</si>
  <si>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</si>
  <si>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</si>
  <si>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</si>
  <si>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</si>
  <si>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</si>
  <si>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</si>
  <si>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</si>
  <si>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</si>
  <si>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</si>
  <si>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</si>
  <si>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</si>
  <si>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</si>
  <si>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</si>
  <si>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</si>
  <si>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</si>
  <si>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</si>
  <si>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</si>
  <si>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</si>
  <si>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</si>
  <si>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</si>
  <si>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</si>
  <si>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</si>
  <si>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</si>
  <si>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</si>
  <si>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</si>
  <si>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</si>
  <si>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</si>
  <si>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</si>
  <si>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</si>
  <si>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</si>
  <si>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</si>
  <si>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</si>
  <si>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</si>
  <si>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</si>
  <si>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</si>
  <si>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</si>
  <si>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</si>
  <si>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</si>
  <si>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</si>
  <si>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</si>
  <si>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</si>
  <si>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</si>
  <si>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</si>
  <si>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</si>
  <si>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</si>
  <si>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</si>
  <si>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</si>
  <si>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</si>
  <si>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</si>
  <si>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</si>
  <si>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</si>
  <si>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</si>
  <si>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</si>
  <si>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</si>
  <si>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</si>
  <si>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</si>
  <si>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</si>
  <si>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</si>
  <si>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</si>
  <si>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</si>
  <si>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</si>
  <si>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</si>
  <si>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</si>
  <si>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</si>
  <si>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</si>
  <si>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</si>
  <si>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</si>
  <si>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</si>
  <si>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</si>
  <si>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</si>
  <si>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</si>
  <si>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</si>
  <si>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</si>
  <si>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</si>
  <si>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</si>
  <si>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</si>
  <si>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</si>
  <si>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</si>
  <si>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</si>
  <si>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</si>
  <si>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</si>
  <si>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</si>
  <si>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</si>
  <si>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</si>
  <si>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</si>
  <si>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</si>
  <si>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</si>
  <si>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</si>
  <si>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</si>
  <si>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</si>
  <si>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</si>
  <si>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</si>
  <si>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</si>
  <si>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</si>
  <si>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</si>
  <si>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</si>
  <si>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</si>
  <si>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</si>
  <si>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</si>
  <si>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</si>
  <si>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</si>
  <si>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</si>
  <si>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</si>
  <si>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</si>
  <si>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</si>
  <si>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</si>
  <si>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</si>
  <si>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</si>
  <si>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</si>
  <si>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</si>
  <si>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</si>
  <si>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</si>
  <si>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</si>
  <si>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</si>
  <si>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</si>
  <si>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</si>
  <si>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</si>
  <si>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</si>
  <si>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</si>
  <si>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</si>
  <si>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</si>
  <si>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</si>
  <si>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</si>
  <si>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</si>
  <si>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</si>
  <si>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</si>
  <si>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</si>
  <si>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</si>
  <si>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</si>
  <si>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</si>
  <si>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</si>
  <si>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</si>
  <si>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</si>
  <si>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</si>
  <si>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</si>
  <si>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</si>
  <si>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</si>
  <si>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</si>
  <si>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</si>
  <si>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</si>
  <si>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</si>
  <si>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</si>
  <si>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</si>
  <si>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</si>
  <si>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</si>
  <si>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</si>
  <si>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</si>
  <si>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</si>
  <si>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</si>
  <si>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</si>
  <si>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</si>
  <si>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</si>
  <si>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</si>
  <si>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</si>
  <si>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</si>
  <si>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</si>
  <si>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</si>
  <si>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</si>
  <si>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</si>
  <si>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</si>
  <si>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</si>
  <si>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</si>
  <si>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</si>
  <si>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</si>
  <si>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</si>
  <si>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</si>
  <si>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</si>
  <si>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</si>
  <si>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</si>
  <si>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</si>
  <si>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</si>
  <si>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</si>
  <si>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</si>
  <si>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</si>
  <si>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</si>
  <si>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</si>
  <si>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</si>
  <si>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</si>
  <si>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</si>
  <si>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</si>
  <si>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</si>
  <si>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</si>
  <si>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</si>
  <si>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</si>
  <si>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</si>
  <si>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</si>
  <si>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</si>
  <si>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</si>
  <si>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</si>
  <si>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</si>
  <si>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</si>
  <si>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</si>
  <si>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</si>
  <si>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</si>
  <si>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</si>
  <si>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</si>
  <si>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</si>
  <si>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</si>
  <si>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</si>
  <si>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</si>
  <si>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</si>
  <si>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</si>
  <si>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</si>
  <si>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</si>
  <si>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</si>
  <si>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</si>
  <si>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</si>
  <si>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</si>
  <si>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</si>
  <si>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</si>
  <si>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</si>
  <si>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</si>
  <si>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</si>
  <si>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</si>
  <si>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</si>
  <si>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</si>
  <si>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</si>
  <si>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</si>
  <si>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</si>
  <si>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</si>
  <si>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</si>
  <si>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</si>
  <si>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</si>
  <si>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</si>
  <si>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</si>
  <si>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</si>
  <si>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</si>
  <si>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</si>
  <si>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</si>
  <si>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</si>
  <si>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</si>
  <si>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</si>
  <si>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</si>
  <si>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</si>
  <si>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</si>
  <si>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</si>
  <si>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</si>
  <si>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</si>
  <si>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</si>
  <si>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</si>
  <si>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</si>
  <si>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</si>
  <si>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</si>
  <si>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</si>
  <si>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</si>
  <si>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</si>
  <si>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</si>
  <si>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</si>
  <si>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</si>
  <si>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</si>
  <si>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</si>
  <si>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</si>
  <si>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</si>
  <si>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</si>
  <si>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</si>
  <si>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</si>
  <si>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</si>
  <si>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</si>
  <si>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</si>
  <si>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</si>
  <si>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</si>
  <si>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</si>
  <si>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</si>
  <si>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</si>
  <si>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</si>
  <si>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</si>
  <si>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</si>
  <si>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</si>
  <si>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</si>
  <si>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</si>
  <si>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</si>
  <si>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</si>
  <si>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</si>
  <si>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</si>
  <si>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</si>
  <si>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</si>
  <si>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</si>
  <si>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</si>
  <si>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</si>
  <si>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</si>
  <si>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</si>
  <si>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</si>
  <si>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</si>
  <si>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</si>
  <si>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</si>
  <si>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</si>
  <si>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</si>
  <si>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</si>
  <si>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</si>
  <si>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</si>
  <si>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</si>
  <si>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</si>
  <si>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</si>
  <si>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</si>
  <si>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</si>
  <si>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</si>
  <si>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</si>
  <si>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</si>
  <si>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</si>
  <si>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</si>
  <si>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</si>
  <si>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</si>
  <si>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</si>
  <si>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</si>
  <si>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</si>
  <si>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</si>
  <si>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</si>
  <si>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</si>
  <si>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</si>
  <si>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</si>
  <si>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</si>
  <si>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</si>
  <si>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</si>
  <si>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</si>
  <si>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</si>
  <si>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</si>
  <si>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</si>
  <si>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</si>
  <si>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</si>
  <si>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</si>
  <si>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</si>
  <si>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</si>
  <si>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</si>
  <si>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</si>
  <si>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</si>
  <si>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</si>
  <si>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</si>
  <si>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</si>
  <si>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</si>
  <si>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</si>
  <si>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</si>
  <si>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</si>
  <si>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</si>
  <si>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</si>
  <si>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</si>
  <si>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</si>
  <si>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</si>
  <si>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</si>
  <si>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</si>
  <si>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</si>
  <si>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</si>
  <si>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</si>
  <si>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</si>
  <si>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</si>
  <si>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</si>
  <si>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</si>
  <si>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</si>
  <si>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</si>
  <si>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</si>
  <si>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</si>
  <si>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</si>
  <si>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</si>
  <si>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</si>
  <si>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</si>
  <si>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</si>
  <si>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</si>
  <si>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</si>
  <si>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</si>
  <si>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</si>
  <si>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</si>
  <si>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</si>
  <si>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</si>
  <si>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</si>
  <si>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</si>
  <si>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</si>
  <si>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</si>
  <si>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</si>
  <si>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</si>
  <si>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</si>
  <si>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</si>
  <si>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</si>
  <si>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</si>
  <si>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</si>
  <si>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</si>
  <si>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</si>
  <si>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</si>
  <si>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</si>
  <si>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</si>
  <si>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</si>
  <si>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</si>
  <si>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</si>
  <si>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</si>
  <si>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</si>
  <si>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</si>
  <si>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</si>
  <si>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</si>
  <si>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</si>
  <si>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</si>
  <si>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</si>
  <si>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</si>
  <si>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</si>
  <si>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</si>
  <si>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</si>
  <si>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</si>
  <si>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</si>
  <si>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</si>
  <si>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</si>
  <si>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</si>
  <si>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</si>
  <si>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</si>
  <si>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</si>
  <si>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</si>
  <si>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</si>
  <si>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</si>
  <si>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</si>
  <si>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</si>
  <si>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</si>
  <si>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</si>
  <si>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</si>
  <si>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</si>
  <si>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</si>
  <si>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</si>
  <si>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</si>
  <si>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</si>
  <si>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</si>
  <si>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</si>
  <si>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</si>
  <si>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</si>
  <si>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</si>
  <si>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</si>
  <si>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</si>
  <si>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</si>
  <si>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</si>
  <si>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</si>
  <si>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</si>
  <si>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</si>
  <si>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</si>
  <si>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</si>
  <si>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</si>
  <si>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</si>
  <si>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</si>
  <si>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</si>
  <si>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</si>
  <si>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</si>
  <si>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</si>
  <si>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</si>
  <si>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</si>
  <si>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</si>
  <si>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</si>
  <si>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</si>
  <si>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</si>
  <si>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</si>
  <si>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</si>
  <si>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</si>
  <si>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</si>
  <si>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</si>
  <si>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</si>
  <si>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</si>
  <si>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</si>
  <si>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</si>
  <si>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</si>
  <si>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</si>
  <si>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</si>
  <si>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</si>
  <si>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</si>
  <si>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</si>
  <si>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</si>
  <si>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</si>
  <si>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</si>
  <si>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</si>
  <si>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</si>
  <si>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</si>
  <si>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</si>
  <si>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</si>
  <si>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</si>
  <si>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</si>
  <si>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</si>
  <si>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</si>
  <si>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</si>
  <si>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</si>
  <si>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</si>
  <si>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</si>
  <si>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</si>
  <si>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</si>
  <si>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</si>
  <si>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</si>
  <si>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</si>
  <si>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</si>
  <si>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</si>
  <si>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</si>
  <si>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</si>
  <si>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</si>
  <si>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</si>
  <si>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</si>
  <si>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</si>
  <si>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</si>
  <si>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</si>
  <si>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</si>
  <si>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</si>
  <si>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</si>
  <si>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</si>
  <si>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</si>
  <si>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</si>
  <si>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</si>
  <si>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</si>
  <si>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</si>
  <si>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</si>
  <si>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</si>
  <si>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</si>
  <si>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</si>
  <si>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</si>
  <si>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</si>
  <si>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</si>
  <si>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</si>
  <si>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</si>
  <si>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</si>
  <si>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</si>
  <si>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</si>
  <si>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</si>
  <si>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</si>
  <si>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</si>
  <si>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</si>
  <si>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</si>
  <si>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</si>
  <si>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</si>
  <si>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</si>
  <si>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</si>
  <si>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</si>
  <si>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</si>
  <si>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</si>
  <si>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</si>
  <si>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</si>
  <si>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</si>
  <si>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</si>
  <si>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</si>
  <si>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</si>
  <si>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</si>
  <si>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</si>
  <si>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</si>
  <si>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</si>
  <si>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</si>
  <si>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</si>
  <si>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</si>
  <si>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</si>
  <si>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</si>
  <si>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</si>
  <si>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</si>
  <si>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</si>
  <si>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</si>
  <si>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</si>
  <si>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</si>
  <si>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</si>
  <si>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</si>
  <si>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</si>
  <si>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</si>
  <si>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</si>
  <si>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</si>
  <si>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</si>
  <si>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</si>
  <si>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</si>
  <si>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</si>
  <si>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</si>
  <si>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</si>
  <si>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</si>
  <si>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</si>
  <si>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</si>
  <si>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</si>
  <si>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</si>
  <si>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</si>
  <si>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</si>
  <si>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</si>
  <si>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</si>
  <si>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</si>
  <si>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</si>
  <si>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</si>
  <si>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</si>
  <si>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</si>
  <si>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</si>
  <si>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</si>
  <si>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</si>
  <si>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</si>
  <si>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</si>
  <si>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</si>
  <si>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</si>
  <si>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</si>
  <si>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343 351 21 09:44 46 38 Fenerbahce 8 HORTON TUCKER, TALEN Steal 0 0 0</t>
  </si>
  <si>
    <t>numb 40</t>
  </si>
  <si>
    <t>460 469 28 02:00 67 53 Monaco 0 OKOBO, E. Def Rebound 0 0 0</t>
  </si>
  <si>
    <t>CATHERINE RICARD</t>
  </si>
  <si>
    <t>VANESSA CAUCHIE</t>
  </si>
  <si>
    <t>CLAUDINE CARADONNA</t>
  </si>
  <si>
    <t>CORINNE LOGERAIS</t>
  </si>
  <si>
    <t>THIERRY GACHE</t>
  </si>
  <si>
    <t>DAVID MARTINOTTI</t>
  </si>
  <si>
    <t>CRONO</t>
  </si>
  <si>
    <t>QUARTER</t>
  </si>
  <si>
    <t>POINTS L</t>
  </si>
  <si>
    <t>POINTS V</t>
  </si>
  <si>
    <t>n jug</t>
  </si>
  <si>
    <t>SCORESHEET / BOXSCORE</t>
  </si>
  <si>
    <t>AWAY TEAM / HOME TIME</t>
  </si>
  <si>
    <t>00:11</t>
  </si>
  <si>
    <t>shot miss</t>
  </si>
  <si>
    <t>09:44</t>
  </si>
  <si>
    <t>46</t>
  </si>
  <si>
    <t>38</t>
  </si>
  <si>
    <t>67</t>
  </si>
  <si>
    <t>53</t>
  </si>
  <si>
    <t>343</t>
  </si>
  <si>
    <t>460</t>
  </si>
  <si>
    <t>Minor errors resolved in a very controlled manner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</si>
</sst>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5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20" fontId="5" fillId="0" borderId="0" xfId="0" quotePrefix="1" applyNumberFormat="1" applyFont="1"/>
    <xf numFmtId="0" fontId="5" fillId="0" borderId="0" xfId="0" applyFont="1" applyAlignment="1">
      <alignment vertical="center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15_147_MCO_ULK_E2025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147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8">
        <f ca="1">IF(ISERROR(VLOOKUP($B$2&amp;TEXT($C$2,"000"),GAMES!$A$3:$I$562,8,FALSE)),NOW(),VLOOKUP($B$2&amp;TEXT($C$2,"000"),GAMES!$A$3:$I$562,8,FALSE))</f>
        <v>46003.8125</v>
      </c>
      <c r="C3" s="159"/>
      <c r="D3" s="39">
        <v>658</v>
      </c>
      <c r="E3" s="29"/>
      <c r="F3" s="26">
        <f>SUBTOTAL(3,I17:I106)</f>
        <v>2</v>
      </c>
      <c r="G3" s="27">
        <f>IF(OR(D3="",D3=0),"",F3/D3)</f>
        <v>3.0395136778115501E-3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60" t="s">
        <v>163</v>
      </c>
      <c r="N3" s="161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5" t="s">
        <v>86</v>
      </c>
      <c r="C4" s="166"/>
      <c r="D4" s="162" t="str">
        <f>IF(ISERROR(VLOOKUP(H4,Teams!$B$2:$C$44,2,FALSE)),"Local Team",VLOOKUP(H4,Teams!$B$2:$C$44,2,FALSE))</f>
        <v>AS Monaco</v>
      </c>
      <c r="E4" s="163"/>
      <c r="F4" s="163"/>
      <c r="G4" s="164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69" t="s">
        <v>776</v>
      </c>
      <c r="N4" s="170"/>
      <c r="O4" s="2"/>
      <c r="P4" s="2"/>
      <c r="Q4" s="84" t="s">
        <v>175</v>
      </c>
      <c r="R4" s="94">
        <f>(IF(G3="",0,G3))</f>
        <v>3.0395136778115501E-3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7" t="s">
        <v>87</v>
      </c>
      <c r="C5" s="168"/>
      <c r="D5" s="175" t="str">
        <f>IF(ISERROR(VLOOKUP(H5,Teams!$B$2:$C$44,2,FALSE)),"Visitor Team",VLOOKUP(H5,Teams!$B$2:$C$44,2,FALSE))</f>
        <v>Fenerbahce Beko Istanbul</v>
      </c>
      <c r="E5" s="176"/>
      <c r="F5" s="176"/>
      <c r="G5" s="177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71"/>
      <c r="N5" s="172"/>
      <c r="O5" s="2"/>
      <c r="P5" s="2"/>
      <c r="Q5" s="89" t="s">
        <v>174</v>
      </c>
      <c r="R5" s="94">
        <f>R4*R3</f>
        <v>0.303951367781155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5" t="s">
        <v>95</v>
      </c>
      <c r="C6" s="166"/>
      <c r="D6" s="180" t="s">
        <v>754</v>
      </c>
      <c r="E6" s="181"/>
      <c r="F6" s="181"/>
      <c r="G6" s="182"/>
      <c r="H6" s="5"/>
      <c r="I6" s="5"/>
      <c r="J6" s="5"/>
      <c r="K6" s="5"/>
      <c r="L6" s="2"/>
      <c r="M6" s="173"/>
      <c r="N6" s="174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9" t="s">
        <v>96</v>
      </c>
      <c r="C7" s="190"/>
      <c r="D7" s="180" t="s">
        <v>755</v>
      </c>
      <c r="E7" s="181"/>
      <c r="F7" s="181"/>
      <c r="G7" s="182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3.3039513677811549</v>
      </c>
      <c r="N7" s="58"/>
      <c r="O7" s="2"/>
      <c r="P7" s="2"/>
      <c r="Q7" s="86">
        <f>SUM(R5,S5,AC16)</f>
        <v>3.3039513677811549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7" t="s">
        <v>97</v>
      </c>
      <c r="C8" s="191"/>
      <c r="D8" s="183" t="s">
        <v>756</v>
      </c>
      <c r="E8" s="184"/>
      <c r="F8" s="184"/>
      <c r="G8" s="185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3.3039513677811549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5" t="s">
        <v>98</v>
      </c>
      <c r="C9" s="192"/>
      <c r="D9" s="180" t="s">
        <v>758</v>
      </c>
      <c r="E9" s="181"/>
      <c r="F9" s="181"/>
      <c r="G9" s="182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7" t="s">
        <v>99</v>
      </c>
      <c r="C10" s="191"/>
      <c r="D10" s="183" t="s">
        <v>757</v>
      </c>
      <c r="E10" s="184"/>
      <c r="F10" s="184"/>
      <c r="G10" s="185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8" t="s">
        <v>108</v>
      </c>
      <c r="C11" s="179"/>
      <c r="D11" s="193" t="s">
        <v>759</v>
      </c>
      <c r="E11" s="194"/>
      <c r="F11" s="194"/>
      <c r="G11" s="195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147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8" t="s">
        <v>162</v>
      </c>
      <c r="C14" s="179"/>
      <c r="D14" s="186" t="s">
        <v>749</v>
      </c>
      <c r="E14" s="187"/>
      <c r="F14" s="187"/>
      <c r="G14" s="188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147</v>
      </c>
      <c r="D17" s="32" t="s">
        <v>769</v>
      </c>
      <c r="E17" s="33">
        <v>3</v>
      </c>
      <c r="F17" s="36" t="s">
        <v>770</v>
      </c>
      <c r="G17" s="36" t="s">
        <v>771</v>
      </c>
      <c r="H17" s="38" t="str">
        <f>IF(I17="","",$I$14)</f>
        <v>SCOUTING</v>
      </c>
      <c r="I17" s="34" t="s">
        <v>774</v>
      </c>
      <c r="J17" s="13" t="s">
        <v>4</v>
      </c>
      <c r="K17" s="13" t="s">
        <v>62</v>
      </c>
      <c r="L17" s="13" t="s">
        <v>6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147</v>
      </c>
      <c r="D18" s="32" t="s">
        <v>767</v>
      </c>
      <c r="E18" s="33">
        <v>3</v>
      </c>
      <c r="F18" s="36" t="s">
        <v>772</v>
      </c>
      <c r="G18" s="36" t="s">
        <v>773</v>
      </c>
      <c r="H18" s="38" t="str">
        <f t="shared" ref="H18:H81" si="8">IF(I18="","",$I$14)</f>
        <v>SCOUTING</v>
      </c>
      <c r="I18" s="34" t="s">
        <v>775</v>
      </c>
      <c r="J18" s="13" t="s">
        <v>4</v>
      </c>
      <c r="K18" s="13" t="s">
        <v>63</v>
      </c>
      <c r="L18" s="13" t="s">
        <v>48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252D-75F7-4807-B8C6-2ED8BE39C18A}">
  <dimension ref="B1:N3"/>
  <sheetViews>
    <sheetView workbookViewId="0">
      <selection activeCell="H2" sqref="H2:J3"/>
    </sheetView>
  </sheetViews>
  <sheetFormatPr defaultColWidth="9.1796875" defaultRowHeight="10.5" x14ac:dyDescent="0.25"/>
  <cols>
    <col min="1" max="1" width="9.1796875" style="150"/>
    <col min="2" max="2" width="48.81640625" style="150" bestFit="1" customWidth="1"/>
    <col min="3" max="3" width="6" style="150" bestFit="1" customWidth="1"/>
    <col min="4" max="4" width="7.54296875" style="150" bestFit="1" customWidth="1"/>
    <col min="5" max="5" width="7" style="150" customWidth="1"/>
    <col min="6" max="6" width="7.1796875" style="150" customWidth="1"/>
    <col min="7" max="7" width="9.1796875" style="150" customWidth="1"/>
    <col min="8" max="8" width="3.81640625" style="150" bestFit="1" customWidth="1"/>
    <col min="9" max="9" width="19" style="150" bestFit="1" customWidth="1"/>
    <col min="10" max="10" width="17.81640625" style="150" bestFit="1" customWidth="1"/>
    <col min="11" max="13" width="9.1796875" style="150"/>
    <col min="14" max="14" width="6.7265625" style="150" bestFit="1" customWidth="1"/>
    <col min="15" max="16384" width="9.1796875" style="150"/>
  </cols>
  <sheetData>
    <row r="1" spans="2:14" x14ac:dyDescent="0.25">
      <c r="C1" s="150" t="s">
        <v>760</v>
      </c>
      <c r="D1" s="150" t="s">
        <v>761</v>
      </c>
      <c r="E1" s="150" t="s">
        <v>762</v>
      </c>
      <c r="F1" s="150" t="s">
        <v>763</v>
      </c>
      <c r="H1" s="150" t="s">
        <v>764</v>
      </c>
      <c r="I1" s="150" t="s">
        <v>765</v>
      </c>
      <c r="J1" s="150" t="s">
        <v>766</v>
      </c>
    </row>
    <row r="2" spans="2:14" x14ac:dyDescent="0.25">
      <c r="B2" s="150" t="s">
        <v>751</v>
      </c>
      <c r="C2" s="150" t="str">
        <f>MID(B2,FIND(":",B2)-2,5)</f>
        <v>09:44</v>
      </c>
      <c r="D2" s="150" cm="1">
        <f t="array" ref="D2">_xlfn.IFS(0+MID(B2,FIND(":",B2)-5,2)&lt;11,1,0+MID(B2,FIND(":",B2)-5,2)&lt;21,2,0+MID(B2,FIND(":",B2)-5,2)&lt;31,3,0+MID(B2,FIND(":",B2)-5,2)&lt;41,4, TRUE,"to")</f>
        <v>3</v>
      </c>
      <c r="E2" s="150" t="str">
        <f>TRIM(MID(B2,FIND(":",B2)+4,2))</f>
        <v>46</v>
      </c>
      <c r="F2" s="150" t="str">
        <f>TRIM(MID(B2,FIND(" " &amp; E2 &amp; " ",B2,FIND(":",B2))+2+LEN(E2),2))</f>
        <v>38</v>
      </c>
      <c r="H2" s="150" t="str">
        <f>TRIM(MID(B2,1,3))</f>
        <v>343</v>
      </c>
      <c r="I2" s="150" t="s">
        <v>4</v>
      </c>
      <c r="J2" s="150" t="s">
        <v>63</v>
      </c>
      <c r="N2" s="150" t="s">
        <v>752</v>
      </c>
    </row>
    <row r="3" spans="2:14" x14ac:dyDescent="0.25">
      <c r="B3" s="157" t="s">
        <v>753</v>
      </c>
      <c r="C3" s="156" t="s">
        <v>767</v>
      </c>
      <c r="D3" s="150" cm="1">
        <f t="array" ref="D3">_xlfn.IFS(0+MID(B3,FIND(":",B3)-5,2)&lt;11,1,0+MID(B3,FIND(":",B3)-5,2)&lt;21,2,0+MID(B3,FIND(":",B3)-5,2)&lt;31,3,0+MID(B3,FIND(":",B3)-5,2)&lt;41,4, TRUE,"to")</f>
        <v>3</v>
      </c>
      <c r="E3" s="150" t="str">
        <f>TRIM(MID(B3,FIND(":",B3)+4,2))</f>
        <v>67</v>
      </c>
      <c r="F3" s="150" t="str">
        <f>TRIM(MID(B3,FIND(" " &amp; E3 &amp; " ",B3,FIND(":",B3))+2+LEN(E3),2))</f>
        <v>53</v>
      </c>
      <c r="H3" s="150" t="str">
        <f>TRIM(MID(B3,1,3))</f>
        <v>460</v>
      </c>
      <c r="I3" s="150" t="s">
        <v>4</v>
      </c>
      <c r="J3" s="150" t="s">
        <v>63</v>
      </c>
      <c r="N3" s="150" t="s">
        <v>768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REPORT_E2025147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"E2025147"</v>
      </c>
      <c r="F3" s="45" t="str">
        <f t="shared" ref="F3:F16" si="0">""""&amp;B3&amp;"""" &amp; " : " &amp;C3&amp;","</f>
        <v>"name" : "E2025147",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"E147"</v>
      </c>
      <c r="F4" s="45" t="str">
        <f t="shared" si="0"/>
        <v>"cod" : "E147",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147</v>
      </c>
      <c r="F6" s="45" t="str">
        <f t="shared" si="0"/>
        <v>"number" : 147,</v>
      </c>
    </row>
    <row r="7" spans="2:6" x14ac:dyDescent="0.25">
      <c r="B7" s="43" t="s">
        <v>116</v>
      </c>
      <c r="C7" s="43" t="str">
        <f ca="1">""""&amp;TEXT('SCOUT &amp; LOGISTICS'!B3,"dd/mm/aaaa")&amp;""""</f>
        <v>"12/12/Friday"</v>
      </c>
      <c r="F7" s="45" t="str">
        <f t="shared" ca="1" si="0"/>
        <v>"date" : "12/12/Friday",</v>
      </c>
    </row>
    <row r="8" spans="2:6" x14ac:dyDescent="0.25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5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"CATHERINE RICARD"</v>
      </c>
      <c r="F10" s="45" t="str">
        <f t="shared" si="0"/>
        <v>"Data_entry" : "CATHERINE RICARD",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"VANESSA CAUCHIE"</v>
      </c>
      <c r="F11" s="45" t="str">
        <f t="shared" si="0"/>
        <v>"Caller_1" : "VANESSA CAUCHIE",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"CLAUDINE CARADONNA"</v>
      </c>
      <c r="F12" s="45" t="str">
        <f t="shared" si="0"/>
        <v>"Caller_2" : "CLAUDINE CARADONNA",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"THIERRY GACHE"</v>
      </c>
      <c r="F13" s="45" t="str">
        <f t="shared" si="0"/>
        <v>"Timerkeeper" : "THIERRY GACHE",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"CORINNE LOGERAIS"</v>
      </c>
      <c r="F14" s="45" t="str">
        <f t="shared" si="0"/>
        <v>"Shotclock" : "CORINNE LOGERAIS",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"DAVID MARTINOTTI"</v>
      </c>
      <c r="F15" s="45" t="str">
        <f t="shared" si="0"/>
        <v>"IRS" : "DAVID MARTINOTTI",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658</v>
      </c>
      <c r="F25" s="45" t="str">
        <f t="shared" ref="F25:F48" si="1">""""&amp;C25&amp;"""" &amp; " : " &amp;D25&amp;","</f>
        <v>"total_actions" : 658,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"Minor errors resolved in a very controlled manner"</v>
      </c>
      <c r="F51" s="45" t="str">
        <f>""""&amp;B51&amp;"""" &amp; " : " &amp;C51&amp;","</f>
        <v>"comments" : "Minor errors resolved in a very controlled manner",</v>
      </c>
    </row>
    <row r="52" spans="2:6" x14ac:dyDescent="0.25">
      <c r="B52" s="43" t="s">
        <v>153</v>
      </c>
      <c r="C52" s="43" t="str">
        <f>TEXT('SCOUT &amp; LOGISTICS'!F1,"0,0")</f>
        <v>15_147_MCO_ULK_E2025</v>
      </c>
      <c r="F52" s="45" t="str">
        <f>""""&amp;B52&amp;"""" &amp; " : " &amp;C52</f>
        <v>"result" : 15_147_MCO_ULK_E2025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1" t="s">
        <v>708</v>
      </c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1"/>
      <c r="Y2" s="201"/>
      <c r="Z2" s="201"/>
      <c r="AA2" s="201"/>
      <c r="AB2" s="201"/>
      <c r="AC2" s="201"/>
      <c r="AD2" s="201"/>
      <c r="AE2" s="201"/>
      <c r="AF2" s="48"/>
    </row>
    <row r="3" spans="1:33" ht="27" customHeight="1" thickBot="1" x14ac:dyDescent="0.3">
      <c r="A3" s="48"/>
      <c r="B3" s="210" t="str">
        <f>"GAME: "&amp; LEFT('SCOUT &amp; LOGISTICS'!B2,1) &amp; TEXT('SCOUT &amp; LOGISTICS'!C2,"000") &amp; " " &amp; IF(LEFT('SCOUT &amp; LOGISTICS'!B2,1)="U","(EUROCUP)","(EUROLEAGUE)")</f>
        <v>GAME: E147 (EUROLEAGUE)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  <c r="AF3" s="48"/>
    </row>
    <row r="4" spans="1:33" ht="14.25" customHeight="1" thickBot="1" x14ac:dyDescent="0.3">
      <c r="A4" s="48"/>
      <c r="B4" s="196" t="str">
        <f ca="1">"DATE: " &amp; TEXT('SCOUT &amp; LOGISTICS'!B3,"dd/mm")</f>
        <v>DATE: 12/12</v>
      </c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48"/>
    </row>
    <row r="5" spans="1:33" ht="20.149999999999999" customHeight="1" thickBot="1" x14ac:dyDescent="0.3">
      <c r="A5" s="48"/>
      <c r="B5" s="211" t="s">
        <v>62</v>
      </c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211"/>
      <c r="Q5" s="211" t="s">
        <v>63</v>
      </c>
      <c r="R5" s="211"/>
      <c r="S5" s="211"/>
      <c r="T5" s="211"/>
      <c r="U5" s="211"/>
      <c r="V5" s="211"/>
      <c r="W5" s="211"/>
      <c r="X5" s="211"/>
      <c r="Y5" s="211"/>
      <c r="Z5" s="211"/>
      <c r="AA5" s="211"/>
      <c r="AB5" s="211"/>
      <c r="AC5" s="211"/>
      <c r="AD5" s="211"/>
      <c r="AE5" s="211"/>
      <c r="AF5" s="48"/>
    </row>
    <row r="6" spans="1:33" ht="23.15" customHeight="1" thickBot="1" x14ac:dyDescent="0.3">
      <c r="A6" s="48"/>
      <c r="B6" s="214" t="str">
        <f>PROPER('SCOUT &amp; LOGISTICS'!D4)</f>
        <v>As Monaco</v>
      </c>
      <c r="C6" s="214"/>
      <c r="D6" s="214"/>
      <c r="E6" s="214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 t="str">
        <f>PROPER('SCOUT &amp; LOGISTICS'!D5)</f>
        <v>Fenerbahce Beko Istanbul</v>
      </c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48"/>
    </row>
    <row r="7" spans="1:33" ht="19.5" customHeight="1" thickBot="1" x14ac:dyDescent="0.3">
      <c r="A7" s="48"/>
      <c r="B7" s="206" t="str">
        <f>'SCOUT &amp; LOGISTICS'!B6</f>
        <v>Data entry</v>
      </c>
      <c r="C7" s="206"/>
      <c r="D7" s="206"/>
      <c r="E7" s="206"/>
      <c r="F7" s="206"/>
      <c r="G7" s="206" t="str">
        <f>'SCOUT &amp; LOGISTICS'!B7</f>
        <v>Caller 1</v>
      </c>
      <c r="H7" s="206"/>
      <c r="I7" s="206"/>
      <c r="J7" s="206"/>
      <c r="K7" s="206"/>
      <c r="L7" s="206" t="str">
        <f>'SCOUT &amp; LOGISTICS'!B8</f>
        <v>Caller 2</v>
      </c>
      <c r="M7" s="206"/>
      <c r="N7" s="206"/>
      <c r="O7" s="206"/>
      <c r="P7" s="206"/>
      <c r="Q7" s="206" t="str">
        <f>'SCOUT &amp; LOGISTICS'!B9</f>
        <v>Timerkeeper</v>
      </c>
      <c r="R7" s="206"/>
      <c r="S7" s="206"/>
      <c r="T7" s="206"/>
      <c r="U7" s="206"/>
      <c r="V7" s="206" t="str">
        <f>'SCOUT &amp; LOGISTICS'!B10</f>
        <v>Shotclock</v>
      </c>
      <c r="W7" s="206"/>
      <c r="X7" s="206"/>
      <c r="Y7" s="206"/>
      <c r="Z7" s="206"/>
      <c r="AA7" s="206" t="str">
        <f>'SCOUT &amp; LOGISTICS'!B11</f>
        <v>IRS</v>
      </c>
      <c r="AB7" s="206"/>
      <c r="AC7" s="206"/>
      <c r="AD7" s="206"/>
      <c r="AE7" s="206"/>
      <c r="AF7" s="48"/>
    </row>
    <row r="8" spans="1:33" ht="36" customHeight="1" thickBot="1" x14ac:dyDescent="0.3">
      <c r="A8" s="48"/>
      <c r="B8" s="208" t="str">
        <f>IF('SCOUT &amp; LOGISTICS'!D6="","",'SCOUT &amp; LOGISTICS'!D6)</f>
        <v>CATHERINE RICARD</v>
      </c>
      <c r="C8" s="208"/>
      <c r="D8" s="208"/>
      <c r="E8" s="208"/>
      <c r="F8" s="208"/>
      <c r="G8" s="208" t="str">
        <f>IF('SCOUT &amp; LOGISTICS'!D7="","",'SCOUT &amp; LOGISTICS'!D7)</f>
        <v>VANESSA CAUCHIE</v>
      </c>
      <c r="H8" s="208"/>
      <c r="I8" s="208"/>
      <c r="J8" s="208"/>
      <c r="K8" s="208"/>
      <c r="L8" s="208" t="str">
        <f>IF('SCOUT &amp; LOGISTICS'!D8="","",'SCOUT &amp; LOGISTICS'!D8)</f>
        <v>CLAUDINE CARADONNA</v>
      </c>
      <c r="M8" s="208"/>
      <c r="N8" s="208"/>
      <c r="O8" s="208"/>
      <c r="P8" s="208"/>
      <c r="Q8" s="208" t="str">
        <f>IF('SCOUT &amp; LOGISTICS'!D9="","",'SCOUT &amp; LOGISTICS'!D9)</f>
        <v>THIERRY GACHE</v>
      </c>
      <c r="R8" s="208"/>
      <c r="S8" s="208"/>
      <c r="T8" s="208"/>
      <c r="U8" s="208"/>
      <c r="V8" s="208" t="str">
        <f>IF('SCOUT &amp; LOGISTICS'!D10="","",'SCOUT &amp; LOGISTICS'!D10)</f>
        <v>CORINNE LOGERAIS</v>
      </c>
      <c r="W8" s="208"/>
      <c r="X8" s="208"/>
      <c r="Y8" s="208"/>
      <c r="Z8" s="208"/>
      <c r="AA8" s="208" t="str">
        <f>IF('SCOUT &amp; LOGISTICS'!D11="","",'SCOUT &amp; LOGISTICS'!D11)</f>
        <v>DAVID MARTINOTTI</v>
      </c>
      <c r="AB8" s="208"/>
      <c r="AC8" s="208"/>
      <c r="AD8" s="208"/>
      <c r="AE8" s="208"/>
      <c r="AF8" s="48"/>
    </row>
    <row r="9" spans="1:33" ht="13" thickBot="1" x14ac:dyDescent="0.3">
      <c r="A9" s="48"/>
      <c r="B9" s="202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2"/>
      <c r="D9" s="202"/>
      <c r="E9" s="202"/>
      <c r="F9" s="202"/>
      <c r="G9" s="202"/>
      <c r="H9" s="202"/>
      <c r="I9" s="202"/>
      <c r="J9" s="202"/>
      <c r="K9" s="202"/>
      <c r="L9" s="202"/>
      <c r="M9" s="202"/>
      <c r="N9" s="202"/>
      <c r="O9" s="202"/>
      <c r="P9" s="202"/>
      <c r="Q9" s="202"/>
      <c r="R9" s="202"/>
      <c r="S9" s="202"/>
      <c r="T9" s="202"/>
      <c r="U9" s="202"/>
      <c r="V9" s="202"/>
      <c r="W9" s="202"/>
      <c r="X9" s="202"/>
      <c r="Y9" s="202"/>
      <c r="Z9" s="202"/>
      <c r="AA9" s="202"/>
      <c r="AB9" s="202"/>
      <c r="AC9" s="202"/>
      <c r="AD9" s="202"/>
      <c r="AE9" s="202"/>
      <c r="AF9" s="48"/>
    </row>
    <row r="10" spans="1:33" s="48" customFormat="1" ht="13" thickBot="1" x14ac:dyDescent="0.3">
      <c r="B10" s="203"/>
      <c r="C10" s="203"/>
      <c r="D10" s="203"/>
      <c r="E10" s="203"/>
      <c r="F10" s="203"/>
      <c r="G10" s="203"/>
      <c r="H10" s="203"/>
      <c r="I10" s="203"/>
      <c r="J10" s="203"/>
      <c r="K10" s="203"/>
      <c r="L10" s="203"/>
      <c r="M10" s="203"/>
      <c r="N10" s="203"/>
      <c r="O10" s="203"/>
      <c r="P10" s="203"/>
      <c r="Q10" s="203"/>
      <c r="R10" s="203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  <c r="AC10" s="203"/>
      <c r="AD10" s="203"/>
      <c r="AE10" s="203"/>
    </row>
    <row r="11" spans="1:33" ht="20.149999999999999" customHeight="1" thickBot="1" x14ac:dyDescent="0.3">
      <c r="A11" s="48"/>
      <c r="B11" s="196" t="s">
        <v>13</v>
      </c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48"/>
    </row>
    <row r="12" spans="1:33" ht="21" customHeight="1" thickBot="1" x14ac:dyDescent="0.3">
      <c r="A12" s="48"/>
      <c r="B12" s="200" t="str">
        <f>'SCOUT &amp; LOGISTICS'!I11</f>
        <v>ARRIVAL TIME</v>
      </c>
      <c r="C12" s="200"/>
      <c r="D12" s="200"/>
      <c r="E12" s="200"/>
      <c r="F12" s="200"/>
      <c r="G12" s="200"/>
      <c r="H12" s="200" t="str">
        <f>'SCOUT &amp; LOGISTICS'!J11</f>
        <v>CHECK LIST ON TIME</v>
      </c>
      <c r="I12" s="200"/>
      <c r="J12" s="200"/>
      <c r="K12" s="200"/>
      <c r="L12" s="200"/>
      <c r="M12" s="200"/>
      <c r="N12" s="200" t="str">
        <f>'SCOUT &amp; LOGISTICS'!K11</f>
        <v>COMMUNICATION</v>
      </c>
      <c r="O12" s="200"/>
      <c r="P12" s="200"/>
      <c r="Q12" s="200"/>
      <c r="R12" s="200"/>
      <c r="S12" s="200"/>
      <c r="T12" s="200" t="str">
        <f>'SCOUT &amp; LOGISTICS'!L11</f>
        <v>CORRECTIONS</v>
      </c>
      <c r="U12" s="200"/>
      <c r="V12" s="200"/>
      <c r="W12" s="200"/>
      <c r="X12" s="200"/>
      <c r="Y12" s="200"/>
      <c r="Z12" s="200" t="str">
        <f>'SCOUT &amp; LOGISTICS'!M11</f>
        <v>RESCOUTED</v>
      </c>
      <c r="AA12" s="200"/>
      <c r="AB12" s="200"/>
      <c r="AC12" s="200"/>
      <c r="AD12" s="200"/>
      <c r="AE12" s="200"/>
      <c r="AF12" s="48"/>
    </row>
    <row r="13" spans="1:33" ht="20.149999999999999" customHeight="1" thickBot="1" x14ac:dyDescent="0.3">
      <c r="A13" s="48"/>
      <c r="B13" s="209" t="str">
        <f>IF('SCOUT &amp; LOGISTICS'!I12="","",'SCOUT &amp; LOGISTICS'!I12)</f>
        <v>OK</v>
      </c>
      <c r="C13" s="209"/>
      <c r="D13" s="209"/>
      <c r="E13" s="209"/>
      <c r="F13" s="209"/>
      <c r="G13" s="209"/>
      <c r="H13" s="209" t="str">
        <f>IF('SCOUT &amp; LOGISTICS'!J12="","",'SCOUT &amp; LOGISTICS'!J12)</f>
        <v>YES</v>
      </c>
      <c r="I13" s="209"/>
      <c r="J13" s="209"/>
      <c r="K13" s="209"/>
      <c r="L13" s="209"/>
      <c r="M13" s="209"/>
      <c r="N13" s="209" t="str">
        <f>IF('SCOUT &amp; LOGISTICS'!K12="","",'SCOUT &amp; LOGISTICS'!K12)</f>
        <v>GOOD</v>
      </c>
      <c r="O13" s="209"/>
      <c r="P13" s="209"/>
      <c r="Q13" s="209"/>
      <c r="R13" s="209"/>
      <c r="S13" s="209"/>
      <c r="T13" s="209" t="str">
        <f>IF('SCOUT &amp; LOGISTICS'!L12="","",'SCOUT &amp; LOGISTICS'!L12)</f>
        <v>FAST</v>
      </c>
      <c r="U13" s="209"/>
      <c r="V13" s="209"/>
      <c r="W13" s="209"/>
      <c r="X13" s="209"/>
      <c r="Y13" s="209"/>
      <c r="Z13" s="209" t="str">
        <f>IF('SCOUT &amp; LOGISTICS'!M12="","",'SCOUT &amp; LOGISTICS'!M12)</f>
        <v>NO</v>
      </c>
      <c r="AA13" s="209"/>
      <c r="AB13" s="209"/>
      <c r="AC13" s="209"/>
      <c r="AD13" s="209"/>
      <c r="AE13" s="209"/>
      <c r="AF13" s="48"/>
    </row>
    <row r="14" spans="1:33" s="48" customFormat="1" ht="13" thickBot="1" x14ac:dyDescent="0.3">
      <c r="B14" s="203"/>
      <c r="C14" s="203"/>
      <c r="D14" s="203"/>
      <c r="E14" s="203"/>
      <c r="F14" s="203"/>
      <c r="G14" s="203"/>
      <c r="H14" s="203"/>
      <c r="I14" s="203"/>
      <c r="J14" s="203"/>
      <c r="K14" s="203"/>
      <c r="L14" s="203"/>
      <c r="M14" s="203"/>
      <c r="N14" s="203"/>
      <c r="O14" s="203"/>
      <c r="P14" s="203"/>
      <c r="Q14" s="203"/>
      <c r="R14" s="203"/>
      <c r="S14" s="203"/>
      <c r="T14" s="203"/>
      <c r="U14" s="203"/>
      <c r="V14" s="203"/>
      <c r="W14" s="203"/>
      <c r="X14" s="203"/>
      <c r="Y14" s="203"/>
      <c r="Z14" s="203"/>
      <c r="AA14" s="203"/>
      <c r="AB14" s="203"/>
      <c r="AC14" s="203"/>
      <c r="AD14" s="203"/>
      <c r="AE14" s="203"/>
    </row>
    <row r="15" spans="1:33" ht="20.149999999999999" customHeight="1" thickBot="1" x14ac:dyDescent="0.3">
      <c r="A15" s="48"/>
      <c r="B15" s="196" t="s">
        <v>45</v>
      </c>
      <c r="C15" s="196"/>
      <c r="D15" s="196"/>
      <c r="E15" s="196"/>
      <c r="F15" s="196"/>
      <c r="G15" s="196"/>
      <c r="H15" s="196"/>
      <c r="I15" s="196"/>
      <c r="J15" s="196"/>
      <c r="K15" s="196"/>
      <c r="L15" s="196"/>
      <c r="M15" s="196"/>
      <c r="N15" s="196"/>
      <c r="O15" s="196"/>
      <c r="P15" s="196"/>
      <c r="Q15" s="196"/>
      <c r="R15" s="196"/>
      <c r="S15" s="196"/>
      <c r="T15" s="196"/>
      <c r="U15" s="196"/>
      <c r="V15" s="196"/>
      <c r="W15" s="196"/>
      <c r="X15" s="196"/>
      <c r="Y15" s="196"/>
      <c r="Z15" s="196"/>
      <c r="AA15" s="196"/>
      <c r="AB15" s="196"/>
      <c r="AC15" s="196"/>
      <c r="AD15" s="196"/>
      <c r="AE15" s="196"/>
      <c r="AF15" s="48"/>
    </row>
    <row r="16" spans="1:33" ht="21" customHeight="1" thickBot="1" x14ac:dyDescent="0.3">
      <c r="A16" s="48"/>
      <c r="B16" s="200" t="s">
        <v>82</v>
      </c>
      <c r="C16" s="200"/>
      <c r="D16" s="200"/>
      <c r="E16" s="200"/>
      <c r="F16" s="200"/>
      <c r="G16" s="200"/>
      <c r="H16" s="200"/>
      <c r="I16" s="200"/>
      <c r="J16" s="200"/>
      <c r="K16" s="200"/>
      <c r="L16" s="200" t="s">
        <v>83</v>
      </c>
      <c r="M16" s="200"/>
      <c r="N16" s="200"/>
      <c r="O16" s="200"/>
      <c r="P16" s="200"/>
      <c r="Q16" s="200"/>
      <c r="R16" s="200"/>
      <c r="S16" s="200"/>
      <c r="T16" s="200"/>
      <c r="U16" s="200"/>
      <c r="V16" s="200" t="s">
        <v>85</v>
      </c>
      <c r="W16" s="200"/>
      <c r="X16" s="200"/>
      <c r="Y16" s="200"/>
      <c r="Z16" s="200"/>
      <c r="AA16" s="200"/>
      <c r="AB16" s="200"/>
      <c r="AC16" s="200"/>
      <c r="AD16" s="200"/>
      <c r="AE16" s="200"/>
      <c r="AF16" s="48"/>
      <c r="AG16" s="47" t="s">
        <v>84</v>
      </c>
    </row>
    <row r="17" spans="1:32" ht="20.149999999999999" customHeight="1" thickBot="1" x14ac:dyDescent="0.3">
      <c r="A17" s="48"/>
      <c r="B17" s="206">
        <f>'SCOUT &amp; LOGISTICS'!D3</f>
        <v>658</v>
      </c>
      <c r="C17" s="206"/>
      <c r="D17" s="206"/>
      <c r="E17" s="206"/>
      <c r="F17" s="206"/>
      <c r="G17" s="206"/>
      <c r="H17" s="206"/>
      <c r="I17" s="206"/>
      <c r="J17" s="206"/>
      <c r="K17" s="206"/>
      <c r="L17" s="206">
        <f>'SCOUT &amp; LOGISTICS'!F3</f>
        <v>2</v>
      </c>
      <c r="M17" s="206"/>
      <c r="N17" s="206"/>
      <c r="O17" s="206"/>
      <c r="P17" s="206"/>
      <c r="Q17" s="206"/>
      <c r="R17" s="206"/>
      <c r="S17" s="206"/>
      <c r="T17" s="206"/>
      <c r="U17" s="206"/>
      <c r="V17" s="207">
        <f>IF(OR(B17="",B17=0),"",L17/B17)</f>
        <v>3.0395136778115501E-3</v>
      </c>
      <c r="W17" s="207"/>
      <c r="X17" s="207"/>
      <c r="Y17" s="207"/>
      <c r="Z17" s="207"/>
      <c r="AA17" s="207"/>
      <c r="AB17" s="207"/>
      <c r="AC17" s="207"/>
      <c r="AD17" s="207"/>
      <c r="AE17" s="207"/>
      <c r="AF17" s="48"/>
    </row>
    <row r="18" spans="1:32" s="48" customFormat="1" ht="13" thickBot="1" x14ac:dyDescent="0.3">
      <c r="B18" s="203"/>
      <c r="C18" s="203"/>
      <c r="D18" s="203"/>
      <c r="E18" s="203"/>
      <c r="F18" s="203"/>
      <c r="G18" s="203"/>
      <c r="H18" s="203"/>
      <c r="I18" s="203"/>
      <c r="J18" s="203"/>
      <c r="K18" s="203"/>
      <c r="L18" s="203"/>
      <c r="M18" s="203"/>
      <c r="N18" s="203"/>
      <c r="O18" s="203"/>
      <c r="P18" s="203"/>
      <c r="Q18" s="203"/>
      <c r="R18" s="203"/>
      <c r="S18" s="203"/>
      <c r="T18" s="203"/>
      <c r="U18" s="203"/>
      <c r="V18" s="203"/>
      <c r="W18" s="203"/>
      <c r="X18" s="203"/>
      <c r="Y18" s="203"/>
      <c r="Z18" s="203"/>
      <c r="AA18" s="203"/>
      <c r="AB18" s="203"/>
      <c r="AC18" s="203"/>
      <c r="AD18" s="203"/>
      <c r="AE18" s="203"/>
    </row>
    <row r="19" spans="1:32" ht="21" customHeight="1" thickBot="1" x14ac:dyDescent="0.3">
      <c r="A19" s="48"/>
      <c r="B19" s="200" t="str">
        <f>'SCOUT &amp; LOGISTICS'!Z17</f>
        <v>AWAY TEAM</v>
      </c>
      <c r="C19" s="200"/>
      <c r="D19" s="200"/>
      <c r="E19" s="200"/>
      <c r="F19" s="200"/>
      <c r="G19" s="200"/>
      <c r="H19" s="200"/>
      <c r="I19" s="200"/>
      <c r="J19" s="200"/>
      <c r="K19" s="200"/>
      <c r="L19" s="200" t="str">
        <f>'SCOUT &amp; LOGISTICS'!Z18</f>
        <v>HOME TEAM</v>
      </c>
      <c r="M19" s="200"/>
      <c r="N19" s="200"/>
      <c r="O19" s="200"/>
      <c r="P19" s="200"/>
      <c r="Q19" s="200" t="s">
        <v>63</v>
      </c>
      <c r="R19" s="200"/>
      <c r="S19" s="200"/>
      <c r="T19" s="200"/>
      <c r="U19" s="200"/>
      <c r="V19" s="200" t="str">
        <f>'SCOUT &amp; LOGISTICS'!Z19</f>
        <v>NO TEAM</v>
      </c>
      <c r="W19" s="200"/>
      <c r="X19" s="200"/>
      <c r="Y19" s="200"/>
      <c r="Z19" s="200"/>
      <c r="AA19" s="200"/>
      <c r="AB19" s="200"/>
      <c r="AC19" s="200"/>
      <c r="AD19" s="200"/>
      <c r="AE19" s="200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200" t="s">
        <v>88</v>
      </c>
      <c r="C21" s="200"/>
      <c r="D21" s="200"/>
      <c r="E21" s="200"/>
      <c r="F21" s="200"/>
      <c r="G21" s="200"/>
      <c r="H21" s="200" t="s">
        <v>89</v>
      </c>
      <c r="I21" s="200"/>
      <c r="J21" s="200"/>
      <c r="K21" s="200"/>
      <c r="L21" s="200"/>
      <c r="M21" s="200"/>
      <c r="N21" s="200" t="s">
        <v>90</v>
      </c>
      <c r="O21" s="200"/>
      <c r="P21" s="200"/>
      <c r="Q21" s="200"/>
      <c r="R21" s="200"/>
      <c r="S21" s="200"/>
      <c r="T21" s="200" t="s">
        <v>91</v>
      </c>
      <c r="U21" s="200"/>
      <c r="V21" s="200"/>
      <c r="W21" s="200"/>
      <c r="X21" s="200"/>
      <c r="Y21" s="200"/>
      <c r="Z21" s="200" t="s">
        <v>92</v>
      </c>
      <c r="AA21" s="200"/>
      <c r="AB21" s="200"/>
      <c r="AC21" s="200"/>
      <c r="AD21" s="200"/>
      <c r="AE21" s="200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213"/>
      <c r="C23" s="213"/>
      <c r="D23" s="213"/>
      <c r="E23" s="213"/>
      <c r="F23" s="213"/>
      <c r="G23" s="213"/>
      <c r="H23" s="213"/>
      <c r="I23" s="213"/>
      <c r="J23" s="213"/>
      <c r="K23" s="213"/>
      <c r="L23" s="213"/>
      <c r="M23" s="213"/>
      <c r="N23" s="213"/>
      <c r="O23" s="213"/>
      <c r="P23" s="213"/>
      <c r="Q23" s="213"/>
      <c r="R23" s="213"/>
      <c r="S23" s="213"/>
      <c r="T23" s="213"/>
      <c r="U23" s="213"/>
      <c r="V23" s="213"/>
      <c r="W23" s="213"/>
      <c r="X23" s="213"/>
      <c r="Y23" s="213"/>
      <c r="Z23" s="213"/>
      <c r="AA23" s="213"/>
      <c r="AB23" s="213"/>
      <c r="AC23" s="213"/>
      <c r="AD23" s="213"/>
      <c r="AE23" s="213"/>
    </row>
    <row r="24" spans="1:32" ht="21" customHeight="1" thickBot="1" x14ac:dyDescent="0.3">
      <c r="A24" s="48"/>
      <c r="B24" s="200" t="s">
        <v>93</v>
      </c>
      <c r="C24" s="200"/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 t="s">
        <v>94</v>
      </c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0"/>
      <c r="AC24" s="200"/>
      <c r="AD24" s="200"/>
      <c r="AE24" s="200"/>
      <c r="AF24" s="48"/>
    </row>
    <row r="25" spans="1:32" ht="20.149999999999999" customHeight="1" thickBot="1" x14ac:dyDescent="0.3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200" t="s">
        <v>5</v>
      </c>
      <c r="C26" s="200"/>
      <c r="D26" s="200"/>
      <c r="E26" s="200"/>
      <c r="F26" s="200"/>
      <c r="G26" s="200" t="s">
        <v>6</v>
      </c>
      <c r="H26" s="200"/>
      <c r="I26" s="200"/>
      <c r="J26" s="200"/>
      <c r="K26" s="200"/>
      <c r="L26" s="200" t="s">
        <v>7</v>
      </c>
      <c r="M26" s="200"/>
      <c r="N26" s="200"/>
      <c r="O26" s="200"/>
      <c r="P26" s="200"/>
      <c r="Q26" s="200" t="s">
        <v>159</v>
      </c>
      <c r="R26" s="200"/>
      <c r="S26" s="200"/>
      <c r="T26" s="200"/>
      <c r="U26" s="200"/>
      <c r="V26" s="200" t="s">
        <v>109</v>
      </c>
      <c r="W26" s="200"/>
      <c r="X26" s="200"/>
      <c r="Y26" s="200"/>
      <c r="Z26" s="200"/>
      <c r="AA26" s="205" t="s">
        <v>161</v>
      </c>
      <c r="AB26" s="200"/>
      <c r="AC26" s="200"/>
      <c r="AD26" s="200"/>
      <c r="AE26" s="200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200" t="s">
        <v>48</v>
      </c>
      <c r="C28" s="200"/>
      <c r="D28" s="200"/>
      <c r="E28" s="200"/>
      <c r="F28" s="200"/>
      <c r="G28" s="200" t="s">
        <v>47</v>
      </c>
      <c r="H28" s="200"/>
      <c r="I28" s="200"/>
      <c r="J28" s="200"/>
      <c r="K28" s="200"/>
      <c r="L28" s="205" t="s">
        <v>75</v>
      </c>
      <c r="M28" s="200"/>
      <c r="N28" s="200"/>
      <c r="O28" s="200"/>
      <c r="P28" s="200"/>
      <c r="Q28" s="200" t="s">
        <v>36</v>
      </c>
      <c r="R28" s="200"/>
      <c r="S28" s="200"/>
      <c r="T28" s="200"/>
      <c r="U28" s="200"/>
      <c r="V28" s="200" t="s">
        <v>76</v>
      </c>
      <c r="W28" s="200"/>
      <c r="X28" s="200"/>
      <c r="Y28" s="200"/>
      <c r="Z28" s="200"/>
      <c r="AA28" s="200" t="s">
        <v>77</v>
      </c>
      <c r="AB28" s="200"/>
      <c r="AC28" s="200"/>
      <c r="AD28" s="200"/>
      <c r="AE28" s="200"/>
      <c r="AF28" s="48"/>
    </row>
    <row r="29" spans="1:32" ht="20.149999999999999" customHeight="1" thickBot="1" x14ac:dyDescent="0.3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203"/>
      <c r="C30" s="203"/>
      <c r="D30" s="203"/>
      <c r="E30" s="203"/>
      <c r="F30" s="203"/>
      <c r="G30" s="203"/>
      <c r="H30" s="203"/>
      <c r="I30" s="203"/>
      <c r="J30" s="203"/>
      <c r="K30" s="203"/>
      <c r="L30" s="203"/>
      <c r="M30" s="203"/>
      <c r="N30" s="203"/>
      <c r="O30" s="203"/>
      <c r="P30" s="203"/>
      <c r="Q30" s="203"/>
      <c r="R30" s="203"/>
      <c r="S30" s="203"/>
      <c r="T30" s="203"/>
      <c r="U30" s="203"/>
      <c r="V30" s="203"/>
      <c r="W30" s="203"/>
      <c r="X30" s="203"/>
      <c r="Y30" s="203"/>
      <c r="Z30" s="203"/>
      <c r="AA30" s="203"/>
      <c r="AB30" s="203"/>
      <c r="AC30" s="203"/>
      <c r="AD30" s="203"/>
      <c r="AE30" s="203"/>
    </row>
    <row r="31" spans="1:32" s="52" customFormat="1" ht="20.149999999999999" customHeight="1" thickBot="1" x14ac:dyDescent="0.3">
      <c r="A31" s="51"/>
      <c r="B31" s="196" t="s">
        <v>80</v>
      </c>
      <c r="C31" s="196"/>
      <c r="D31" s="196"/>
      <c r="E31" s="196"/>
      <c r="F31" s="196"/>
      <c r="G31" s="196"/>
      <c r="H31" s="196"/>
      <c r="I31" s="196"/>
      <c r="J31" s="196"/>
      <c r="K31" s="196"/>
      <c r="L31" s="196"/>
      <c r="M31" s="196"/>
      <c r="N31" s="196"/>
      <c r="O31" s="196"/>
      <c r="P31" s="196"/>
      <c r="Q31" s="196"/>
      <c r="R31" s="196"/>
      <c r="S31" s="196"/>
      <c r="T31" s="196"/>
      <c r="U31" s="196"/>
      <c r="V31" s="196"/>
      <c r="W31" s="196"/>
      <c r="X31" s="196"/>
      <c r="Y31" s="196"/>
      <c r="Z31" s="196"/>
      <c r="AA31" s="196"/>
      <c r="AB31" s="196"/>
      <c r="AC31" s="196"/>
      <c r="AD31" s="196"/>
      <c r="AE31" s="196"/>
      <c r="AF31" s="51"/>
    </row>
    <row r="32" spans="1:32" ht="87.65" customHeight="1" thickBot="1" x14ac:dyDescent="0.3">
      <c r="A32" s="48"/>
      <c r="B32" s="197" t="str">
        <f>IF('SCOUT &amp; LOGISTICS'!M4="","",'SCOUT &amp; LOGISTICS'!M4)</f>
        <v>Minor errors resolved in a very controlled manner</v>
      </c>
      <c r="C32" s="197"/>
      <c r="D32" s="197"/>
      <c r="E32" s="197"/>
      <c r="F32" s="197"/>
      <c r="G32" s="197"/>
      <c r="H32" s="197"/>
      <c r="I32" s="197"/>
      <c r="J32" s="197"/>
      <c r="K32" s="197"/>
      <c r="L32" s="197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197"/>
      <c r="Z32" s="197"/>
      <c r="AA32" s="197"/>
      <c r="AB32" s="197"/>
      <c r="AC32" s="197"/>
      <c r="AD32" s="197"/>
      <c r="AE32" s="197"/>
      <c r="AF32" s="48"/>
    </row>
    <row r="33" spans="1:32" ht="20.149999999999999" customHeight="1" thickBot="1" x14ac:dyDescent="0.3">
      <c r="A33" s="48"/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4"/>
      <c r="M33" s="204"/>
      <c r="N33" s="204"/>
      <c r="O33" s="204"/>
      <c r="P33" s="204"/>
      <c r="Q33" s="204"/>
      <c r="R33" s="204"/>
      <c r="S33" s="204"/>
      <c r="T33" s="204"/>
      <c r="U33" s="204"/>
      <c r="V33" s="204"/>
      <c r="W33" s="204"/>
      <c r="X33" s="204"/>
      <c r="Y33" s="204"/>
      <c r="Z33" s="204"/>
      <c r="AA33" s="204"/>
      <c r="AB33" s="204"/>
      <c r="AC33" s="204"/>
      <c r="AD33" s="204"/>
      <c r="AE33" s="204"/>
      <c r="AF33" s="48"/>
    </row>
    <row r="34" spans="1:32" ht="20.149999999999999" customHeight="1" thickBot="1" x14ac:dyDescent="0.3">
      <c r="A34" s="48"/>
      <c r="B34" s="196" t="s">
        <v>81</v>
      </c>
      <c r="C34" s="196"/>
      <c r="D34" s="196"/>
      <c r="E34" s="196"/>
      <c r="F34" s="196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8">
        <f>'SCOUT &amp; LOGISTICS'!M7</f>
        <v>3.3039513677811549</v>
      </c>
      <c r="C35" s="198"/>
      <c r="D35" s="198"/>
      <c r="E35" s="198"/>
      <c r="F35" s="19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2"/>
      <c r="C36" s="212"/>
      <c r="D36" s="212"/>
      <c r="E36" s="212"/>
      <c r="F36" s="212"/>
      <c r="G36" s="212"/>
      <c r="H36" s="212"/>
      <c r="I36" s="212"/>
      <c r="J36" s="212"/>
      <c r="K36" s="212"/>
      <c r="L36" s="212"/>
      <c r="M36" s="212"/>
      <c r="N36" s="212"/>
      <c r="O36" s="212"/>
      <c r="P36" s="212"/>
      <c r="Q36" s="212"/>
      <c r="R36" s="212"/>
      <c r="S36" s="212"/>
      <c r="T36" s="212"/>
      <c r="U36" s="212"/>
      <c r="V36" s="212"/>
      <c r="W36" s="212"/>
      <c r="X36" s="212"/>
      <c r="Y36" s="212"/>
      <c r="Z36" s="212"/>
      <c r="AA36" s="212"/>
      <c r="AB36" s="212"/>
      <c r="AC36" s="212"/>
      <c r="AD36" s="212"/>
      <c r="AE36" s="212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EF04EF2-F880-4680-BA3E-B4A4E8ADC1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SCOUT &amp; LOGISTICS</vt:lpstr>
      <vt:lpstr>Sheet1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2025-12-14T21:33:26Z</cp:lastPrinted>
  <dcterms:created xsi:type="dcterms:W3CDTF">2023-09-19T19:50:35Z</dcterms:created>
  <dcterms:modified xsi:type="dcterms:W3CDTF">2026-01-07T16:27:01Z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