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41" documentId="8_{A974025C-047D-4254-86A8-A64DB5E2AEB4}" xr6:coauthVersionLast="47" xr6:coauthVersionMax="47" xr10:uidLastSave="{47A63713-4FEB-4366-B033-17262DFCD44C}"/>
  <bookViews>
    <workbookView xWindow="30" yWindow="-16320" windowWidth="29040" windowHeight="15720" xr2:uid="{00000000-000D-0000-FFFF-FFFF00000000}"/>
  </bookViews>
  <sheets>
    <sheet name="SCOUT &amp; LOGISTICS" sheetId="1" r:id="rId1"/>
    <sheet name="Teams" sheetId="5"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 l="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<sst xmlns="http://schemas.openxmlformats.org/spreadsheetml/2006/main" count="3437" uniqueCount="853">
  <si>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</si>
  <si>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</si>
  <si>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</si>
  <si>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</si>
  <si>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</si>
  <si>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</si>
  <si>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</si>
  <si>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</si>
  <si>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</si>
  <si>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</si>
  <si>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</si>
  <si>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</si>
  <si>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</si>
  <si>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</si>
  <si>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</si>
  <si>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</si>
  <si>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</si>
  <si>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</si>
  <si>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</si>
  <si>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</si>
  <si>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</si>
  <si>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</si>
  <si>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</si>
  <si>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</si>
  <si>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</si>
  <si>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</si>
  <si>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</si>
  <si>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</si>
  <si>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</si>
  <si>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</si>
  <si>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</si>
  <si>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</si>
  <si>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</si>
  <si>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</si>
  <si>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</si>
  <si>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</si>
  <si>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</si>
  <si>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</si>
  <si>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</si>
  <si>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</si>
  <si>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</si>
  <si>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</si>
  <si>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</si>
  <si>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</si>
  <si>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</si>
  <si>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</si>
  <si>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</si>
  <si>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</si>
  <si>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</si>
  <si>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</si>
  <si>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</si>
  <si>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</si>
  <si>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</si>
  <si>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</si>
  <si>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</si>
  <si>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</si>
  <si>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</si>
  <si>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</si>
  <si>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</si>
  <si>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</si>
  <si>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</si>
  <si>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</si>
  <si>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</si>
  <si>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</si>
  <si>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</si>
  <si>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</si>
  <si>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</si>
  <si>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</si>
  <si>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</si>
  <si>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</si>
  <si>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</si>
  <si>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</si>
  <si>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</si>
  <si>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</si>
  <si>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</si>
  <si>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</si>
  <si>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</si>
  <si>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</si>
  <si>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</si>
  <si>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</si>
  <si>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</si>
  <si>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</si>
  <si>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</si>
  <si>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</si>
  <si>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</si>
  <si>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</si>
  <si>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</si>
  <si>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</si>
  <si>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</si>
  <si>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</si>
  <si>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</si>
  <si>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</si>
  <si>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</si>
  <si>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</si>
  <si>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</si>
  <si>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</si>
  <si>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</si>
  <si>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</si>
  <si>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</si>
  <si>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</si>
  <si>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</si>
  <si>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</si>
  <si>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</si>
  <si>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</si>
  <si>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</si>
  <si>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</si>
  <si>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</si>
  <si>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</si>
  <si>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</si>
  <si>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</si>
  <si>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</si>
  <si>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</si>
  <si>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</si>
  <si>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</si>
  <si>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</si>
  <si>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</si>
  <si>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</si>
  <si>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</si>
  <si>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</si>
  <si>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</si>
  <si>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</si>
  <si>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</si>
  <si>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</si>
  <si>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</si>
  <si>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</si>
  <si>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</si>
  <si>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</si>
  <si>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</si>
  <si>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</si>
  <si>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</si>
  <si>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</si>
  <si>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</si>
  <si>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</si>
  <si>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</si>
  <si>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</si>
  <si>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</si>
  <si>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</si>
  <si>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</si>
  <si>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</si>
  <si>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</si>
  <si>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</si>
  <si>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</si>
  <si>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</si>
  <si>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</si>
  <si>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</si>
  <si>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</si>
  <si>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</si>
  <si>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</si>
  <si>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</si>
  <si>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</si>
  <si>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</si>
  <si>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</si>
  <si>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</si>
  <si>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</si>
  <si>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</si>
  <si>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</si>
  <si>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</si>
  <si>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</si>
  <si>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</si>
  <si>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</si>
  <si>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</si>
  <si>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</si>
  <si>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</si>
  <si>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</si>
  <si>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</si>
  <si>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</si>
  <si>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</si>
  <si>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</si>
  <si>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</si>
  <si>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</si>
  <si>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</si>
  <si>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</si>
  <si>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</si>
  <si>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</si>
  <si>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</si>
  <si>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</si>
  <si>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</si>
  <si>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</si>
  <si>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</si>
  <si>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</si>
  <si>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</si>
  <si>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</si>
  <si>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</si>
  <si>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</si>
  <si>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</si>
  <si>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</si>
  <si>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</si>
  <si>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</si>
  <si>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</si>
  <si>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</si>
  <si>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</si>
  <si>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</si>
  <si>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</si>
  <si>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</si>
  <si>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</si>
  <si>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</si>
  <si>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</si>
  <si>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</si>
  <si>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</si>
  <si>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</si>
  <si>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</si>
  <si>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</si>
  <si>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</si>
  <si>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</si>
  <si>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</si>
  <si>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</si>
  <si>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</si>
  <si>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</si>
  <si>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</si>
  <si>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</si>
  <si>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</si>
  <si>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</si>
  <si>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</si>
  <si>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</si>
  <si>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</si>
  <si>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</si>
  <si>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</si>
  <si>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</si>
  <si>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</si>
  <si>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</si>
  <si>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</si>
  <si>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</si>
  <si>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</si>
  <si>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</si>
  <si>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</si>
  <si>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</si>
  <si>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</si>
  <si>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</si>
  <si>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</si>
  <si>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</si>
  <si>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</si>
  <si>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</si>
  <si>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</si>
  <si>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</si>
  <si>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</si>
  <si>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</si>
  <si>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</si>
  <si>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</si>
  <si>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</si>
  <si>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</si>
  <si>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</si>
  <si>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</si>
  <si>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</si>
  <si>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</si>
  <si>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</si>
  <si>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</si>
  <si>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</si>
  <si>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</si>
  <si>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</si>
  <si>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</si>
  <si>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</si>
  <si>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</si>
  <si>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</si>
  <si>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</si>
  <si>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</si>
  <si>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</si>
  <si>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</si>
  <si>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</si>
  <si>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</si>
  <si>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</si>
  <si>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</si>
  <si>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</si>
  <si>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</si>
  <si>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</si>
  <si>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</si>
  <si>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</si>
  <si>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</si>
  <si>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</si>
  <si>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</si>
  <si>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</si>
  <si>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</si>
  <si>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</si>
  <si>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</si>
  <si>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</si>
  <si>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</si>
  <si>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</si>
  <si>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</si>
  <si>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</si>
  <si>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</si>
  <si>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</si>
  <si>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</si>
  <si>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</si>
  <si>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</si>
  <si>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</si>
  <si>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</si>
  <si>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</si>
  <si>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</si>
  <si>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</si>
  <si>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</si>
  <si>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</si>
  <si>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</si>
  <si>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</si>
  <si>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</si>
  <si>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</si>
  <si>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</si>
  <si>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</si>
  <si>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</si>
  <si>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</si>
  <si>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</si>
  <si>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</si>
  <si>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</si>
  <si>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</si>
  <si>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</si>
  <si>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</si>
  <si>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</si>
  <si>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</si>
  <si>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</si>
  <si>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</si>
  <si>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</si>
  <si>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</si>
  <si>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</si>
  <si>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</si>
  <si>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</si>
  <si>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</si>
  <si>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</si>
  <si>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</si>
  <si>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</si>
  <si>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</si>
  <si>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</si>
  <si>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</si>
  <si>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</si>
  <si>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</si>
  <si>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</si>
  <si>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</si>
  <si>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</si>
  <si>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</si>
  <si>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</si>
  <si>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</si>
  <si>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</si>
  <si>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</si>
  <si>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</si>
  <si>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</si>
  <si>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</si>
  <si>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</si>
  <si>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</si>
  <si>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</si>
  <si>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</si>
  <si>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</si>
  <si>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</si>
  <si>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</si>
  <si>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</si>
  <si>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</si>
  <si>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</si>
  <si>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</si>
  <si>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</si>
  <si>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</si>
  <si>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</si>
  <si>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</si>
  <si>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</si>
  <si>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</si>
  <si>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</si>
  <si>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</si>
  <si>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</si>
  <si>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</si>
  <si>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</si>
  <si>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</si>
  <si>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</si>
  <si>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</si>
  <si>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</si>
  <si>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</si>
  <si>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</si>
  <si>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</si>
  <si>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</si>
  <si>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</si>
  <si>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</si>
  <si>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</si>
  <si>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</si>
  <si>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</si>
  <si>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</si>
  <si>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</si>
  <si>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</si>
  <si>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</si>
  <si>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</si>
  <si>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</si>
  <si>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</si>
  <si>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</si>
  <si>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</si>
  <si>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</si>
  <si>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</si>
  <si>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</si>
  <si>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</si>
  <si>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</si>
  <si>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</si>
  <si>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</si>
  <si>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</si>
  <si>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</si>
  <si>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</si>
  <si>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</si>
  <si>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</si>
  <si>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</si>
  <si>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</si>
  <si>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</si>
  <si>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</si>
  <si>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</si>
  <si>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</si>
  <si>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</si>
  <si>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</si>
  <si>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</si>
  <si>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</si>
  <si>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</si>
  <si>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</si>
  <si>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</si>
  <si>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</si>
  <si>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</si>
  <si>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</si>
  <si>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</si>
  <si>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</si>
  <si>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</si>
  <si>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</si>
  <si>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</si>
  <si>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</si>
  <si>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</si>
  <si>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</si>
  <si>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</si>
  <si>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</si>
  <si>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</si>
  <si>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</si>
  <si>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</si>
  <si>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</si>
  <si>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</si>
  <si>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</si>
  <si>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</si>
  <si>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</si>
  <si>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</si>
  <si>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</si>
  <si>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</si>
  <si>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</si>
  <si>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</si>
  <si>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</si>
  <si>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</si>
  <si>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</si>
  <si>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</si>
  <si>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</si>
  <si>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</si>
  <si>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</si>
  <si>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</si>
  <si>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</si>
  <si>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</si>
  <si>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</si>
  <si>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</si>
  <si>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</si>
  <si>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</si>
  <si>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</si>
  <si>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</si>
  <si>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</si>
  <si>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</si>
  <si>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</si>
  <si>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</si>
  <si>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</si>
  <si>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</si>
  <si>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</si>
  <si>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</si>
  <si>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</si>
  <si>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</si>
  <si>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</si>
  <si>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</si>
  <si>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</si>
  <si>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</si>
  <si>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</si>
  <si>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</si>
  <si>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</si>
  <si>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</si>
  <si>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</si>
  <si>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</si>
  <si>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</si>
  <si>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</si>
  <si>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</si>
  <si>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</si>
  <si>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</si>
  <si>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</si>
  <si>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</si>
  <si>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</si>
  <si>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</si>
  <si>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</si>
  <si>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</si>
  <si>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</si>
  <si>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</si>
  <si>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</si>
  <si>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</si>
  <si>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</si>
  <si>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</si>
  <si>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</si>
  <si>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</si>
  <si>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</si>
  <si>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</si>
  <si>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</si>
  <si>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</si>
  <si>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</si>
  <si>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</si>
  <si>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</si>
  <si>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</si>
  <si>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</si>
  <si>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</si>
  <si>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</si>
  <si>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</si>
  <si>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</si>
  <si>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</si>
  <si>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</si>
  <si>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</si>
  <si>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</si>
  <si>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</si>
  <si>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</si>
  <si>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</si>
  <si>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</si>
  <si>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</si>
  <si>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</si>
  <si>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</si>
  <si>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</si>
  <si>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</si>
  <si>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</si>
  <si>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</si>
  <si>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</si>
  <si>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</si>
  <si>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</si>
  <si>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</si>
  <si>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</si>
  <si>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</si>
  <si>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</si>
  <si>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</si>
  <si>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</si>
  <si>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</si>
  <si>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</si>
  <si>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</si>
  <si>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</si>
  <si>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</si>
  <si>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</si>
  <si>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</si>
  <si>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</si>
  <si>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</si>
  <si>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</si>
  <si>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</si>
  <si>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</si>
  <si>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</si>
  <si>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</si>
  <si>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</si>
  <si>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</si>
  <si>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</si>
  <si>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</si>
  <si>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</si>
  <si>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</si>
  <si>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</si>
  <si>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</si>
  <si>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</si>
  <si>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</si>
  <si>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</si>
  <si>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</si>
  <si>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</si>
  <si>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</si>
  <si>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</si>
  <si>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</si>
  <si>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</si>
  <si>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</si>
  <si>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</si>
  <si>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</si>
  <si>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</si>
  <si>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</si>
  <si>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</si>
  <si>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</si>
  <si>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</si>
  <si>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</si>
  <si>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</si>
  <si>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</si>
  <si>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</si>
  <si>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</si>
  <si>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</si>
  <si>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</si>
  <si>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</si>
  <si>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</si>
  <si>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</si>
  <si>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</si>
  <si>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</si>
  <si>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</si>
  <si>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</si>
  <si>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</si>
  <si>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</si>
  <si>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</si>
  <si>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</si>
  <si>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</si>
  <si>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</si>
  <si>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</si>
  <si>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</si>
  <si>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</si>
  <si>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</si>
  <si>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</si>
  <si>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</si>
  <si>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</si>
  <si>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</si>
  <si>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</si>
  <si>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</si>
  <si>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</si>
  <si>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</si>
  <si>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</si>
  <si>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</si>
  <si>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</si>
  <si>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</si>
  <si>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</si>
  <si>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</si>
  <si>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</si>
  <si>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</si>
  <si>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</si>
  <si>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</si>
  <si>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</si>
  <si>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</si>
  <si>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</si>
  <si>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</si>
  <si>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</si>
  <si>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</si>
  <si>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</si>
  <si>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</si>
  <si>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</si>
  <si>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</si>
  <si>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</si>
  <si>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</si>
  <si>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</si>
  <si>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</si>
  <si>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</si>
  <si>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</si>
  <si>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</si>
  <si>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</si>
  <si>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</si>
  <si>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</si>
  <si>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</si>
  <si>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</si>
  <si>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</si>
  <si>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</si>
  <si>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</si>
  <si>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</si>
  <si>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</si>
  <si>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</si>
  <si>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</si>
  <si>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</si>
  <si>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</si>
  <si>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</si>
  <si>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</si>
  <si>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</si>
  <si>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</si>
  <si>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</si>
  <si>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</si>
  <si>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</si>
  <si>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</si>
  <si>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</si>
  <si>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</si>
  <si>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</si>
  <si>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</si>
  <si>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</si>
  <si>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</si>
  <si>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</si>
  <si>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</si>
  <si>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</si>
  <si>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</si>
  <si>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</si>
  <si>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</si>
  <si>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</si>
  <si>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</si>
  <si>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</si>
  <si>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</si>
  <si>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</si>
  <si>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</si>
  <si>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</si>
  <si>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</si>
  <si>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</si>
  <si>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</si>
  <si>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</si>
  <si>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</si>
  <si>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</si>
  <si>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</si>
  <si>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</si>
  <si>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</si>
  <si>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</si>
  <si>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</si>
  <si>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</si>
  <si>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</si>
  <si>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</si>
  <si>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</si>
  <si>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</si>
  <si>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</si>
  <si>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</si>
  <si>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</si>
  <si>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</si>
  <si>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</si>
  <si>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</si>
  <si>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</si>
  <si>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</si>
  <si>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</si>
  <si>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</si>
  <si>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</si>
  <si>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</si>
  <si>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</si>
  <si>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</si>
  <si>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</si>
  <si>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</si>
  <si>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</si>
  <si>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</si>
  <si>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</si>
  <si>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</si>
  <si>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</si>
  <si>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</si>
  <si>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</si>
  <si>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</si>
  <si>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</si>
  <si>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</si>
  <si>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</si>
  <si>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</si>
  <si>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</si>
  <si>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</si>
  <si>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</si>
  <si>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</si>
  <si>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</si>
  <si>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</si>
  <si>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</si>
  <si>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</si>
  <si>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</si>
  <si>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</si>
  <si>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</si>
  <si>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</si>
  <si>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</si>
  <si>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</si>
  <si>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</si>
  <si>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</si>
  <si>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</si>
  <si>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</si>
  <si>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</si>
  <si>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</si>
  <si>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</si>
  <si>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</si>
  <si>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</si>
  <si>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</si>
  <si>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</si>
  <si>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</si>
  <si>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</si>
  <si>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</si>
  <si>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</si>
  <si>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</si>
  <si>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</si>
  <si>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</si>
  <si>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</si>
  <si>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</si>
  <si>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</si>
  <si>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</si>
  <si>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</si>
  <si>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</si>
  <si>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</si>
  <si>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</si>
  <si>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</si>
  <si>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</si>
  <si>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</si>
  <si>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</si>
  <si>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</si>
  <si>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U</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</si>
  <si>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</si>
  <si>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</si>
  <si>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</si>
  <si>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</si>
  <si>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</si>
  <si>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</si>
  <si>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</si>
  <si>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</si>
  <si>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</si>
  <si>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</si>
  <si>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</si>
  <si>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</si>
  <si>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</si>
  <si>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</si>
  <si>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</si>
  <si>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</si>
  <si>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</si>
  <si>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</si>
  <si>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</si>
  <si>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</si>
  <si>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</si>
  <si>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</si>
  <si>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</si>
  <si>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</si>
  <si>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</si>
  <si>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</si>
  <si>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</si>
  <si>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</si>
  <si>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</si>
  <si>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</si>
  <si>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</si>
  <si>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</si>
  <si>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</si>
  <si>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</si>
  <si>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</si>
  <si>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</si>
  <si>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</si>
  <si>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</si>
  <si>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</si>
  <si>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</si>
  <si>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</si>
  <si>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</si>
  <si>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</si>
  <si>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</si>
  <si>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</si>
  <si>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</si>
  <si>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</si>
  <si>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</si>
  <si>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</si>
  <si>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</si>
  <si>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</si>
  <si>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</si>
  <si>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</si>
  <si>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</si>
  <si>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</si>
  <si>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</si>
  <si>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</si>
  <si>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</si>
  <si>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</si>
  <si>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</si>
  <si>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</si>
  <si>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</si>
  <si>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</si>
  <si>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</si>
  <si>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</si>
  <si>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</si>
  <si>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</si>
  <si>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</si>
  <si>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</si>
  <si>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</si>
  <si>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</si>
  <si>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</si>
  <si>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</si>
  <si>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</si>
  <si>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</si>
  <si>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</si>
  <si>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It wasa hard game with some moments wherelots ofactions happened in a very short period oftime. Anyway, in thiscases
you should havean stablished and customized procedureto carry onwith the game normallywithoutmissing anything. I'mconvinced that if
you communicate well between you and followwhatever procedure you decideto follow, your performances willimprovealot. Keep it up!</t>
  </si>
  <si>
    <t>: KIMTHAMMIG</t>
  </si>
  <si>
    <t>: MARC ROTHE</t>
  </si>
  <si>
    <t>ALEXANDER JAHN</t>
  </si>
  <si>
    <t>HOLGER LANGENAU</t>
  </si>
  <si>
    <t>CURT KINDLER</t>
  </si>
  <si>
    <t>02:22</t>
  </si>
  <si>
    <t>07:58</t>
  </si>
  <si>
    <t>00:43</t>
  </si>
  <si>
    <t>03:56</t>
  </si>
  <si>
    <t>08:31</t>
  </si>
  <si>
    <t>08:16</t>
  </si>
  <si>
    <t>04:26</t>
  </si>
  <si>
    <t>05:31</t>
  </si>
  <si>
    <t>02:15</t>
  </si>
  <si>
    <t>04:35</t>
  </si>
  <si>
    <t>05:23</t>
  </si>
  <si>
    <t>06:30</t>
  </si>
  <si>
    <t>06:33</t>
  </si>
  <si>
    <t>06:32</t>
  </si>
  <si>
    <t>06:44</t>
  </si>
  <si>
    <t>ELOI VERGE</t>
  </si>
  <si>
    <t>01:48</t>
  </si>
  <si>
    <t>02:03</t>
  </si>
  <si>
    <t>01:50</t>
  </si>
  <si>
    <t>07:28</t>
  </si>
  <si>
    <t>08:37</t>
  </si>
  <si>
    <t>C:\Users\eloi.verge\OneDrive - EUROLEAGUE\Desktop\GAME REPORTS\25-26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</si>
</sst>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K1" sqref="K1"/>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15</v>
      </c>
      <c r="D1" s="124" t="s">
        <v>748</v>
      </c>
      <c r="E1" s="125">
        <v>2025</v>
      </c>
      <c r="F1" s="120" t="str">
        <f>TEXT(C1,"00") &amp; "_" &amp; TEXT(C2,"000")&amp; "_" &amp; H4 &amp; "_" &amp; H5 &amp; "_" &amp; B2</f>
        <v>15_147_NIN_BOU_U2025</v>
      </c>
      <c r="G1" s="5"/>
      <c r="H1" s="5"/>
      <c r="I1" s="5"/>
      <c r="J1" s="8" t="s">
        <v>707</v>
      </c>
      <c r="K1" s="121" t="s">
        <v>852</v>
      </c>
      <c r="L1" s="121"/>
      <c r="M1" s="122" t="s">
        <v>239</v>
      </c>
      <c r="N1" s="121" t="s">
        <v>852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147</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46042.791666666664</v>
      </c>
      <c r="C3" s="157"/>
      <c r="D3" s="39">
        <v>649</v>
      </c>
      <c r="E3" s="29"/>
      <c r="F3" s="26">
        <f>SUBTOTAL(3,I17:I106)</f>
        <v>21</v>
      </c>
      <c r="G3" s="27">
        <f>IF(OR(D3="",D3=0),"",F3/D3)</f>
        <v>3.2357473035439135E-2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NINERS Chemnitz</v>
      </c>
      <c r="E4" s="161"/>
      <c r="F4" s="161"/>
      <c r="G4" s="162"/>
      <c r="H4" s="118" t="str">
        <f>IF(ISERROR(VLOOKUP($B$2&amp;TEXT($C$2,"000"),GAMES!$A$3:$I$562,6,FALSE)),"LOC",VLOOKUP($B$2&amp;TEXT($C$2,"000"),GAMES!$A$3:$I$562,6,FALSE))</f>
        <v>NIN</v>
      </c>
      <c r="I4" s="5"/>
      <c r="J4" s="119" t="s">
        <v>714</v>
      </c>
      <c r="K4" s="54" t="s">
        <v>742</v>
      </c>
      <c r="L4" s="5"/>
      <c r="M4" s="167" t="s">
        <v>825</v>
      </c>
      <c r="N4" s="168"/>
      <c r="O4" s="2"/>
      <c r="P4" s="2"/>
      <c r="Q4" s="84" t="s">
        <v>175</v>
      </c>
      <c r="R4" s="94">
        <f>(IF(G3="",0,G3))</f>
        <v>3.2357473035439135E-2</v>
      </c>
      <c r="S4" s="61">
        <f>SUM(I13:M13)</f>
        <v>1</v>
      </c>
      <c r="T4" s="78"/>
      <c r="U4" s="61">
        <f>AC18</f>
        <v>7</v>
      </c>
      <c r="V4" s="61">
        <f>+AC22</f>
        <v>5</v>
      </c>
      <c r="W4" s="61">
        <f>AC24</f>
        <v>0</v>
      </c>
      <c r="X4" s="61">
        <f>AC29</f>
        <v>3</v>
      </c>
      <c r="Y4" s="61">
        <f>AC25</f>
        <v>2</v>
      </c>
      <c r="Z4" s="84">
        <f>AC23</f>
        <v>3</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Cosea JL Bourg-en-Bresse</v>
      </c>
      <c r="E5" s="174"/>
      <c r="F5" s="174"/>
      <c r="G5" s="175"/>
      <c r="H5" s="118" t="str">
        <f>IF(ISERROR(VLOOKUP($B$2&amp;TEXT($C$2,"000"),GAMES!$A$3:$I$562,7,FALSE)),"VIS",VLOOKUP($B$2&amp;TEXT($C$2,"000"),GAMES!$A$3:$I$562,7,FALSE))</f>
        <v>BOU</v>
      </c>
      <c r="I5" s="5"/>
      <c r="J5" s="5"/>
      <c r="K5" s="5"/>
      <c r="L5" s="5"/>
      <c r="M5" s="169"/>
      <c r="N5" s="170"/>
      <c r="O5" s="2"/>
      <c r="P5" s="2"/>
      <c r="Q5" s="89" t="s">
        <v>174</v>
      </c>
      <c r="R5" s="94">
        <f>R4*R3</f>
        <v>3.2357473035439135</v>
      </c>
      <c r="S5" s="70">
        <f t="shared" ref="S5" si="0">S4*S3</f>
        <v>1</v>
      </c>
      <c r="T5" s="92"/>
      <c r="U5" s="70">
        <f t="shared" ref="U5:AG5" si="1">U4*U3</f>
        <v>3.5</v>
      </c>
      <c r="V5" s="70">
        <f t="shared" si="1"/>
        <v>5</v>
      </c>
      <c r="W5" s="70">
        <f t="shared" si="1"/>
        <v>0</v>
      </c>
      <c r="X5" s="70">
        <f t="shared" si="1"/>
        <v>3</v>
      </c>
      <c r="Y5" s="70">
        <f t="shared" si="1"/>
        <v>4</v>
      </c>
      <c r="Z5" s="89">
        <f t="shared" si="1"/>
        <v>7.5</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826</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827</v>
      </c>
      <c r="E7" s="179"/>
      <c r="F7" s="179"/>
      <c r="G7" s="180"/>
      <c r="H7" s="129" t="s">
        <v>709</v>
      </c>
      <c r="I7" s="129" t="s">
        <v>710</v>
      </c>
      <c r="J7" s="129" t="s">
        <v>711</v>
      </c>
      <c r="K7" s="129" t="s">
        <v>712</v>
      </c>
      <c r="L7" s="129" t="s">
        <v>713</v>
      </c>
      <c r="M7" s="58">
        <f>Q7</f>
        <v>42.235747303543917</v>
      </c>
      <c r="N7" s="58"/>
      <c r="O7" s="2"/>
      <c r="P7" s="2"/>
      <c r="Q7" s="86">
        <f>SUM(R5,S5,AC16)</f>
        <v>42.235747303543917</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828</v>
      </c>
      <c r="E8" s="182"/>
      <c r="F8" s="182"/>
      <c r="G8" s="183"/>
      <c r="H8" s="129" t="s">
        <v>746</v>
      </c>
      <c r="I8" s="129" t="s">
        <v>746</v>
      </c>
      <c r="J8" s="129" t="s">
        <v>747</v>
      </c>
      <c r="K8" s="129" t="s">
        <v>743</v>
      </c>
      <c r="L8" s="129" t="s">
        <v>744</v>
      </c>
      <c r="M8" s="129" t="s">
        <v>108</v>
      </c>
      <c r="N8" s="2"/>
      <c r="O8" s="2"/>
      <c r="P8" s="2"/>
      <c r="Q8" s="85">
        <f>SUM(R5:BA5)</f>
        <v>42.235747303543917</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829</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830</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tr">
        <f>M8</f>
        <v>IRS</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147</v>
      </c>
      <c r="H12" s="40" t="str">
        <f>$I$10</f>
        <v>LOGISTICS</v>
      </c>
      <c r="I12" s="14" t="s">
        <v>17</v>
      </c>
      <c r="J12" s="15" t="s">
        <v>14</v>
      </c>
      <c r="K12" s="15" t="s">
        <v>70</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846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21</v>
      </c>
      <c r="J15" s="24">
        <f>SUBTOTAL(3,J17:J106)</f>
        <v>21</v>
      </c>
      <c r="K15" s="24">
        <f>SUBTOTAL(3,K17:K106)</f>
        <v>21</v>
      </c>
      <c r="L15" s="24">
        <f>SUBTOTAL(3,L17:L106)</f>
        <v>21</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21</v>
      </c>
      <c r="Z16" s="90" t="s">
        <v>110</v>
      </c>
      <c r="AA16" s="75">
        <f>SUM(AA17:AA24)</f>
        <v>21</v>
      </c>
      <c r="AB16" s="76" t="s">
        <v>54</v>
      </c>
      <c r="AC16" s="75">
        <f>SUM(AC17*AD17,AC18*AD18,AC19*AD19,AC20*AD20,AC21*AD21,AC22*AD22,AC23*AD23,AC24*AD24,AC25*AD25,AC26*AD26,AC27*AD27,AC28*AD28,AC29*AD29,AC30*AD30,AC30*AD30,AC31*AD31,AC32*AD32,AC33*AD33,AC34*AD34,AC35*AD35,AC36*AD36)</f>
        <v>38</v>
      </c>
      <c r="AD16" s="75">
        <f>SUM(AD17:AD24)</f>
        <v>45</v>
      </c>
      <c r="AE16" s="76" t="s">
        <v>42</v>
      </c>
      <c r="AF16" s="75">
        <f>SUM(AF17:AF24)</f>
        <v>12</v>
      </c>
      <c r="AG16" s="75">
        <f>SUM(AG17:AG21)</f>
        <v>21</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147</v>
      </c>
      <c r="D17" s="32" t="s">
        <v>831</v>
      </c>
      <c r="E17" s="33">
        <v>4</v>
      </c>
      <c r="F17" s="36">
        <v>78</v>
      </c>
      <c r="G17" s="36">
        <v>71</v>
      </c>
      <c r="H17" s="38" t="str">
        <f>IF(I17="","",$I$14)</f>
        <v>SCOUTING</v>
      </c>
      <c r="I17" s="34">
        <v>585</v>
      </c>
      <c r="J17" s="13" t="s">
        <v>4</v>
      </c>
      <c r="K17" s="13" t="s">
        <v>62</v>
      </c>
      <c r="L17" s="13" t="s">
        <v>7</v>
      </c>
      <c r="M17" s="13" t="s">
        <v>168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20</v>
      </c>
      <c r="Z17" s="105" t="s">
        <v>63</v>
      </c>
      <c r="AA17" s="62">
        <f>COUNTIF($K$17:$K$106,Z17)</f>
        <v>12</v>
      </c>
      <c r="AB17" s="66" t="s">
        <v>19</v>
      </c>
      <c r="AC17" s="61">
        <f t="shared" ref="AC17:AC29" si="5">COUNTIF($L$17:$L$106,AB17)</f>
        <v>0</v>
      </c>
      <c r="AD17" s="61">
        <f t="shared" ref="AD17:AD25" si="6">P17</f>
        <v>10</v>
      </c>
      <c r="AE17" s="66" t="s">
        <v>11</v>
      </c>
      <c r="AF17" s="65">
        <f t="shared" ref="AF17:AF48" si="7">COUNTIF($M$17:$M$106,AE17)</f>
        <v>5</v>
      </c>
      <c r="AG17" s="62">
        <f>COUNTIF($E$17:$E$106,$AK17)</f>
        <v>4</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147</v>
      </c>
      <c r="D18" s="32" t="s">
        <v>832</v>
      </c>
      <c r="E18" s="33">
        <v>4</v>
      </c>
      <c r="F18" s="36">
        <v>67</v>
      </c>
      <c r="G18" s="36">
        <v>61</v>
      </c>
      <c r="H18" s="38" t="str">
        <f t="shared" ref="H18:H81" si="8">IF(I18="","",$I$14)</f>
        <v>SCOUTING</v>
      </c>
      <c r="I18" s="34">
        <v>501</v>
      </c>
      <c r="J18" s="13" t="s">
        <v>4</v>
      </c>
      <c r="K18" s="13" t="s">
        <v>62</v>
      </c>
      <c r="L18" s="13" t="s">
        <v>48</v>
      </c>
      <c r="M18" s="13" t="s">
        <v>27</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9</v>
      </c>
      <c r="AB18" s="66" t="s">
        <v>5</v>
      </c>
      <c r="AC18" s="61">
        <f t="shared" si="5"/>
        <v>7</v>
      </c>
      <c r="AD18" s="61">
        <f t="shared" si="6"/>
        <v>0.5</v>
      </c>
      <c r="AE18" s="66" t="s">
        <v>12</v>
      </c>
      <c r="AF18" s="65">
        <f t="shared" si="7"/>
        <v>3</v>
      </c>
      <c r="AG18" s="62">
        <f>COUNTIF($E$17:$E$106,$AK18)</f>
        <v>9</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147</v>
      </c>
      <c r="D19" s="32" t="s">
        <v>833</v>
      </c>
      <c r="E19" s="33">
        <v>3</v>
      </c>
      <c r="F19" s="36">
        <v>66</v>
      </c>
      <c r="G19" s="36">
        <v>55</v>
      </c>
      <c r="H19" s="38" t="str">
        <f t="shared" si="8"/>
        <v>SCOUTING</v>
      </c>
      <c r="I19" s="34">
        <v>440</v>
      </c>
      <c r="J19" s="13" t="s">
        <v>4</v>
      </c>
      <c r="K19" s="13" t="s">
        <v>62</v>
      </c>
      <c r="L19" s="13" t="s">
        <v>7</v>
      </c>
      <c r="M19" s="13" t="s">
        <v>12</v>
      </c>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1</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147</v>
      </c>
      <c r="D20" s="32" t="s">
        <v>834</v>
      </c>
      <c r="E20" s="33">
        <v>4</v>
      </c>
      <c r="F20" s="36">
        <v>73</v>
      </c>
      <c r="G20" s="36">
        <v>69</v>
      </c>
      <c r="H20" s="38" t="str">
        <f t="shared" si="8"/>
        <v>SCOUTING</v>
      </c>
      <c r="I20" s="34">
        <v>565</v>
      </c>
      <c r="J20" s="13" t="s">
        <v>4</v>
      </c>
      <c r="K20" s="13" t="s">
        <v>63</v>
      </c>
      <c r="L20" s="13" t="s">
        <v>7</v>
      </c>
      <c r="M20" s="13" t="s">
        <v>12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3</v>
      </c>
      <c r="AG20" s="62">
        <f>COUNTIF($E$17:$E$106,$AK20)</f>
        <v>5</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147</v>
      </c>
      <c r="D21" s="32" t="s">
        <v>835</v>
      </c>
      <c r="E21" s="33">
        <v>4</v>
      </c>
      <c r="F21" s="36">
        <v>67</v>
      </c>
      <c r="G21" s="36">
        <v>61</v>
      </c>
      <c r="H21" s="38" t="str">
        <f t="shared" si="8"/>
        <v>SCOUTING</v>
      </c>
      <c r="I21" s="34">
        <v>489</v>
      </c>
      <c r="J21" s="13" t="s">
        <v>4</v>
      </c>
      <c r="K21" s="13" t="s">
        <v>63</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147</v>
      </c>
      <c r="D22" s="32" t="s">
        <v>836</v>
      </c>
      <c r="E22" s="33">
        <v>4</v>
      </c>
      <c r="F22" s="36">
        <v>67</v>
      </c>
      <c r="G22" s="36">
        <v>61</v>
      </c>
      <c r="H22" s="38" t="str">
        <f t="shared" si="8"/>
        <v>SCOUTING</v>
      </c>
      <c r="I22" s="34">
        <v>499</v>
      </c>
      <c r="J22" s="13" t="s">
        <v>4</v>
      </c>
      <c r="K22" s="13" t="s">
        <v>62</v>
      </c>
      <c r="L22" s="13" t="s">
        <v>75</v>
      </c>
      <c r="M22" s="13" t="s">
        <v>22</v>
      </c>
      <c r="N22" s="35"/>
      <c r="O22" s="5" t="s">
        <v>6</v>
      </c>
      <c r="P22" s="5">
        <v>1</v>
      </c>
      <c r="Q22" s="84">
        <f t="shared" si="4"/>
        <v>0</v>
      </c>
      <c r="R22" s="5"/>
      <c r="U22" s="66" t="s">
        <v>32</v>
      </c>
      <c r="V22" s="65">
        <f t="shared" si="9"/>
        <v>0</v>
      </c>
      <c r="X22" s="82"/>
      <c r="Y22" s="83"/>
      <c r="Z22" s="105"/>
      <c r="AA22" s="65"/>
      <c r="AB22" s="66" t="s">
        <v>6</v>
      </c>
      <c r="AC22" s="61">
        <f t="shared" si="5"/>
        <v>5</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147</v>
      </c>
      <c r="D23" s="32" t="s">
        <v>837</v>
      </c>
      <c r="E23" s="33">
        <v>3</v>
      </c>
      <c r="F23" s="36">
        <v>58</v>
      </c>
      <c r="G23" s="36">
        <v>48</v>
      </c>
      <c r="H23" s="38" t="str">
        <f t="shared" si="8"/>
        <v>SCOUTING</v>
      </c>
      <c r="I23" s="34">
        <v>398</v>
      </c>
      <c r="J23" s="13" t="s">
        <v>4</v>
      </c>
      <c r="K23" s="13" t="s">
        <v>63</v>
      </c>
      <c r="L23" s="13" t="s">
        <v>5</v>
      </c>
      <c r="M23" s="13" t="s">
        <v>11</v>
      </c>
      <c r="N23" s="35"/>
      <c r="O23" s="5" t="s">
        <v>7</v>
      </c>
      <c r="P23" s="5">
        <v>2.5</v>
      </c>
      <c r="Q23" s="84">
        <f t="shared" si="4"/>
        <v>0</v>
      </c>
      <c r="R23" s="5"/>
      <c r="U23" s="66" t="s">
        <v>33</v>
      </c>
      <c r="V23" s="65">
        <f t="shared" si="9"/>
        <v>0</v>
      </c>
      <c r="X23" s="82"/>
      <c r="Y23" s="83"/>
      <c r="Z23" s="105"/>
      <c r="AA23" s="65"/>
      <c r="AB23" s="66" t="s">
        <v>7</v>
      </c>
      <c r="AC23" s="61">
        <f t="shared" si="5"/>
        <v>3</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147</v>
      </c>
      <c r="D24" s="32" t="s">
        <v>838</v>
      </c>
      <c r="E24" s="33">
        <v>3</v>
      </c>
      <c r="F24" s="36">
        <v>55</v>
      </c>
      <c r="G24" s="36">
        <v>46</v>
      </c>
      <c r="H24" s="38" t="str">
        <f t="shared" si="8"/>
        <v>SCOUTING</v>
      </c>
      <c r="I24" s="34">
        <v>376</v>
      </c>
      <c r="J24" s="13" t="s">
        <v>4</v>
      </c>
      <c r="K24" s="13" t="s">
        <v>63</v>
      </c>
      <c r="L24" s="13" t="s">
        <v>5</v>
      </c>
      <c r="M24" s="13" t="s">
        <v>168</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U2025</v>
      </c>
      <c r="C25" s="31">
        <f t="shared" si="3"/>
        <v>147</v>
      </c>
      <c r="D25" s="32" t="s">
        <v>839</v>
      </c>
      <c r="E25" s="33">
        <v>2</v>
      </c>
      <c r="F25" s="36">
        <v>33</v>
      </c>
      <c r="G25" s="36">
        <v>34</v>
      </c>
      <c r="H25" s="38" t="str">
        <f t="shared" si="8"/>
        <v>SCOUTING</v>
      </c>
      <c r="I25" s="34">
        <v>279</v>
      </c>
      <c r="J25" s="13" t="s">
        <v>4</v>
      </c>
      <c r="K25" s="13" t="s">
        <v>63</v>
      </c>
      <c r="L25" s="13" t="s">
        <v>5</v>
      </c>
      <c r="M25" s="13" t="s">
        <v>11</v>
      </c>
      <c r="N25" s="35"/>
      <c r="O25" s="5" t="s">
        <v>48</v>
      </c>
      <c r="P25" s="5">
        <v>2</v>
      </c>
      <c r="Q25" s="84">
        <f t="shared" si="4"/>
        <v>0</v>
      </c>
      <c r="R25" s="5"/>
      <c r="U25" s="73"/>
      <c r="X25" s="82"/>
      <c r="Y25" s="83"/>
      <c r="Z25" s="105"/>
      <c r="AA25" s="65"/>
      <c r="AB25" s="66" t="s">
        <v>48</v>
      </c>
      <c r="AC25" s="61">
        <f t="shared" si="5"/>
        <v>2</v>
      </c>
      <c r="AD25" s="61">
        <f t="shared" si="6"/>
        <v>2</v>
      </c>
      <c r="AE25" s="66" t="s">
        <v>22</v>
      </c>
      <c r="AF25" s="65">
        <f t="shared" si="7"/>
        <v>3</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U2025</v>
      </c>
      <c r="C26" s="31">
        <f t="shared" si="3"/>
        <v>147</v>
      </c>
      <c r="D26" s="32" t="s">
        <v>840</v>
      </c>
      <c r="E26" s="33">
        <v>2</v>
      </c>
      <c r="F26" s="36">
        <v>28</v>
      </c>
      <c r="G26" s="36">
        <v>27</v>
      </c>
      <c r="H26" s="38" t="str">
        <f t="shared" si="8"/>
        <v>SCOUTING</v>
      </c>
      <c r="I26" s="34">
        <v>238</v>
      </c>
      <c r="J26" s="13" t="s">
        <v>4</v>
      </c>
      <c r="K26" s="13" t="s">
        <v>62</v>
      </c>
      <c r="L26" s="13" t="s">
        <v>5</v>
      </c>
      <c r="M26" s="13" t="s">
        <v>11</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U2025</v>
      </c>
      <c r="C27" s="31">
        <f t="shared" si="3"/>
        <v>147</v>
      </c>
      <c r="D27" s="32" t="s">
        <v>841</v>
      </c>
      <c r="E27" s="33">
        <v>2</v>
      </c>
      <c r="F27" s="36">
        <v>26</v>
      </c>
      <c r="G27" s="36">
        <v>24</v>
      </c>
      <c r="H27" s="38" t="str">
        <f t="shared" si="8"/>
        <v>SCOUTING</v>
      </c>
      <c r="I27" s="34">
        <v>221</v>
      </c>
      <c r="J27" s="13" t="s">
        <v>4</v>
      </c>
      <c r="K27" s="13" t="s">
        <v>63</v>
      </c>
      <c r="L27" s="13" t="s">
        <v>6</v>
      </c>
      <c r="M27" s="13" t="s">
        <v>168</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U2025</v>
      </c>
      <c r="C28" s="31">
        <f t="shared" si="3"/>
        <v>147</v>
      </c>
      <c r="D28" s="32" t="s">
        <v>842</v>
      </c>
      <c r="E28" s="33">
        <v>2</v>
      </c>
      <c r="F28" s="36">
        <v>24</v>
      </c>
      <c r="G28" s="36">
        <v>22</v>
      </c>
      <c r="H28" s="38" t="str">
        <f t="shared" si="8"/>
        <v>SCOUTING</v>
      </c>
      <c r="I28" s="34">
        <v>209</v>
      </c>
      <c r="J28" s="13" t="s">
        <v>4</v>
      </c>
      <c r="K28" s="13" t="s">
        <v>62</v>
      </c>
      <c r="L28" s="13" t="s">
        <v>6</v>
      </c>
      <c r="M28" s="13" t="s">
        <v>28</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U2025</v>
      </c>
      <c r="C29" s="31">
        <f t="shared" si="3"/>
        <v>147</v>
      </c>
      <c r="D29" s="32" t="s">
        <v>843</v>
      </c>
      <c r="E29" s="33">
        <v>1</v>
      </c>
      <c r="F29" s="36">
        <v>3</v>
      </c>
      <c r="G29" s="36">
        <v>4</v>
      </c>
      <c r="H29" s="38" t="str">
        <f t="shared" si="8"/>
        <v>SCOUTING</v>
      </c>
      <c r="I29" s="34">
        <v>37</v>
      </c>
      <c r="J29" s="13" t="s">
        <v>4</v>
      </c>
      <c r="K29" s="13" t="s">
        <v>62</v>
      </c>
      <c r="L29" s="13" t="s">
        <v>48</v>
      </c>
      <c r="M29" s="13" t="s">
        <v>27</v>
      </c>
      <c r="N29" s="35"/>
      <c r="O29" s="5" t="s">
        <v>75</v>
      </c>
      <c r="P29" s="5">
        <v>1</v>
      </c>
      <c r="Q29" s="84">
        <f t="shared" si="4"/>
        <v>0</v>
      </c>
      <c r="R29" s="5" t="s">
        <v>171</v>
      </c>
      <c r="U29" s="73"/>
      <c r="X29" s="82"/>
      <c r="Y29" s="83"/>
      <c r="Z29" s="105"/>
      <c r="AA29" s="65"/>
      <c r="AB29" s="66" t="s">
        <v>75</v>
      </c>
      <c r="AC29" s="61">
        <f t="shared" si="5"/>
        <v>3</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U2025</v>
      </c>
      <c r="C30" s="31">
        <f t="shared" si="3"/>
        <v>147</v>
      </c>
      <c r="D30" s="32" t="s">
        <v>844</v>
      </c>
      <c r="E30" s="33">
        <v>2</v>
      </c>
      <c r="F30" s="36">
        <v>24</v>
      </c>
      <c r="G30" s="36">
        <v>22</v>
      </c>
      <c r="H30" s="38" t="str">
        <f t="shared" si="8"/>
        <v>SCOUTING</v>
      </c>
      <c r="I30" s="34">
        <v>208</v>
      </c>
      <c r="J30" s="13" t="s">
        <v>4</v>
      </c>
      <c r="K30" s="13" t="s">
        <v>63</v>
      </c>
      <c r="L30" s="13" t="s">
        <v>6</v>
      </c>
      <c r="M30" s="13" t="s">
        <v>12</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U2025</v>
      </c>
      <c r="C31" s="31">
        <f t="shared" si="3"/>
        <v>147</v>
      </c>
      <c r="D31" s="32" t="s">
        <v>845</v>
      </c>
      <c r="E31" s="33">
        <v>2</v>
      </c>
      <c r="F31" s="36">
        <v>24</v>
      </c>
      <c r="G31" s="36">
        <v>22</v>
      </c>
      <c r="H31" s="38" t="str">
        <f t="shared" si="8"/>
        <v>SCOUTING</v>
      </c>
      <c r="I31" s="34">
        <v>203</v>
      </c>
      <c r="J31" s="13" t="s">
        <v>4</v>
      </c>
      <c r="K31" s="13" t="s">
        <v>62</v>
      </c>
      <c r="L31" s="13" t="s">
        <v>6</v>
      </c>
      <c r="M31" s="13" t="s">
        <v>22</v>
      </c>
      <c r="N31" s="35"/>
      <c r="O31" s="5"/>
      <c r="P31" s="5"/>
      <c r="Q31" s="84">
        <f t="shared" si="4"/>
        <v>0</v>
      </c>
      <c r="R31" s="5"/>
      <c r="U31" s="73"/>
      <c r="X31" s="82"/>
      <c r="Y31" s="83"/>
      <c r="Z31" s="105"/>
      <c r="AA31" s="65"/>
      <c r="AB31" s="66"/>
      <c r="AC31" s="74"/>
      <c r="AD31" s="61"/>
      <c r="AE31" s="66" t="s">
        <v>27</v>
      </c>
      <c r="AF31" s="65">
        <f t="shared" si="7"/>
        <v>2</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U2025</v>
      </c>
      <c r="C32" s="31">
        <f t="shared" si="3"/>
        <v>147</v>
      </c>
      <c r="D32" s="32" t="s">
        <v>845</v>
      </c>
      <c r="E32" s="33">
        <v>2</v>
      </c>
      <c r="F32" s="36">
        <v>24</v>
      </c>
      <c r="G32" s="36">
        <v>22</v>
      </c>
      <c r="H32" s="38" t="str">
        <f t="shared" si="8"/>
        <v>SCOUTING</v>
      </c>
      <c r="I32" s="34">
        <v>201</v>
      </c>
      <c r="J32" s="13" t="s">
        <v>4</v>
      </c>
      <c r="K32" s="13" t="s">
        <v>62</v>
      </c>
      <c r="L32" s="13" t="s">
        <v>5</v>
      </c>
      <c r="M32" s="13" t="s">
        <v>28</v>
      </c>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U2025</v>
      </c>
      <c r="C33" s="31">
        <f t="shared" si="3"/>
        <v>147</v>
      </c>
      <c r="D33" s="32" t="s">
        <v>847</v>
      </c>
      <c r="E33" s="33">
        <v>2</v>
      </c>
      <c r="F33" s="36">
        <v>35</v>
      </c>
      <c r="G33" s="36">
        <v>34</v>
      </c>
      <c r="H33" s="38" t="str">
        <f t="shared" si="8"/>
        <v>SCOUTING</v>
      </c>
      <c r="I33" s="34">
        <v>293</v>
      </c>
      <c r="J33" s="13" t="s">
        <v>4</v>
      </c>
      <c r="K33" s="13" t="s">
        <v>63</v>
      </c>
      <c r="L33" s="13" t="s">
        <v>75</v>
      </c>
      <c r="M33" s="13" t="s">
        <v>78</v>
      </c>
      <c r="N33" s="35"/>
      <c r="O33" s="5"/>
      <c r="P33" s="5"/>
      <c r="Q33" s="84">
        <f t="shared" si="4"/>
        <v>0</v>
      </c>
      <c r="R33" s="5"/>
      <c r="U33" s="73"/>
      <c r="X33" s="82"/>
      <c r="Y33" s="83"/>
      <c r="Z33" s="105"/>
      <c r="AA33" s="65"/>
      <c r="AB33" s="66"/>
      <c r="AC33" s="74"/>
      <c r="AE33" s="66" t="s">
        <v>28</v>
      </c>
      <c r="AF33" s="65">
        <f t="shared" si="7"/>
        <v>2</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U2025</v>
      </c>
      <c r="C34" s="31">
        <f t="shared" si="3"/>
        <v>147</v>
      </c>
      <c r="D34" s="32" t="s">
        <v>848</v>
      </c>
      <c r="E34" s="33">
        <v>2</v>
      </c>
      <c r="F34" s="36">
        <v>33</v>
      </c>
      <c r="G34" s="36">
        <v>34</v>
      </c>
      <c r="H34" s="38" t="str">
        <f t="shared" si="8"/>
        <v>SCOUTING</v>
      </c>
      <c r="I34" s="34">
        <v>283</v>
      </c>
      <c r="J34" s="13" t="s">
        <v>3</v>
      </c>
      <c r="K34" s="13" t="s">
        <v>63</v>
      </c>
      <c r="L34" s="13" t="s">
        <v>76</v>
      </c>
      <c r="M34" s="13" t="s">
        <v>8</v>
      </c>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U2025</v>
      </c>
      <c r="C35" s="31">
        <f t="shared" si="3"/>
        <v>147</v>
      </c>
      <c r="D35" s="32" t="s">
        <v>849</v>
      </c>
      <c r="E35" s="33">
        <v>1</v>
      </c>
      <c r="F35" s="36">
        <v>10</v>
      </c>
      <c r="G35" s="36">
        <v>16</v>
      </c>
      <c r="H35" s="38" t="str">
        <f t="shared" si="8"/>
        <v>SCOUTING</v>
      </c>
      <c r="I35" s="34">
        <v>112</v>
      </c>
      <c r="J35" s="13" t="s">
        <v>4</v>
      </c>
      <c r="K35" s="13" t="s">
        <v>63</v>
      </c>
      <c r="L35" s="13" t="s">
        <v>5</v>
      </c>
      <c r="M35" s="13" t="s">
        <v>11</v>
      </c>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U2025</v>
      </c>
      <c r="C36" s="31">
        <f t="shared" si="3"/>
        <v>147</v>
      </c>
      <c r="D36" s="32" t="s">
        <v>850</v>
      </c>
      <c r="E36" s="33">
        <v>1</v>
      </c>
      <c r="F36" s="36">
        <v>3</v>
      </c>
      <c r="G36" s="36">
        <v>2</v>
      </c>
      <c r="H36" s="38" t="str">
        <f t="shared" si="8"/>
        <v>SCOUTING</v>
      </c>
      <c r="I36" s="34">
        <v>27</v>
      </c>
      <c r="J36" s="13" t="s">
        <v>4</v>
      </c>
      <c r="K36" s="13" t="s">
        <v>63</v>
      </c>
      <c r="L36" s="13" t="s">
        <v>75</v>
      </c>
      <c r="M36" s="13" t="s">
        <v>22</v>
      </c>
      <c r="N36" s="35"/>
      <c r="O36" s="5"/>
      <c r="P36" s="5"/>
      <c r="Q36" s="84">
        <f t="shared" si="4"/>
        <v>0</v>
      </c>
      <c r="R36" s="5"/>
      <c r="U36" s="73"/>
      <c r="X36" s="82"/>
      <c r="Y36" s="83"/>
      <c r="Z36" s="105"/>
      <c r="AA36" s="65"/>
      <c r="AB36" s="66"/>
      <c r="AC36" s="74"/>
      <c r="AE36" s="66" t="s">
        <v>78</v>
      </c>
      <c r="AF36" s="65">
        <f t="shared" si="7"/>
        <v>1</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U2025</v>
      </c>
      <c r="C37" s="31">
        <f t="shared" si="3"/>
        <v>147</v>
      </c>
      <c r="D37" s="32" t="s">
        <v>851</v>
      </c>
      <c r="E37" s="33">
        <v>1</v>
      </c>
      <c r="F37" s="36">
        <v>0</v>
      </c>
      <c r="G37" s="36">
        <v>2</v>
      </c>
      <c r="H37" s="38" t="str">
        <f t="shared" si="8"/>
        <v>SCOUTING</v>
      </c>
      <c r="I37" s="34">
        <v>15</v>
      </c>
      <c r="J37" s="13" t="s">
        <v>4</v>
      </c>
      <c r="K37" s="13" t="s">
        <v>63</v>
      </c>
      <c r="L37" s="13" t="s">
        <v>6</v>
      </c>
      <c r="M37" s="13" t="s">
        <v>10</v>
      </c>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803</v>
      </c>
      <c r="E3" s="133" t="s">
        <v>804</v>
      </c>
      <c r="F3" s="133" t="s">
        <v>805</v>
      </c>
      <c r="G3" s="133" t="s">
        <v>806</v>
      </c>
      <c r="H3" s="133" t="s">
        <v>807</v>
      </c>
      <c r="I3" s="134" t="s">
        <v>808</v>
      </c>
      <c r="J3" s="135"/>
      <c r="K3" s="133"/>
      <c r="L3" s="133"/>
      <c r="M3" s="133"/>
      <c r="N3" s="134"/>
      <c r="O3" s="134"/>
    </row>
    <row r="4" spans="2:15" x14ac:dyDescent="0.25">
      <c r="B4" s="153" t="s">
        <v>178</v>
      </c>
      <c r="C4" s="150" t="s">
        <v>223</v>
      </c>
      <c r="D4" s="136" t="s">
        <v>764</v>
      </c>
      <c r="E4" s="137" t="s">
        <v>765</v>
      </c>
      <c r="F4" s="137" t="s">
        <v>766</v>
      </c>
      <c r="G4" s="137" t="s">
        <v>767</v>
      </c>
      <c r="H4" s="137" t="s">
        <v>768</v>
      </c>
      <c r="I4" s="138" t="s">
        <v>769</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787</v>
      </c>
      <c r="E6" s="137" t="s">
        <v>788</v>
      </c>
      <c r="F6" s="137" t="s">
        <v>789</v>
      </c>
      <c r="G6" s="137" t="s">
        <v>780</v>
      </c>
      <c r="H6" s="137" t="s">
        <v>779</v>
      </c>
      <c r="I6" s="138" t="s">
        <v>790</v>
      </c>
      <c r="J6" s="139"/>
      <c r="K6" s="137"/>
      <c r="L6" s="137"/>
      <c r="M6" s="137"/>
      <c r="N6" s="140"/>
      <c r="O6" s="138"/>
    </row>
    <row r="7" spans="2:15" x14ac:dyDescent="0.25">
      <c r="B7" s="153" t="s">
        <v>181</v>
      </c>
      <c r="C7" s="150" t="s">
        <v>226</v>
      </c>
      <c r="D7" s="136" t="s">
        <v>729</v>
      </c>
      <c r="E7" s="137" t="s">
        <v>754</v>
      </c>
      <c r="F7" s="137" t="s">
        <v>755</v>
      </c>
      <c r="G7" s="137" t="s">
        <v>756</v>
      </c>
      <c r="H7" s="137" t="s">
        <v>757</v>
      </c>
      <c r="I7" s="137" t="s">
        <v>824</v>
      </c>
      <c r="J7" s="139"/>
      <c r="K7" s="137"/>
      <c r="L7" s="137"/>
      <c r="M7" s="137"/>
      <c r="N7" s="140"/>
      <c r="O7" s="138"/>
    </row>
    <row r="8" spans="2:15" x14ac:dyDescent="0.25">
      <c r="B8" s="153" t="s">
        <v>182</v>
      </c>
      <c r="C8" s="150" t="s">
        <v>217</v>
      </c>
      <c r="D8" s="136" t="s">
        <v>735</v>
      </c>
      <c r="E8" s="137" t="s">
        <v>770</v>
      </c>
      <c r="F8" s="137" t="s">
        <v>771</v>
      </c>
      <c r="G8" s="137" t="s">
        <v>772</v>
      </c>
      <c r="H8" s="137" t="s">
        <v>773</v>
      </c>
      <c r="I8" s="138" t="s">
        <v>740</v>
      </c>
      <c r="J8" s="139" t="s">
        <v>717</v>
      </c>
      <c r="K8" s="137" t="s">
        <v>718</v>
      </c>
      <c r="L8" s="137" t="s">
        <v>719</v>
      </c>
      <c r="M8" s="137" t="s">
        <v>720</v>
      </c>
      <c r="N8" s="140" t="s">
        <v>721</v>
      </c>
      <c r="O8" s="138" t="s">
        <v>722</v>
      </c>
    </row>
    <row r="9" spans="2:15" x14ac:dyDescent="0.25">
      <c r="B9" s="153" t="s">
        <v>183</v>
      </c>
      <c r="C9" s="150" t="s">
        <v>233</v>
      </c>
      <c r="D9" s="136" t="s">
        <v>818</v>
      </c>
      <c r="E9" s="137" t="s">
        <v>819</v>
      </c>
      <c r="F9" s="137" t="s">
        <v>820</v>
      </c>
      <c r="G9" s="137" t="s">
        <v>821</v>
      </c>
      <c r="H9" s="137" t="s">
        <v>822</v>
      </c>
      <c r="I9" s="138" t="s">
        <v>823</v>
      </c>
      <c r="J9" s="139"/>
      <c r="K9" s="137"/>
      <c r="L9" s="137"/>
      <c r="M9" s="137"/>
      <c r="N9" s="140"/>
      <c r="O9" s="138"/>
    </row>
    <row r="10" spans="2:15" x14ac:dyDescent="0.25">
      <c r="B10" s="153" t="s">
        <v>184</v>
      </c>
      <c r="C10" s="150" t="s">
        <v>218</v>
      </c>
      <c r="D10" s="136" t="s">
        <v>809</v>
      </c>
      <c r="E10" s="137" t="s">
        <v>810</v>
      </c>
      <c r="F10" s="137" t="s">
        <v>811</v>
      </c>
      <c r="G10" s="137" t="s">
        <v>812</v>
      </c>
      <c r="H10" s="137" t="s">
        <v>813</v>
      </c>
      <c r="I10" s="138" t="s">
        <v>814</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758</v>
      </c>
      <c r="E13" s="137" t="s">
        <v>759</v>
      </c>
      <c r="F13" s="137" t="s">
        <v>760</v>
      </c>
      <c r="G13" s="137" t="s">
        <v>761</v>
      </c>
      <c r="H13" s="137" t="s">
        <v>762</v>
      </c>
      <c r="I13" s="138" t="s">
        <v>763</v>
      </c>
      <c r="J13" s="139"/>
      <c r="K13" s="137" t="s">
        <v>774</v>
      </c>
      <c r="L13" s="137"/>
      <c r="M13" s="137"/>
      <c r="N13" s="140"/>
      <c r="O13" s="138"/>
    </row>
    <row r="14" spans="2:15" x14ac:dyDescent="0.25">
      <c r="B14" s="153" t="s">
        <v>188</v>
      </c>
      <c r="C14" s="150" t="s">
        <v>234</v>
      </c>
      <c r="D14" s="136" t="s">
        <v>781</v>
      </c>
      <c r="E14" s="137" t="s">
        <v>782</v>
      </c>
      <c r="F14" s="137" t="s">
        <v>783</v>
      </c>
      <c r="G14" s="137" t="s">
        <v>784</v>
      </c>
      <c r="H14" s="137" t="s">
        <v>785</v>
      </c>
      <c r="I14" s="138" t="s">
        <v>786</v>
      </c>
      <c r="J14" s="139"/>
      <c r="K14" s="137" t="s">
        <v>775</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776</v>
      </c>
      <c r="L15" s="137"/>
      <c r="M15" s="137"/>
      <c r="N15" s="140"/>
      <c r="O15" s="138"/>
    </row>
    <row r="16" spans="2:15" x14ac:dyDescent="0.25">
      <c r="B16" s="153" t="s">
        <v>190</v>
      </c>
      <c r="C16" s="150" t="s">
        <v>232</v>
      </c>
      <c r="D16" s="136" t="s">
        <v>746</v>
      </c>
      <c r="E16" s="137" t="s">
        <v>745</v>
      </c>
      <c r="F16" s="137" t="s">
        <v>747</v>
      </c>
      <c r="G16" s="137" t="s">
        <v>743</v>
      </c>
      <c r="H16" s="137" t="s">
        <v>744</v>
      </c>
      <c r="I16" s="137" t="s">
        <v>780</v>
      </c>
      <c r="J16" s="139"/>
      <c r="K16" s="137" t="s">
        <v>777</v>
      </c>
      <c r="L16" s="137"/>
      <c r="M16" s="137"/>
      <c r="N16" s="140"/>
      <c r="O16" s="138"/>
    </row>
    <row r="17" spans="2:15" x14ac:dyDescent="0.25">
      <c r="B17" s="153" t="s">
        <v>191</v>
      </c>
      <c r="C17" s="150" t="s">
        <v>231</v>
      </c>
      <c r="D17" s="136" t="s">
        <v>749</v>
      </c>
      <c r="E17" s="137" t="s">
        <v>750</v>
      </c>
      <c r="F17" s="137" t="s">
        <v>751</v>
      </c>
      <c r="G17" s="137" t="s">
        <v>752</v>
      </c>
      <c r="H17" s="137" t="s">
        <v>753</v>
      </c>
      <c r="I17" s="138"/>
      <c r="J17" s="139"/>
      <c r="K17" s="137" t="s">
        <v>778</v>
      </c>
      <c r="L17" s="137"/>
      <c r="M17" s="137"/>
      <c r="N17" s="140"/>
      <c r="O17" s="138"/>
    </row>
    <row r="18" spans="2:15" x14ac:dyDescent="0.25">
      <c r="B18" s="153" t="s">
        <v>192</v>
      </c>
      <c r="C18" s="150" t="s">
        <v>220</v>
      </c>
      <c r="D18" s="136" t="s">
        <v>791</v>
      </c>
      <c r="E18" s="137" t="s">
        <v>792</v>
      </c>
      <c r="F18" s="137" t="s">
        <v>793</v>
      </c>
      <c r="G18" s="137" t="s">
        <v>794</v>
      </c>
      <c r="H18" s="137" t="s">
        <v>795</v>
      </c>
      <c r="I18" s="138" t="s">
        <v>796</v>
      </c>
      <c r="J18" s="139"/>
      <c r="K18" s="137"/>
      <c r="L18" s="137"/>
      <c r="M18" s="137"/>
      <c r="N18" s="140"/>
      <c r="O18" s="138"/>
    </row>
    <row r="19" spans="2:15" x14ac:dyDescent="0.25">
      <c r="B19" s="153" t="s">
        <v>193</v>
      </c>
      <c r="C19" s="150" t="s">
        <v>228</v>
      </c>
      <c r="D19" s="136" t="s">
        <v>815</v>
      </c>
      <c r="E19" s="137" t="s">
        <v>792</v>
      </c>
      <c r="F19" s="137" t="s">
        <v>816</v>
      </c>
      <c r="G19" s="137" t="s">
        <v>817</v>
      </c>
      <c r="H19" s="137" t="s">
        <v>795</v>
      </c>
      <c r="I19" s="138" t="s">
        <v>796</v>
      </c>
      <c r="J19" s="139" t="s">
        <v>774</v>
      </c>
      <c r="K19" s="137" t="s">
        <v>775</v>
      </c>
      <c r="L19" s="137" t="s">
        <v>776</v>
      </c>
      <c r="M19" s="137" t="s">
        <v>777</v>
      </c>
      <c r="N19" s="140" t="s">
        <v>778</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t="s">
        <v>797</v>
      </c>
      <c r="E22" s="142" t="s">
        <v>798</v>
      </c>
      <c r="F22" s="142" t="s">
        <v>799</v>
      </c>
      <c r="G22" s="142" t="s">
        <v>800</v>
      </c>
      <c r="H22" s="142" t="s">
        <v>801</v>
      </c>
      <c r="I22" s="143" t="s">
        <v>802</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REPORT_U2025147</v>
      </c>
    </row>
    <row r="2" spans="2:6" x14ac:dyDescent="0.25">
      <c r="F2" s="45" t="s">
        <v>157</v>
      </c>
    </row>
    <row r="3" spans="2:6" x14ac:dyDescent="0.25">
      <c r="B3" s="43" t="s">
        <v>156</v>
      </c>
      <c r="C3" s="43" t="str">
        <f>""""&amp;'SCOUT &amp; LOGISTICS'!B2&amp;TEXT('SCOUT &amp; LOGISTICS'!C2,"000")&amp;""""</f>
        <v>"U2025147"</v>
      </c>
      <c r="F3" s="45" t="str">
        <f t="shared" ref="F3:F16" si="0">""""&amp;B3&amp;"""" &amp; " : " &amp;C3&amp;","</f>
        <v>"name" : "U2025147",</v>
      </c>
    </row>
    <row r="4" spans="2:6" x14ac:dyDescent="0.25">
      <c r="B4" s="43" t="s">
        <v>119</v>
      </c>
      <c r="C4" s="43" t="str">
        <f>""""&amp;LEFT('SCOUT &amp; LOGISTICS'!B2,1) &amp; TEXT('SCOUT &amp; LOGISTICS'!C2,"000")&amp;""""</f>
        <v>"U147"</v>
      </c>
      <c r="F4" s="45" t="str">
        <f t="shared" si="0"/>
        <v>"cod" : "U147",</v>
      </c>
    </row>
    <row r="5" spans="2:6" x14ac:dyDescent="0.25">
      <c r="B5" s="43" t="s">
        <v>117</v>
      </c>
      <c r="C5" s="43" t="str">
        <f>""""&amp;LEFT('SCOUT &amp; LOGISTICS'!B2,1)&amp;""""</f>
        <v>"U"</v>
      </c>
      <c r="F5" s="45" t="str">
        <f t="shared" si="0"/>
        <v>"competition" : "U",</v>
      </c>
    </row>
    <row r="6" spans="2:6" x14ac:dyDescent="0.25">
      <c r="B6" s="43" t="s">
        <v>118</v>
      </c>
      <c r="C6" s="43" t="str">
        <f>TEXT('SCOUT &amp; LOGISTICS'!C2,"000")</f>
        <v>147</v>
      </c>
      <c r="F6" s="45" t="str">
        <f t="shared" si="0"/>
        <v>"number" : 147,</v>
      </c>
    </row>
    <row r="7" spans="2:6" x14ac:dyDescent="0.25">
      <c r="B7" s="43" t="s">
        <v>116</v>
      </c>
      <c r="C7" s="43" t="str">
        <f ca="1">""""&amp;TEXT('SCOUT &amp; LOGISTICS'!B3,"dd/mm/aaaa")&amp;""""</f>
        <v>"20/01/2026"</v>
      </c>
      <c r="F7" s="45" t="str">
        <f t="shared" ca="1" si="0"/>
        <v>"date" : "20/01/2026",</v>
      </c>
    </row>
    <row r="8" spans="2:6" x14ac:dyDescent="0.25">
      <c r="B8" s="43" t="s">
        <v>125</v>
      </c>
      <c r="C8" s="43" t="str">
        <f>""""&amp;'SCOUT &amp; LOGISTICS'!D4 &amp;""""</f>
        <v>"NINERS Chemnitz"</v>
      </c>
      <c r="F8" s="45" t="str">
        <f t="shared" si="0"/>
        <v>"home_team" : "NINERS Chemnitz",</v>
      </c>
    </row>
    <row r="9" spans="2:6" x14ac:dyDescent="0.25">
      <c r="B9" s="43" t="s">
        <v>126</v>
      </c>
      <c r="C9" s="43" t="str">
        <f>""""&amp;'SCOUT &amp; LOGISTICS'!D5&amp;""""</f>
        <v>"Cosea JL Bourg-en-Bresse"</v>
      </c>
      <c r="F9" s="45" t="str">
        <f t="shared" si="0"/>
        <v>"away_team" : "Cosea JL Bourg-en-Bresse",</v>
      </c>
    </row>
    <row r="10" spans="2:6" x14ac:dyDescent="0.25">
      <c r="B10" s="43" t="s">
        <v>127</v>
      </c>
      <c r="C10" s="43" t="str">
        <f>""""&amp;IF('SCOUT &amp; LOGISTICS'!D6="","",'SCOUT &amp; LOGISTICS'!D6)&amp;""""</f>
        <v>": KIMTHAMMIG"</v>
      </c>
      <c r="F10" s="45" t="str">
        <f t="shared" si="0"/>
        <v>"Data_entry" : ": KIMTHAMMIG",</v>
      </c>
    </row>
    <row r="11" spans="2:6" x14ac:dyDescent="0.25">
      <c r="B11" s="43" t="s">
        <v>128</v>
      </c>
      <c r="C11" s="43" t="str">
        <f>""""&amp;IF('SCOUT &amp; LOGISTICS'!D7="","",'SCOUT &amp; LOGISTICS'!D7)&amp;""""</f>
        <v>": MARC ROTHE"</v>
      </c>
      <c r="F11" s="45" t="str">
        <f t="shared" si="0"/>
        <v>"Caller_1" : ": MARC ROTHE",</v>
      </c>
    </row>
    <row r="12" spans="2:6" x14ac:dyDescent="0.25">
      <c r="B12" s="43" t="s">
        <v>129</v>
      </c>
      <c r="C12" s="43" t="str">
        <f>""""&amp;IF('SCOUT &amp; LOGISTICS'!D8="","",'SCOUT &amp; LOGISTICS'!D8)&amp;""""</f>
        <v>"ALEXANDER JAHN"</v>
      </c>
      <c r="F12" s="45" t="str">
        <f t="shared" si="0"/>
        <v>"Caller_2" : "ALEXANDER JAHN",</v>
      </c>
    </row>
    <row r="13" spans="2:6" x14ac:dyDescent="0.25">
      <c r="B13" s="43" t="s">
        <v>98</v>
      </c>
      <c r="C13" s="43" t="str">
        <f>""""&amp;IF('SCOUT &amp; LOGISTICS'!D9="","",'SCOUT &amp; LOGISTICS'!D9)&amp;""""</f>
        <v>"HOLGER LANGENAU"</v>
      </c>
      <c r="F13" s="45" t="str">
        <f t="shared" si="0"/>
        <v>"Timerkeeper" : "HOLGER LANGENAU",</v>
      </c>
    </row>
    <row r="14" spans="2:6" x14ac:dyDescent="0.25">
      <c r="B14" s="43" t="s">
        <v>99</v>
      </c>
      <c r="C14" s="43" t="str">
        <f>""""&amp;IF('SCOUT &amp; LOGISTICS'!D10="","",'SCOUT &amp; LOGISTICS'!D10)&amp;""""</f>
        <v>"CURT KINDLER"</v>
      </c>
      <c r="F14" s="45" t="str">
        <f t="shared" si="0"/>
        <v>"Shotclock" : "CURT KINDLER",</v>
      </c>
    </row>
    <row r="15" spans="2:6" x14ac:dyDescent="0.25">
      <c r="B15" s="43" t="s">
        <v>108</v>
      </c>
      <c r="C15" s="43" t="str">
        <f>""""&amp;IF('SCOUT &amp; LOGISTICS'!D11="","",'SCOUT &amp; LOGISTICS'!D11)&amp;""""</f>
        <v>"IRS"</v>
      </c>
      <c r="F15" s="45" t="str">
        <f t="shared" si="0"/>
        <v>"IRS" : "IRS",</v>
      </c>
    </row>
    <row r="16" spans="2:6" x14ac:dyDescent="0.25">
      <c r="B16" s="43" t="s">
        <v>130</v>
      </c>
      <c r="C16" s="43" t="str">
        <f>""""&amp;IF('SCOUT &amp; LOGISTICS'!D14=0,"",'SCOUT &amp; LOGISTICS'!D14)&amp;""""</f>
        <v>"ELOI VERGE"</v>
      </c>
      <c r="F16" s="45" t="str">
        <f t="shared" si="0"/>
        <v>"Live_Game_Manager" : "ELOI VERGE",</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"OK"</v>
      </c>
      <c r="F21" s="45" t="str">
        <f>""""&amp;C21&amp;"""" &amp; " : " &amp;D21&amp;","</f>
        <v>"corrections" : "OK",</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649</v>
      </c>
      <c r="F25" s="45" t="str">
        <f t="shared" ref="F25:F48" si="1">""""&amp;C25&amp;"""" &amp; " : " &amp;D25&amp;","</f>
        <v>"total_actions" : 649,</v>
      </c>
    </row>
    <row r="26" spans="2:6" x14ac:dyDescent="0.25">
      <c r="C26" s="43" t="s">
        <v>132</v>
      </c>
      <c r="D26" s="43">
        <f>'SCOUT &amp; LOGISTICS'!F3</f>
        <v>21</v>
      </c>
      <c r="F26" s="45" t="str">
        <f t="shared" si="1"/>
        <v>"total_correcions" : 21,</v>
      </c>
    </row>
    <row r="27" spans="2:6" x14ac:dyDescent="0.25">
      <c r="C27" s="43" t="s">
        <v>133</v>
      </c>
      <c r="D27" s="43" t="str">
        <f>""""&amp;IF(OR(D25="",D25=0),"",TEXT(D26/D25,"0,0%"))&amp;""""</f>
        <v>"3,2%"</v>
      </c>
      <c r="F27" s="45" t="str">
        <f t="shared" si="1"/>
        <v>"%_corrections" : "3,2%",</v>
      </c>
    </row>
    <row r="28" spans="2:6" x14ac:dyDescent="0.25">
      <c r="C28" s="43" t="s">
        <v>125</v>
      </c>
      <c r="D28" s="43">
        <f>IF('SCOUT &amp; LOGISTICS'!AA17="","",'SCOUT &amp; LOGISTICS'!AA17)</f>
        <v>12</v>
      </c>
      <c r="F28" s="45" t="str">
        <f t="shared" si="1"/>
        <v>"home_team" : 12,</v>
      </c>
    </row>
    <row r="29" spans="2:6" x14ac:dyDescent="0.25">
      <c r="C29" s="43" t="s">
        <v>134</v>
      </c>
      <c r="D29" s="43">
        <f>IF('SCOUT &amp; LOGISTICS'!AA18="","",'SCOUT &amp; LOGISTICS'!AA18)</f>
        <v>9</v>
      </c>
      <c r="F29" s="45" t="str">
        <f t="shared" si="1"/>
        <v>"no_team" : 9,</v>
      </c>
    </row>
    <row r="30" spans="2:6" x14ac:dyDescent="0.25">
      <c r="C30" s="43" t="s">
        <v>126</v>
      </c>
      <c r="D30" s="43">
        <f>IF('SCOUT &amp; LOGISTICS'!AA19="","",'SCOUT &amp; LOGISTICS'!AA19)</f>
        <v>0</v>
      </c>
      <c r="F30" s="45" t="str">
        <f t="shared" si="1"/>
        <v>"away_team" : 0,</v>
      </c>
    </row>
    <row r="31" spans="2:6" x14ac:dyDescent="0.25">
      <c r="C31" s="43" t="s">
        <v>135</v>
      </c>
      <c r="D31" s="43">
        <f>'SCOUT &amp; LOGISTICS'!AG17</f>
        <v>4</v>
      </c>
      <c r="F31" s="45" t="str">
        <f t="shared" si="1"/>
        <v>"q1" : 4,</v>
      </c>
    </row>
    <row r="32" spans="2:6" x14ac:dyDescent="0.25">
      <c r="C32" s="43" t="s">
        <v>136</v>
      </c>
      <c r="D32" s="43">
        <f>'SCOUT &amp; LOGISTICS'!AG18</f>
        <v>9</v>
      </c>
      <c r="F32" s="45" t="str">
        <f t="shared" si="1"/>
        <v>"q2" : 9,</v>
      </c>
    </row>
    <row r="33" spans="3:6" x14ac:dyDescent="0.25">
      <c r="C33" s="43" t="s">
        <v>137</v>
      </c>
      <c r="D33" s="43">
        <f>'SCOUT &amp; LOGISTICS'!AG19</f>
        <v>3</v>
      </c>
      <c r="F33" s="45" t="str">
        <f t="shared" si="1"/>
        <v>"q3" : 3,</v>
      </c>
    </row>
    <row r="34" spans="3:6" x14ac:dyDescent="0.25">
      <c r="C34" s="43" t="s">
        <v>138</v>
      </c>
      <c r="D34" s="43">
        <f>'SCOUT &amp; LOGISTICS'!AG20</f>
        <v>5</v>
      </c>
      <c r="F34" s="45" t="str">
        <f t="shared" si="1"/>
        <v>"q4" : 5,</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21</v>
      </c>
      <c r="F37" s="45" t="str">
        <f t="shared" si="1"/>
        <v>"scoresheet_corrections" : 21,</v>
      </c>
    </row>
    <row r="38" spans="3:6" x14ac:dyDescent="0.25">
      <c r="C38" s="43" t="s">
        <v>141</v>
      </c>
      <c r="D38" s="43">
        <f>'SCOUT &amp; LOGISTICS'!AC17</f>
        <v>0</v>
      </c>
      <c r="F38" s="45" t="str">
        <f t="shared" si="1"/>
        <v>"criteria" : 0,</v>
      </c>
    </row>
    <row r="39" spans="3:6" x14ac:dyDescent="0.25">
      <c r="C39" s="43" t="s">
        <v>142</v>
      </c>
      <c r="D39" s="43">
        <f>'SCOUT &amp; LOGISTICS'!AC18</f>
        <v>7</v>
      </c>
      <c r="F39" s="45" t="str">
        <f t="shared" si="1"/>
        <v>"missidentity" : 7,</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3</v>
      </c>
      <c r="F46" s="45" t="str">
        <f t="shared" si="1"/>
        <v>"part_of_a_sequence" : 3,</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"It wasa hard game with some moments wherelots ofactions happened in a very short period oftime. Anyway, in thiscases
you should havean stablished and customized procedureto carry onwith the game normallywithoutmissing anything. I'mconvinced that if
you communicate well between you and followwhatever procedure you decideto follow, your performances willimprovealot. Keep it up!"</v>
      </c>
      <c r="F51" s="45" t="str">
        <f>""""&amp;B51&amp;"""" &amp; " : " &amp;C51&amp;","</f>
        <v>"comments" : "It wasa hard game with some moments wherelots ofactions happened in a very short period oftime. Anyway, in thiscases
you should havean stablished and customized procedureto carry onwith the game normallywithoutmissing anything. I'mconvinced that if
you communicate well between you and followwhatever procedure you decideto follow, your performances willimprovealot. Keep it up!",</v>
      </c>
    </row>
    <row r="52" spans="2:6" x14ac:dyDescent="0.25">
      <c r="B52" s="43" t="s">
        <v>153</v>
      </c>
      <c r="C52" s="43" t="str">
        <f>TEXT('SCOUT &amp; LOGISTICS'!F1,"0,0")</f>
        <v>15_147_NIN_BOU_U2025</v>
      </c>
      <c r="F52" s="45" t="str">
        <f>""""&amp;B52&amp;"""" &amp; " : " &amp;C52</f>
        <v>"result" : 15_147_NIN_BOU_U2025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U147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 ca="1">"DATE: " &amp; TEXT('SCOUT &amp; LOGISTICS'!B3,"dd/mm")</f>
        <v>DATE: 20/01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Niners Chemnitz</v>
      </c>
      <c r="C6" s="212"/>
      <c r="D6" s="212"/>
      <c r="E6" s="212"/>
      <c r="F6" s="212"/>
      <c r="G6" s="212"/>
      <c r="H6" s="212"/>
      <c r="I6" s="212"/>
      <c r="J6" s="212"/>
      <c r="K6" s="212"/>
      <c r="L6" s="212"/>
      <c r="M6" s="212"/>
      <c r="N6" s="212"/>
      <c r="O6" s="212"/>
      <c r="P6" s="212"/>
      <c r="Q6" s="212" t="str">
        <f>PROPER('SCOUT &amp; LOGISTICS'!D5)</f>
        <v>Cosea Jl Bourg-En-Bresse</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 KIMTHAMMIG</v>
      </c>
      <c r="C8" s="206"/>
      <c r="D8" s="206"/>
      <c r="E8" s="206"/>
      <c r="F8" s="206"/>
      <c r="G8" s="206" t="str">
        <f>IF('SCOUT &amp; LOGISTICS'!D7="","",'SCOUT &amp; LOGISTICS'!D7)</f>
        <v>: MARC ROTHE</v>
      </c>
      <c r="H8" s="206"/>
      <c r="I8" s="206"/>
      <c r="J8" s="206"/>
      <c r="K8" s="206"/>
      <c r="L8" s="206" t="str">
        <f>IF('SCOUT &amp; LOGISTICS'!D8="","",'SCOUT &amp; LOGISTICS'!D8)</f>
        <v>ALEXANDER JAHN</v>
      </c>
      <c r="M8" s="206"/>
      <c r="N8" s="206"/>
      <c r="O8" s="206"/>
      <c r="P8" s="206"/>
      <c r="Q8" s="206" t="str">
        <f>IF('SCOUT &amp; LOGISTICS'!D9="","",'SCOUT &amp; LOGISTICS'!D9)</f>
        <v>HOLGER LANGENAU</v>
      </c>
      <c r="R8" s="206"/>
      <c r="S8" s="206"/>
      <c r="T8" s="206"/>
      <c r="U8" s="206"/>
      <c r="V8" s="206" t="str">
        <f>IF('SCOUT &amp; LOGISTICS'!D10="","",'SCOUT &amp; LOGISTICS'!D10)</f>
        <v>CURT KINDLER</v>
      </c>
      <c r="W8" s="206"/>
      <c r="X8" s="206"/>
      <c r="Y8" s="206"/>
      <c r="Z8" s="206"/>
      <c r="AA8" s="206" t="str">
        <f>IF('SCOUT &amp; LOGISTICS'!D11="","",'SCOUT &amp; LOGISTICS'!D11)</f>
        <v>IRS</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VERGE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OK</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649</v>
      </c>
      <c r="C17" s="204"/>
      <c r="D17" s="204"/>
      <c r="E17" s="204"/>
      <c r="F17" s="204"/>
      <c r="G17" s="204"/>
      <c r="H17" s="204"/>
      <c r="I17" s="204"/>
      <c r="J17" s="204"/>
      <c r="K17" s="204"/>
      <c r="L17" s="204">
        <f>'SCOUT &amp; LOGISTICS'!F3</f>
        <v>21</v>
      </c>
      <c r="M17" s="204"/>
      <c r="N17" s="204"/>
      <c r="O17" s="204"/>
      <c r="P17" s="204"/>
      <c r="Q17" s="204"/>
      <c r="R17" s="204"/>
      <c r="S17" s="204"/>
      <c r="T17" s="204"/>
      <c r="U17" s="204"/>
      <c r="V17" s="205">
        <f>IF(OR(B17="",B17=0),"",L17/B17)</f>
        <v>3.2357473035439135E-2</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12</v>
      </c>
      <c r="C20" s="197"/>
      <c r="D20" s="197"/>
      <c r="E20" s="197"/>
      <c r="F20" s="197"/>
      <c r="G20" s="197"/>
      <c r="H20" s="197"/>
      <c r="I20" s="197"/>
      <c r="J20" s="197"/>
      <c r="K20" s="197"/>
      <c r="L20" s="197">
        <f>IF('SCOUT &amp; LOGISTICS'!AA18="","",'SCOUT &amp; LOGISTICS'!AA18)</f>
        <v>9</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4</v>
      </c>
      <c r="C22" s="197"/>
      <c r="D22" s="197"/>
      <c r="E22" s="197"/>
      <c r="F22" s="197"/>
      <c r="G22" s="197"/>
      <c r="H22" s="197">
        <f>'SCOUT &amp; LOGISTICS'!AG18</f>
        <v>9</v>
      </c>
      <c r="I22" s="197"/>
      <c r="J22" s="197"/>
      <c r="K22" s="197"/>
      <c r="L22" s="197"/>
      <c r="M22" s="197"/>
      <c r="N22" s="197">
        <f>'SCOUT &amp; LOGISTICS'!AG19</f>
        <v>3</v>
      </c>
      <c r="O22" s="197"/>
      <c r="P22" s="197"/>
      <c r="Q22" s="197"/>
      <c r="R22" s="197"/>
      <c r="S22" s="197"/>
      <c r="T22" s="197">
        <f>'SCOUT &amp; LOGISTICS'!AG20</f>
        <v>5</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20</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7</v>
      </c>
      <c r="C27" s="197"/>
      <c r="D27" s="197"/>
      <c r="E27" s="197"/>
      <c r="F27" s="197"/>
      <c r="G27" s="197">
        <f>'SCOUT &amp; LOGISTICS'!AC22</f>
        <v>5</v>
      </c>
      <c r="H27" s="197"/>
      <c r="I27" s="197"/>
      <c r="J27" s="197"/>
      <c r="K27" s="197"/>
      <c r="L27" s="197">
        <f>'SCOUT &amp; LOGISTICS'!AC23</f>
        <v>3</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2</v>
      </c>
      <c r="C29" s="197"/>
      <c r="D29" s="197"/>
      <c r="E29" s="197"/>
      <c r="F29" s="197"/>
      <c r="G29" s="197">
        <f>'SCOUT &amp; LOGISTICS'!AC24</f>
        <v>0</v>
      </c>
      <c r="H29" s="197"/>
      <c r="I29" s="197"/>
      <c r="J29" s="197"/>
      <c r="K29" s="197"/>
      <c r="L29" s="197">
        <f>'SCOUT &amp; LOGISTICS'!$AC$29</f>
        <v>3</v>
      </c>
      <c r="M29" s="197"/>
      <c r="N29" s="197"/>
      <c r="O29" s="197"/>
      <c r="P29" s="197"/>
      <c r="Q29" s="197">
        <f>'SCOUT &amp; LOGISTICS'!AC28</f>
        <v>0</v>
      </c>
      <c r="R29" s="197"/>
      <c r="S29" s="197"/>
      <c r="T29" s="197"/>
      <c r="U29" s="197"/>
      <c r="V29" s="197">
        <f>'SCOUT &amp; LOGISTICS'!AC19</f>
        <v>1</v>
      </c>
      <c r="W29" s="197"/>
      <c r="X29" s="197"/>
      <c r="Y29" s="197"/>
      <c r="Z29" s="197"/>
      <c r="AA29" s="197">
        <f>'SCOUT &amp; LOGISTICS'!AC26</f>
        <v>0</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It wasa hard game with some moments wherelots ofactions happened in a very short period oftime. Anyway, in thiscases
you should havean stablished and customized procedureto carry onwith the game normallywithoutmissing anything. I'mconvinced that if
you communicate well between you and followwhatever procedure you decideto follow, your performances willimprovealot. Keep it up!</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42.235747303543917</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1404E462-2E30-4B18-8209-85364CB70CD5}"/>
</file>

<file path=customXml/itemProps3.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2026-01-07T21:12:45Z</cp:lastPrinted>
  <dcterms:created xsi:type="dcterms:W3CDTF">2023-09-19T19:50:35Z</dcterms:created>
  <dcterms:modified xsi:type="dcterms:W3CDTF">2026-01-20T22:01:07Z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