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3" documentId="8_{709744AE-3346-4BAA-80A6-7C4C5092BF2C}" xr6:coauthVersionLast="47" xr6:coauthVersionMax="47" xr10:uidLastSave="{47A46DCC-E056-4462-9B1A-6F5C982589E0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<sst xmlns="http://schemas.openxmlformats.org/spreadsheetml/2006/main" count="3337" uniqueCount="832">
  <si>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</si>
  <si>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</si>
  <si>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</si>
  <si>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</si>
  <si>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</si>
  <si>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</si>
  <si>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</si>
  <si>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</si>
  <si>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</si>
  <si>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</si>
  <si>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</si>
  <si>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</si>
  <si>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</si>
  <si>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</si>
  <si>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</si>
  <si>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</si>
  <si>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</si>
  <si>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</si>
  <si>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</si>
  <si>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</si>
  <si>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</si>
  <si>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</si>
  <si>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</si>
  <si>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</si>
  <si>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</si>
  <si>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</si>
  <si>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</si>
  <si>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</si>
  <si>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</si>
  <si>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</si>
  <si>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</si>
  <si>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</si>
  <si>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</si>
  <si>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</si>
  <si>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</si>
  <si>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</si>
  <si>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</si>
  <si>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</si>
  <si>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</si>
  <si>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</si>
  <si>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</si>
  <si>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</si>
  <si>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</si>
  <si>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</si>
  <si>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</si>
  <si>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</si>
  <si>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</si>
  <si>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</si>
  <si>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</si>
  <si>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</si>
  <si>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</si>
  <si>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</si>
  <si>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</si>
  <si>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</si>
  <si>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</si>
  <si>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</si>
  <si>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</si>
  <si>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</si>
  <si>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</si>
  <si>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</si>
  <si>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</si>
  <si>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</si>
  <si>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</si>
  <si>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</si>
  <si>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</si>
  <si>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</si>
  <si>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</si>
  <si>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</si>
  <si>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</si>
  <si>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</si>
  <si>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</si>
  <si>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</si>
  <si>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</si>
  <si>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</si>
  <si>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</si>
  <si>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</si>
  <si>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</si>
  <si>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</si>
  <si>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</si>
  <si>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</si>
  <si>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</si>
  <si>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</si>
  <si>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</si>
  <si>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</si>
  <si>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</si>
  <si>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</si>
  <si>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</si>
  <si>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</si>
  <si>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</si>
  <si>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</si>
  <si>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</si>
  <si>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</si>
  <si>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</si>
  <si>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</si>
  <si>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</si>
  <si>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</si>
  <si>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</si>
  <si>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</si>
  <si>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</si>
  <si>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</si>
  <si>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</si>
  <si>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</si>
  <si>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</si>
  <si>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</si>
  <si>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</si>
  <si>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</si>
  <si>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</si>
  <si>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</si>
  <si>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</si>
  <si>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</si>
  <si>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</si>
  <si>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</si>
  <si>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</si>
  <si>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</si>
  <si>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</si>
  <si>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</si>
  <si>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</si>
  <si>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</si>
  <si>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</si>
  <si>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</si>
  <si>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</si>
  <si>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</si>
  <si>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</si>
  <si>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</si>
  <si>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</si>
  <si>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</si>
  <si>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</si>
  <si>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</si>
  <si>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</si>
  <si>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</si>
  <si>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</si>
  <si>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</si>
  <si>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</si>
  <si>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</si>
  <si>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</si>
  <si>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</si>
  <si>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</si>
  <si>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</si>
  <si>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</si>
  <si>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</si>
  <si>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</si>
  <si>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</si>
  <si>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</si>
  <si>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</si>
  <si>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</si>
  <si>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</si>
  <si>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</si>
  <si>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</si>
  <si>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</si>
  <si>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</si>
  <si>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</si>
  <si>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</si>
  <si>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</si>
  <si>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</si>
  <si>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</si>
  <si>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</si>
  <si>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</si>
  <si>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</si>
  <si>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</si>
  <si>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</si>
  <si>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</si>
  <si>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</si>
  <si>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</si>
  <si>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</si>
  <si>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</si>
  <si>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</si>
  <si>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</si>
  <si>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</si>
  <si>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</si>
  <si>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</si>
  <si>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</si>
  <si>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</si>
  <si>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</si>
  <si>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</si>
  <si>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</si>
  <si>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</si>
  <si>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</si>
  <si>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</si>
  <si>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</si>
  <si>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</si>
  <si>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</si>
  <si>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</si>
  <si>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</si>
  <si>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</si>
  <si>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</si>
  <si>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</si>
  <si>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</si>
  <si>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</si>
  <si>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</si>
  <si>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</si>
  <si>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</si>
  <si>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</si>
  <si>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</si>
  <si>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</si>
  <si>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</si>
  <si>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</si>
  <si>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</si>
  <si>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</si>
  <si>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</si>
  <si>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</si>
  <si>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</si>
  <si>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</si>
  <si>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</si>
  <si>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</si>
  <si>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</si>
  <si>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</si>
  <si>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</si>
  <si>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</si>
  <si>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</si>
  <si>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</si>
  <si>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</si>
  <si>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</si>
  <si>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</si>
  <si>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</si>
  <si>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</si>
  <si>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</si>
  <si>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</si>
  <si>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</si>
  <si>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</si>
  <si>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</si>
  <si>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</si>
  <si>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</si>
  <si>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</si>
  <si>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</si>
  <si>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</si>
  <si>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</si>
  <si>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</si>
  <si>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</si>
  <si>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</si>
  <si>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</si>
  <si>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</si>
  <si>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</si>
  <si>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</si>
  <si>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</si>
  <si>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</si>
  <si>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</si>
  <si>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</si>
  <si>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</si>
  <si>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</si>
  <si>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</si>
  <si>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</si>
  <si>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</si>
  <si>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</si>
  <si>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</si>
  <si>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</si>
  <si>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</si>
  <si>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</si>
  <si>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</si>
  <si>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</si>
  <si>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</si>
  <si>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</si>
  <si>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</si>
  <si>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</si>
  <si>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</si>
  <si>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</si>
  <si>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</si>
  <si>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</si>
  <si>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</si>
  <si>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</si>
  <si>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</si>
  <si>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</si>
  <si>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</si>
  <si>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</si>
  <si>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</si>
  <si>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</si>
  <si>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</si>
  <si>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</si>
  <si>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</si>
  <si>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</si>
  <si>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</si>
  <si>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</si>
  <si>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</si>
  <si>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</si>
  <si>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</si>
  <si>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</si>
  <si>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</si>
  <si>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</si>
  <si>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</si>
  <si>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</si>
  <si>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</si>
  <si>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</si>
  <si>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</si>
  <si>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</si>
  <si>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</si>
  <si>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</si>
  <si>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</si>
  <si>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</si>
  <si>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</si>
  <si>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</si>
  <si>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</si>
  <si>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</si>
  <si>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</si>
  <si>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</si>
  <si>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</si>
  <si>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</si>
  <si>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</si>
  <si>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</si>
  <si>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</si>
  <si>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</si>
  <si>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</si>
  <si>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</si>
  <si>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</si>
  <si>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</si>
  <si>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</si>
  <si>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</si>
  <si>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</si>
  <si>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</si>
  <si>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</si>
  <si>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</si>
  <si>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</si>
  <si>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</si>
  <si>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</si>
  <si>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</si>
  <si>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</si>
  <si>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</si>
  <si>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</si>
  <si>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</si>
  <si>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</si>
  <si>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</si>
  <si>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</si>
  <si>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</si>
  <si>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</si>
  <si>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</si>
  <si>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</si>
  <si>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</si>
  <si>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</si>
  <si>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</si>
  <si>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</si>
  <si>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</si>
  <si>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</si>
  <si>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</si>
  <si>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</si>
  <si>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</si>
  <si>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</si>
  <si>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</si>
  <si>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</si>
  <si>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</si>
  <si>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</si>
  <si>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</si>
  <si>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</si>
  <si>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</si>
  <si>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</si>
  <si>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</si>
  <si>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</si>
  <si>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</si>
  <si>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</si>
  <si>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</si>
  <si>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</si>
  <si>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</si>
  <si>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</si>
  <si>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</si>
  <si>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</si>
  <si>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</si>
  <si>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</si>
  <si>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</si>
  <si>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</si>
  <si>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</si>
  <si>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</si>
  <si>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</si>
  <si>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</si>
  <si>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</si>
  <si>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</si>
  <si>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</si>
  <si>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</si>
  <si>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</si>
  <si>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</si>
  <si>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</si>
  <si>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</si>
  <si>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</si>
  <si>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</si>
  <si>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</si>
  <si>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</si>
  <si>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</si>
  <si>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</si>
  <si>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</si>
  <si>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</si>
  <si>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</si>
  <si>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</si>
  <si>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</si>
  <si>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</si>
  <si>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</si>
  <si>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</si>
  <si>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</si>
  <si>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</si>
  <si>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</si>
  <si>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</si>
  <si>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</si>
  <si>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</si>
  <si>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</si>
  <si>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</si>
  <si>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</si>
  <si>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</si>
  <si>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</si>
  <si>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</si>
  <si>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</si>
  <si>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</si>
  <si>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</si>
  <si>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</si>
  <si>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</si>
  <si>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</si>
  <si>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</si>
  <si>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</si>
  <si>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</si>
  <si>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</si>
  <si>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</si>
  <si>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</si>
  <si>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</si>
  <si>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</si>
  <si>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</si>
  <si>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</si>
  <si>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</si>
  <si>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</si>
  <si>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</si>
  <si>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</si>
  <si>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</si>
  <si>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</si>
  <si>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</si>
  <si>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</si>
  <si>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</si>
  <si>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</si>
  <si>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</si>
  <si>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</si>
  <si>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</si>
  <si>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</si>
  <si>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</si>
  <si>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</si>
  <si>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</si>
  <si>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</si>
  <si>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</si>
  <si>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</si>
  <si>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</si>
  <si>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</si>
  <si>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</si>
  <si>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</si>
  <si>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</si>
  <si>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</si>
  <si>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</si>
  <si>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</si>
  <si>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</si>
  <si>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</si>
  <si>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</si>
  <si>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</si>
  <si>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</si>
  <si>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</si>
  <si>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</si>
  <si>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</si>
  <si>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</si>
  <si>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</si>
  <si>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</si>
  <si>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</si>
  <si>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</si>
  <si>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</si>
  <si>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</si>
  <si>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</si>
  <si>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</si>
  <si>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</si>
  <si>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</si>
  <si>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</si>
  <si>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</si>
  <si>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</si>
  <si>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</si>
  <si>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</si>
  <si>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</si>
  <si>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</si>
  <si>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</si>
  <si>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</si>
  <si>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</si>
  <si>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</si>
  <si>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</si>
  <si>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</si>
  <si>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</si>
  <si>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</si>
  <si>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</si>
  <si>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</si>
  <si>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</si>
  <si>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</si>
  <si>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</si>
  <si>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</si>
  <si>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</si>
  <si>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</si>
  <si>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</si>
  <si>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</si>
  <si>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</si>
  <si>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</si>
  <si>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</si>
  <si>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</si>
  <si>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</si>
  <si>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</si>
  <si>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</si>
  <si>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</si>
  <si>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</si>
  <si>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</si>
  <si>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</si>
  <si>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</si>
  <si>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</si>
  <si>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</si>
  <si>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</si>
  <si>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</si>
  <si>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</si>
  <si>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</si>
  <si>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</si>
  <si>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</si>
  <si>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</si>
  <si>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</si>
  <si>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</si>
  <si>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</si>
  <si>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</si>
  <si>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</si>
  <si>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</si>
  <si>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</si>
  <si>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</si>
  <si>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</si>
  <si>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</si>
  <si>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</si>
  <si>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</si>
  <si>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</si>
  <si>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</si>
  <si>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</si>
  <si>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</si>
  <si>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</si>
  <si>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</si>
  <si>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</si>
  <si>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</si>
  <si>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</si>
  <si>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</si>
  <si>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</si>
  <si>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</si>
  <si>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</si>
  <si>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</si>
  <si>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</si>
  <si>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</si>
  <si>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</si>
  <si>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</si>
  <si>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</si>
  <si>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</si>
  <si>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</si>
  <si>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</si>
  <si>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</si>
  <si>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</si>
  <si>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</si>
  <si>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</si>
  <si>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</si>
  <si>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</si>
  <si>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</si>
  <si>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</si>
  <si>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</si>
  <si>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</si>
  <si>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</si>
  <si>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</si>
  <si>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</si>
  <si>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</si>
  <si>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</si>
  <si>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</si>
  <si>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</si>
  <si>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</si>
  <si>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</si>
  <si>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</si>
  <si>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</si>
  <si>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</si>
  <si>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</si>
  <si>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</si>
  <si>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</si>
  <si>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</si>
  <si>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</si>
  <si>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</si>
  <si>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</si>
  <si>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</si>
  <si>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</si>
  <si>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</si>
  <si>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</si>
  <si>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</si>
  <si>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</si>
  <si>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</si>
  <si>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</si>
  <si>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</si>
  <si>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</si>
  <si>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</si>
  <si>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</si>
  <si>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</si>
  <si>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</si>
  <si>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</si>
  <si>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</si>
  <si>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</si>
  <si>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</si>
  <si>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</si>
  <si>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</si>
  <si>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</si>
  <si>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</si>
  <si>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</si>
  <si>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</si>
  <si>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</si>
  <si>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</si>
  <si>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</si>
  <si>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</si>
  <si>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</si>
  <si>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</si>
  <si>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</si>
  <si>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</si>
  <si>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</si>
  <si>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</si>
  <si>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</si>
  <si>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</si>
  <si>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</si>
  <si>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</si>
  <si>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</si>
  <si>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</si>
  <si>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</si>
  <si>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</si>
  <si>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</si>
  <si>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</si>
  <si>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</si>
  <si>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</si>
  <si>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</si>
  <si>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</si>
  <si>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</si>
  <si>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</si>
  <si>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</si>
  <si>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</si>
  <si>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</si>
  <si>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</si>
  <si>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</si>
  <si>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</si>
  <si>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</si>
  <si>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</si>
  <si>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</si>
  <si>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</si>
  <si>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</si>
  <si>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</si>
  <si>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</si>
  <si>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</si>
  <si>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</si>
  <si>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</si>
  <si>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</si>
  <si>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</si>
  <si>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</si>
  <si>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</si>
  <si>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</si>
  <si>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</si>
  <si>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</si>
  <si>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</si>
  <si>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</si>
  <si>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</si>
  <si>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</si>
  <si>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</si>
  <si>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</si>
  <si>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</si>
  <si>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</si>
  <si>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</si>
  <si>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</si>
  <si>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</si>
  <si>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</si>
  <si>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</si>
  <si>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</si>
  <si>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</si>
  <si>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</si>
  <si>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</si>
  <si>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</si>
  <si>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</si>
  <si>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</si>
  <si>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</si>
  <si>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</si>
  <si>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</si>
  <si>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</si>
  <si>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</si>
  <si>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</si>
  <si>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</si>
  <si>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</si>
  <si>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</si>
  <si>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</si>
  <si>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</si>
  <si>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</si>
  <si>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</si>
  <si>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</si>
  <si>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</si>
  <si>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</si>
  <si>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</si>
  <si>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</si>
  <si>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</si>
  <si>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</si>
  <si>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</si>
  <si>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</si>
  <si>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</si>
  <si>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</si>
  <si>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</si>
  <si>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</si>
  <si>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</si>
  <si>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</si>
  <si>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</si>
  <si>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</si>
  <si>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</si>
  <si>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</si>
  <si>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</si>
  <si>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</si>
  <si>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</si>
  <si>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</si>
  <si>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</si>
  <si>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</si>
  <si>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</si>
  <si>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</si>
  <si>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</si>
  <si>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</si>
  <si>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</si>
  <si>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</si>
  <si>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</si>
  <si>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</si>
  <si>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</si>
  <si>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</si>
  <si>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</si>
  <si>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</si>
  <si>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</si>
  <si>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</si>
  <si>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</si>
  <si>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</si>
  <si>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</si>
  <si>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</si>
  <si>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</si>
  <si>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</si>
  <si>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</si>
  <si>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</si>
  <si>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</si>
  <si>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</si>
  <si>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</si>
  <si>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</si>
  <si>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</si>
  <si>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</si>
  <si>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</si>
  <si>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</si>
  <si>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</si>
  <si>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</si>
  <si>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</si>
  <si>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</si>
  <si>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</si>
  <si>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</si>
  <si>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</si>
  <si>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</si>
  <si>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</si>
  <si>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</si>
  <si>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</si>
  <si>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</si>
  <si>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</si>
  <si>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</si>
  <si>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</si>
  <si>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</si>
  <si>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</si>
  <si>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</si>
  <si>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</si>
  <si>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</si>
  <si>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</si>
  <si>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</si>
  <si>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</si>
  <si>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</si>
  <si>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</si>
  <si>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</si>
  <si>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</si>
  <si>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</si>
  <si>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</si>
  <si>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</si>
  <si>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</si>
  <si>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</si>
  <si>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</si>
  <si>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</si>
  <si>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</si>
  <si>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</si>
  <si>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</si>
  <si>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</si>
  <si>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</si>
  <si>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</si>
  <si>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</si>
  <si>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</si>
  <si>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</si>
  <si>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</si>
  <si>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</si>
  <si>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</si>
  <si>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</si>
  <si>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</si>
  <si>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</si>
  <si>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</si>
  <si>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</si>
  <si>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</si>
  <si>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</si>
  <si>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</si>
  <si>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</si>
  <si>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</si>
  <si>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</si>
  <si>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</si>
  <si>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</si>
  <si>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</si>
  <si>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</si>
  <si>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</si>
  <si>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</si>
  <si>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</si>
  <si>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</si>
  <si>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</si>
  <si>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</si>
  <si>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</si>
  <si>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</si>
  <si>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</si>
  <si>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</si>
  <si>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</si>
  <si>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</si>
  <si>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</si>
  <si>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</si>
  <si>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</si>
  <si>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</si>
  <si>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</si>
  <si>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</si>
  <si>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</si>
  <si>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</si>
  <si>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</si>
  <si>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</si>
  <si>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</si>
  <si>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</si>
  <si>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</si>
  <si>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</si>
  <si>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</si>
  <si>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</si>
  <si>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</si>
  <si>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</si>
  <si>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</si>
  <si>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</si>
  <si>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</si>
  <si>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</si>
  <si>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</si>
  <si>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</si>
  <si>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</si>
  <si>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KIVILCIM KORKMAZ</t>
  </si>
  <si>
    <t>ZAFER RIFAI</t>
  </si>
  <si>
    <t>AYBERK PARALI</t>
  </si>
  <si>
    <t>ELOI VERGE</t>
  </si>
  <si>
    <t>C:\Users\eloi.verge\OneDrive - EUROLEAGUE\Desktop\GAME REPORTS\25-26</t>
  </si>
  <si>
    <t>02:32</t>
  </si>
  <si>
    <t>Excellent job!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</si>
</sst>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31" sqref="L3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15_148_BES_BUD_U2025</v>
      </c>
      <c r="G1" s="5"/>
      <c r="H1" s="5"/>
      <c r="I1" s="5"/>
      <c r="J1" s="8" t="s">
        <v>707</v>
      </c>
      <c r="K1" s="121" t="s">
        <v>829</v>
      </c>
      <c r="L1" s="121"/>
      <c r="M1" s="122" t="s">
        <v>239</v>
      </c>
      <c r="N1" s="121" t="s">
        <v>829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148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46043.833333333336</v>
      </c>
      <c r="C3" s="178"/>
      <c r="D3" s="39">
        <v>636</v>
      </c>
      <c r="E3" s="29"/>
      <c r="F3" s="26">
        <f>SUBTOTAL(3,I17:I106)</f>
        <v>1</v>
      </c>
      <c r="G3" s="27">
        <f>IF(OR(D3="",D3=0),"",F3/D3)</f>
        <v>1.5723270440251573E-3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Besiktas GAIN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BES</v>
      </c>
      <c r="I4" s="5"/>
      <c r="J4" s="119" t="s">
        <v>714</v>
      </c>
      <c r="K4" s="54" t="s">
        <v>742</v>
      </c>
      <c r="L4" s="5"/>
      <c r="M4" s="185" t="s">
        <v>831</v>
      </c>
      <c r="N4" s="186"/>
      <c r="O4" s="2"/>
      <c r="P4" s="2"/>
      <c r="Q4" s="84" t="s">
        <v>175</v>
      </c>
      <c r="R4" s="94">
        <f>(IF(G3="",0,G3))</f>
        <v>1.5723270440251573E-3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Buducnost VOLI Podgorica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BUD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0.15723270440251574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825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2.6572327044025159</v>
      </c>
      <c r="N7" s="58"/>
      <c r="O7" s="2"/>
      <c r="P7" s="2"/>
      <c r="Q7" s="86">
        <f>SUM(R5,S5,AC16)</f>
        <v>2.6572327044025159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740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2.6572327044025159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826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827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148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828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148</v>
      </c>
      <c r="D17" s="32" t="s">
        <v>830</v>
      </c>
      <c r="E17" s="33">
        <v>1</v>
      </c>
      <c r="F17" s="36">
        <v>18</v>
      </c>
      <c r="G17" s="36">
        <v>6</v>
      </c>
      <c r="H17" s="38" t="str">
        <f>IF(I17="","",$I$14)</f>
        <v>SCOUTING</v>
      </c>
      <c r="I17" s="34">
        <v>99</v>
      </c>
      <c r="J17" s="13" t="s">
        <v>4</v>
      </c>
      <c r="K17" s="13" t="s">
        <v>63</v>
      </c>
      <c r="L17" s="13" t="s">
        <v>7</v>
      </c>
      <c r="M17" s="13" t="s">
        <v>30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REPORT_U2025148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"U2025148"</v>
      </c>
      <c r="F3" s="45" t="str">
        <f t="shared" ref="F3:F16" si="0">""""&amp;B3&amp;"""" &amp; " : " &amp;C3&amp;","</f>
        <v>"name" : "U2025148",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"U148"</v>
      </c>
      <c r="F4" s="45" t="str">
        <f t="shared" si="0"/>
        <v>"cod" : "U148",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148</v>
      </c>
      <c r="F6" s="45" t="str">
        <f t="shared" si="0"/>
        <v>"number" : 148,</v>
      </c>
    </row>
    <row r="7" spans="2:6" x14ac:dyDescent="0.25">
      <c r="B7" s="43" t="s">
        <v>116</v>
      </c>
      <c r="C7" s="43" t="str">
        <f ca="1">""""&amp;TEXT('SCOUT &amp; LOGISTICS'!B3,"dd/mm/aaaa")&amp;""""</f>
        <v>"21/01/2026"</v>
      </c>
      <c r="F7" s="45" t="str">
        <f t="shared" ca="1" si="0"/>
        <v>"date" : "21/01/2026",</v>
      </c>
    </row>
    <row r="8" spans="2:6" x14ac:dyDescent="0.25">
      <c r="B8" s="43" t="s">
        <v>125</v>
      </c>
      <c r="C8" s="43" t="str">
        <f>""""&amp;'SCOUT &amp; LOGISTICS'!D4 &amp;""""</f>
        <v>"Besiktas GAIN Istanbul"</v>
      </c>
      <c r="F8" s="45" t="str">
        <f t="shared" si="0"/>
        <v>"home_team" : "Besiktas GAIN Istanbul",</v>
      </c>
    </row>
    <row r="9" spans="2:6" x14ac:dyDescent="0.25">
      <c r="B9" s="43" t="s">
        <v>126</v>
      </c>
      <c r="C9" s="43" t="str">
        <f>""""&amp;'SCOUT &amp; LOGISTICS'!D5&amp;""""</f>
        <v>"Buducnost VOLI Podgorica"</v>
      </c>
      <c r="F9" s="45" t="str">
        <f t="shared" si="0"/>
        <v>"away_team" : "Buducnost VOLI Podgorica",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"KIVILCIM KORKMAZ"</v>
      </c>
      <c r="F11" s="45" t="str">
        <f t="shared" si="0"/>
        <v>"Caller_1" : "KIVILCIM KORKMAZ",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"MURAT KUS"</v>
      </c>
      <c r="F12" s="45" t="str">
        <f t="shared" si="0"/>
        <v>"Caller_2" : "MURAT KUS",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"ZAFER RIFAI"</v>
      </c>
      <c r="F13" s="45" t="str">
        <f t="shared" si="0"/>
        <v>"Timerkeeper" : "ZAFER RIFAI",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"AYBERK PARALI"</v>
      </c>
      <c r="F14" s="45" t="str">
        <f t="shared" si="0"/>
        <v>"Shotclock" : "AYBERK PARALI",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636</v>
      </c>
      <c r="F25" s="45" t="str">
        <f t="shared" ref="F25:F48" si="1">""""&amp;C25&amp;"""" &amp; " : " &amp;D25&amp;","</f>
        <v>"total_actions" : 636,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job!"</v>
      </c>
      <c r="F51" s="45" t="str">
        <f>""""&amp;B51&amp;"""" &amp; " : " &amp;C51&amp;","</f>
        <v>"comments" : "Excellent job!",</v>
      </c>
    </row>
    <row r="52" spans="2:6" x14ac:dyDescent="0.25">
      <c r="B52" s="43" t="s">
        <v>153</v>
      </c>
      <c r="C52" s="43" t="str">
        <f>TEXT('SCOUT &amp; LOGISTICS'!F1,"0,0")</f>
        <v>15_148_BES_BUD_U2025</v>
      </c>
      <c r="F52" s="45" t="str">
        <f>""""&amp;B52&amp;"""" &amp; " : " &amp;C52</f>
        <v>"result" : 15_148_BES_BUD_U2025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U148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21/01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Besiktas Gain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Buducnost Voli Podgorica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KIVILCIM KORKMAZ</v>
      </c>
      <c r="H8" s="201"/>
      <c r="I8" s="201"/>
      <c r="J8" s="201"/>
      <c r="K8" s="201"/>
      <c r="L8" s="201" t="str">
        <f>IF('SCOUT &amp; LOGISTICS'!D8="","",'SCOUT &amp; LOGISTICS'!D8)</f>
        <v>MURAT KUS</v>
      </c>
      <c r="M8" s="201"/>
      <c r="N8" s="201"/>
      <c r="O8" s="201"/>
      <c r="P8" s="201"/>
      <c r="Q8" s="201" t="str">
        <f>IF('SCOUT &amp; LOGISTICS'!D9="","",'SCOUT &amp; LOGISTICS'!D9)</f>
        <v>ZAFER RIFAI</v>
      </c>
      <c r="R8" s="201"/>
      <c r="S8" s="201"/>
      <c r="T8" s="201"/>
      <c r="U8" s="201"/>
      <c r="V8" s="201" t="str">
        <f>IF('SCOUT &amp; LOGISTICS'!D10="","",'SCOUT &amp; LOGISTICS'!D10)</f>
        <v>AYBERK PARALI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636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1.5723270440251573E-3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Excellent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2.6572327044025159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599B6445-E181-4919-B905-0BF7AE3817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2026-01-07T21:12:54Z</cp:lastPrinted>
  <dcterms:created xsi:type="dcterms:W3CDTF">2023-09-19T19:50:35Z</dcterms:created>
  <dcterms:modified xsi:type="dcterms:W3CDTF">2026-01-21T20:51:43Z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