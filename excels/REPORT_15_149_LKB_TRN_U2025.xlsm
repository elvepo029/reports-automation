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5" documentId="8_{325C54DB-21EA-4518-A405-49F797A37126}" xr6:coauthVersionLast="47" xr6:coauthVersionMax="47" xr10:uidLastSave="{A40CB6DF-A7B2-4224-B2E1-3C31294B6BB6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<sst xmlns="http://schemas.openxmlformats.org/spreadsheetml/2006/main" count="3352" uniqueCount="836">
  <si>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</si>
  <si>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</si>
  <si>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</si>
  <si>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</si>
  <si>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</si>
  <si>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</si>
  <si>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</si>
  <si>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</si>
  <si>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</si>
  <si>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</si>
  <si>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</si>
  <si>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</si>
  <si>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</si>
  <si>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</si>
  <si>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</si>
  <si>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</si>
  <si>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</si>
  <si>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</si>
  <si>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</si>
  <si>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</si>
  <si>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</si>
  <si>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</si>
  <si>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</si>
  <si>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</si>
  <si>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</si>
  <si>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</si>
  <si>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</si>
  <si>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</si>
  <si>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</si>
  <si>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</si>
  <si>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</si>
  <si>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</si>
  <si>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</si>
  <si>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</si>
  <si>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</si>
  <si>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</si>
  <si>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</si>
  <si>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</si>
  <si>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</si>
  <si>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</si>
  <si>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</si>
  <si>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</si>
  <si>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</si>
  <si>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</si>
  <si>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</si>
  <si>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</si>
  <si>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</si>
  <si>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</si>
  <si>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</si>
  <si>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</si>
  <si>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</si>
  <si>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</si>
  <si>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</si>
  <si>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</si>
  <si>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</si>
  <si>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</si>
  <si>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</si>
  <si>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</si>
  <si>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</si>
  <si>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</si>
  <si>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</si>
  <si>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</si>
  <si>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</si>
  <si>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</si>
  <si>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</si>
  <si>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</si>
  <si>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</si>
  <si>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</si>
  <si>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</si>
  <si>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</si>
  <si>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</si>
  <si>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</si>
  <si>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</si>
  <si>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</si>
  <si>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</si>
  <si>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</si>
  <si>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</si>
  <si>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</si>
  <si>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</si>
  <si>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</si>
  <si>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</si>
  <si>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</si>
  <si>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</si>
  <si>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</si>
  <si>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</si>
  <si>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</si>
  <si>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</si>
  <si>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</si>
  <si>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</si>
  <si>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</si>
  <si>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</si>
  <si>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</si>
  <si>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</si>
  <si>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</si>
  <si>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</si>
  <si>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</si>
  <si>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</si>
  <si>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</si>
  <si>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</si>
  <si>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</si>
  <si>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</si>
  <si>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</si>
  <si>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</si>
  <si>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</si>
  <si>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</si>
  <si>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</si>
  <si>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</si>
  <si>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</si>
  <si>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</si>
  <si>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</si>
  <si>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</si>
  <si>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</si>
  <si>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</si>
  <si>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</si>
  <si>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</si>
  <si>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</si>
  <si>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</si>
  <si>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</si>
  <si>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</si>
  <si>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</si>
  <si>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</si>
  <si>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</si>
  <si>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</si>
  <si>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</si>
  <si>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</si>
  <si>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</si>
  <si>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</si>
  <si>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</si>
  <si>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</si>
  <si>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</si>
  <si>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</si>
  <si>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</si>
  <si>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</si>
  <si>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</si>
  <si>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</si>
  <si>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</si>
  <si>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</si>
  <si>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</si>
  <si>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</si>
  <si>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</si>
  <si>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</si>
  <si>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</si>
  <si>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</si>
  <si>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</si>
  <si>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</si>
  <si>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</si>
  <si>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</si>
  <si>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</si>
  <si>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</si>
  <si>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</si>
  <si>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</si>
  <si>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</si>
  <si>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</si>
  <si>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</si>
  <si>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</si>
  <si>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</si>
  <si>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</si>
  <si>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</si>
  <si>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</si>
  <si>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</si>
  <si>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</si>
  <si>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</si>
  <si>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</si>
  <si>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</si>
  <si>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</si>
  <si>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</si>
  <si>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</si>
  <si>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</si>
  <si>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</si>
  <si>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</si>
  <si>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</si>
  <si>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</si>
  <si>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</si>
  <si>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</si>
  <si>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</si>
  <si>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</si>
  <si>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</si>
  <si>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</si>
  <si>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</si>
  <si>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</si>
  <si>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</si>
  <si>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</si>
  <si>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</si>
  <si>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</si>
  <si>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</si>
  <si>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</si>
  <si>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</si>
  <si>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</si>
  <si>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</si>
  <si>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</si>
  <si>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</si>
  <si>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</si>
  <si>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</si>
  <si>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</si>
  <si>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</si>
  <si>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</si>
  <si>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</si>
  <si>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</si>
  <si>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</si>
  <si>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</si>
  <si>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</si>
  <si>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</si>
  <si>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</si>
  <si>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</si>
  <si>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</si>
  <si>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</si>
  <si>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</si>
  <si>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</si>
  <si>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</si>
  <si>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</si>
  <si>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</si>
  <si>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</si>
  <si>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</si>
  <si>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</si>
  <si>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</si>
  <si>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</si>
  <si>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</si>
  <si>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</si>
  <si>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</si>
  <si>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</si>
  <si>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</si>
  <si>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</si>
  <si>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</si>
  <si>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</si>
  <si>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</si>
  <si>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</si>
  <si>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</si>
  <si>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</si>
  <si>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</si>
  <si>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</si>
  <si>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</si>
  <si>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</si>
  <si>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</si>
  <si>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</si>
  <si>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</si>
  <si>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</si>
  <si>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</si>
  <si>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</si>
  <si>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</si>
  <si>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</si>
  <si>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</si>
  <si>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</si>
  <si>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</si>
  <si>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</si>
  <si>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</si>
  <si>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</si>
  <si>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</si>
  <si>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</si>
  <si>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</si>
  <si>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</si>
  <si>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</si>
  <si>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</si>
  <si>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</si>
  <si>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</si>
  <si>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</si>
  <si>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</si>
  <si>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</si>
  <si>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</si>
  <si>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</si>
  <si>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</si>
  <si>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</si>
  <si>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</si>
  <si>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</si>
  <si>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</si>
  <si>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</si>
  <si>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</si>
  <si>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</si>
  <si>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</si>
  <si>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</si>
  <si>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</si>
  <si>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</si>
  <si>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</si>
  <si>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</si>
  <si>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</si>
  <si>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</si>
  <si>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</si>
  <si>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</si>
  <si>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</si>
  <si>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</si>
  <si>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</si>
  <si>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</si>
  <si>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</si>
  <si>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</si>
  <si>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</si>
  <si>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</si>
  <si>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</si>
  <si>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</si>
  <si>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</si>
  <si>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</si>
  <si>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</si>
  <si>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</si>
  <si>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</si>
  <si>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</si>
  <si>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</si>
  <si>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</si>
  <si>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</si>
  <si>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</si>
  <si>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</si>
  <si>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</si>
  <si>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</si>
  <si>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</si>
  <si>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</si>
  <si>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</si>
  <si>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</si>
  <si>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</si>
  <si>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</si>
  <si>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</si>
  <si>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</si>
  <si>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</si>
  <si>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</si>
  <si>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</si>
  <si>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</si>
  <si>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</si>
  <si>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</si>
  <si>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</si>
  <si>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</si>
  <si>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</si>
  <si>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</si>
  <si>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</si>
  <si>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</si>
  <si>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</si>
  <si>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</si>
  <si>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</si>
  <si>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</si>
  <si>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</si>
  <si>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</si>
  <si>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</si>
  <si>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</si>
  <si>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</si>
  <si>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</si>
  <si>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</si>
  <si>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</si>
  <si>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</si>
  <si>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</si>
  <si>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</si>
  <si>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</si>
  <si>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</si>
  <si>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</si>
  <si>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</si>
  <si>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</si>
  <si>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</si>
  <si>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</si>
  <si>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</si>
  <si>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</si>
  <si>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</si>
  <si>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</si>
  <si>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</si>
  <si>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</si>
  <si>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</si>
  <si>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</si>
  <si>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</si>
  <si>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</si>
  <si>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</si>
  <si>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</si>
  <si>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</si>
  <si>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</si>
  <si>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</si>
  <si>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</si>
  <si>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</si>
  <si>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</si>
  <si>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</si>
  <si>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</si>
  <si>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</si>
  <si>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</si>
  <si>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</si>
  <si>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</si>
  <si>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</si>
  <si>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</si>
  <si>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</si>
  <si>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</si>
  <si>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</si>
  <si>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</si>
  <si>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</si>
  <si>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</si>
  <si>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</si>
  <si>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</si>
  <si>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</si>
  <si>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</si>
  <si>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</si>
  <si>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</si>
  <si>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</si>
  <si>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</si>
  <si>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</si>
  <si>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</si>
  <si>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</si>
  <si>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</si>
  <si>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</si>
  <si>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</si>
  <si>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</si>
  <si>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</si>
  <si>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</si>
  <si>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</si>
  <si>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</si>
  <si>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</si>
  <si>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</si>
  <si>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</si>
  <si>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</si>
  <si>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</si>
  <si>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</si>
  <si>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</si>
  <si>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</si>
  <si>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</si>
  <si>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</si>
  <si>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</si>
  <si>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</si>
  <si>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</si>
  <si>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</si>
  <si>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</si>
  <si>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</si>
  <si>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</si>
  <si>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</si>
  <si>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</si>
  <si>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</si>
  <si>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</si>
  <si>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</si>
  <si>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</si>
  <si>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</si>
  <si>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</si>
  <si>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</si>
  <si>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</si>
  <si>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</si>
  <si>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</si>
  <si>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</si>
  <si>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</si>
  <si>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</si>
  <si>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</si>
  <si>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</si>
  <si>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</si>
  <si>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</si>
  <si>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</si>
  <si>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</si>
  <si>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</si>
  <si>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</si>
  <si>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</si>
  <si>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</si>
  <si>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</si>
  <si>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</si>
  <si>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</si>
  <si>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</si>
  <si>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</si>
  <si>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</si>
  <si>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</si>
  <si>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</si>
  <si>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</si>
  <si>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</si>
  <si>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</si>
  <si>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</si>
  <si>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</si>
  <si>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</si>
  <si>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</si>
  <si>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</si>
  <si>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</si>
  <si>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</si>
  <si>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</si>
  <si>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</si>
  <si>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</si>
  <si>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</si>
  <si>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</si>
  <si>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</si>
  <si>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</si>
  <si>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</si>
  <si>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</si>
  <si>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</si>
  <si>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</si>
  <si>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</si>
  <si>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</si>
  <si>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</si>
  <si>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</si>
  <si>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</si>
  <si>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</si>
  <si>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</si>
  <si>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</si>
  <si>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</si>
  <si>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</si>
  <si>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</si>
  <si>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</si>
  <si>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</si>
  <si>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</si>
  <si>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</si>
  <si>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</si>
  <si>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</si>
  <si>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</si>
  <si>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</si>
  <si>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</si>
  <si>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</si>
  <si>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</si>
  <si>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</si>
  <si>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</si>
  <si>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</si>
  <si>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</si>
  <si>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</si>
  <si>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</si>
  <si>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</si>
  <si>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</si>
  <si>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</si>
  <si>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</si>
  <si>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</si>
  <si>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</si>
  <si>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</si>
  <si>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</si>
  <si>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</si>
  <si>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</si>
  <si>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</si>
  <si>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</si>
  <si>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</si>
  <si>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</si>
  <si>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</si>
  <si>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</si>
  <si>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</si>
  <si>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</si>
  <si>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</si>
  <si>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</si>
  <si>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</si>
  <si>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</si>
  <si>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</si>
  <si>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</si>
  <si>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</si>
  <si>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</si>
  <si>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</si>
  <si>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</si>
  <si>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</si>
  <si>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</si>
  <si>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</si>
  <si>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</si>
  <si>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</si>
  <si>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</si>
  <si>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</si>
  <si>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</si>
  <si>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</si>
  <si>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</si>
  <si>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</si>
  <si>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</si>
  <si>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</si>
  <si>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</si>
  <si>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</si>
  <si>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</si>
  <si>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</si>
  <si>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</si>
  <si>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</si>
  <si>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</si>
  <si>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</si>
  <si>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</si>
  <si>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</si>
  <si>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</si>
  <si>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</si>
  <si>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</si>
  <si>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</si>
  <si>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</si>
  <si>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</si>
  <si>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</si>
  <si>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</si>
  <si>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</si>
  <si>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</si>
  <si>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</si>
  <si>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</si>
  <si>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</si>
  <si>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</si>
  <si>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</si>
  <si>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</si>
  <si>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</si>
  <si>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</si>
  <si>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</si>
  <si>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</si>
  <si>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</si>
  <si>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</si>
  <si>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</si>
  <si>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</si>
  <si>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</si>
  <si>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</si>
  <si>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</si>
  <si>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</si>
  <si>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</si>
  <si>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</si>
  <si>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</si>
  <si>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</si>
  <si>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</si>
  <si>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</si>
  <si>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</si>
  <si>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</si>
  <si>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</si>
  <si>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</si>
  <si>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</si>
  <si>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</si>
  <si>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</si>
  <si>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</si>
  <si>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</si>
  <si>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</si>
  <si>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</si>
  <si>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</si>
  <si>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</si>
  <si>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</si>
  <si>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</si>
  <si>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</si>
  <si>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</si>
  <si>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</si>
  <si>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</si>
  <si>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</si>
  <si>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</si>
  <si>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</si>
  <si>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</si>
  <si>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</si>
  <si>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</si>
  <si>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</si>
  <si>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</si>
  <si>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</si>
  <si>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</si>
  <si>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</si>
  <si>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</si>
  <si>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</si>
  <si>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</si>
  <si>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</si>
  <si>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</si>
  <si>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</si>
  <si>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</si>
  <si>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</si>
  <si>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</si>
  <si>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</si>
  <si>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</si>
  <si>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</si>
  <si>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</si>
  <si>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</si>
  <si>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</si>
  <si>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</si>
  <si>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</si>
  <si>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</si>
  <si>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</si>
  <si>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</si>
  <si>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</si>
  <si>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</si>
  <si>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</si>
  <si>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</si>
  <si>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</si>
  <si>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</si>
  <si>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</si>
  <si>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</si>
  <si>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</si>
  <si>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</si>
  <si>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</si>
  <si>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</si>
  <si>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</si>
  <si>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</si>
  <si>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</si>
  <si>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</si>
  <si>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</si>
  <si>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</si>
  <si>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</si>
  <si>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</si>
  <si>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</si>
  <si>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</si>
  <si>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</si>
  <si>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</si>
  <si>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</si>
  <si>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</si>
  <si>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</si>
  <si>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</si>
  <si>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</si>
  <si>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</si>
  <si>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</si>
  <si>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</si>
  <si>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</si>
  <si>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</si>
  <si>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</si>
  <si>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</si>
  <si>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</si>
  <si>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</si>
  <si>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</si>
  <si>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</si>
  <si>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</si>
  <si>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</si>
  <si>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</si>
  <si>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</si>
  <si>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</si>
  <si>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</si>
  <si>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</si>
  <si>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</si>
  <si>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</si>
  <si>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</si>
  <si>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</si>
  <si>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</si>
  <si>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</si>
  <si>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</si>
  <si>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</si>
  <si>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</si>
  <si>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</si>
  <si>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</si>
  <si>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</si>
  <si>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</si>
  <si>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</si>
  <si>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</si>
  <si>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</si>
  <si>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</si>
  <si>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</si>
  <si>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</si>
  <si>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</si>
  <si>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</si>
  <si>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</si>
  <si>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</si>
  <si>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</si>
  <si>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</si>
  <si>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</si>
  <si>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</si>
  <si>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</si>
  <si>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</si>
  <si>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</si>
  <si>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</si>
  <si>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</si>
  <si>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</si>
  <si>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</si>
  <si>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</si>
  <si>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</si>
  <si>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</si>
  <si>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</si>
  <si>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</si>
  <si>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</si>
  <si>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</si>
  <si>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</si>
  <si>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</si>
  <si>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</si>
  <si>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</si>
  <si>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</si>
  <si>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</si>
  <si>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</si>
  <si>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</si>
  <si>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</si>
  <si>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</si>
  <si>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</si>
  <si>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</si>
  <si>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</si>
  <si>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</si>
  <si>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</si>
  <si>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</si>
  <si>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</si>
  <si>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</si>
  <si>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</si>
  <si>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</si>
  <si>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</si>
  <si>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</si>
  <si>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</si>
  <si>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</si>
  <si>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</si>
  <si>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</si>
  <si>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</si>
  <si>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</si>
  <si>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</si>
  <si>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</si>
  <si>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</si>
  <si>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</si>
  <si>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</si>
  <si>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</si>
  <si>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</si>
  <si>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</si>
  <si>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</si>
  <si>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</si>
  <si>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</si>
  <si>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</si>
  <si>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</si>
  <si>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</si>
  <si>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</si>
  <si>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</si>
  <si>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</si>
  <si>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</si>
  <si>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</si>
  <si>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</si>
  <si>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</si>
  <si>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</si>
  <si>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</si>
  <si>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</si>
  <si>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</si>
  <si>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</si>
  <si>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</si>
  <si>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</si>
  <si>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</si>
  <si>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</si>
  <si>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</si>
  <si>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</si>
  <si>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</si>
  <si>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</si>
  <si>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</si>
  <si>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</si>
  <si>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</si>
  <si>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</si>
  <si>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</si>
  <si>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</si>
  <si>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</si>
  <si>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</si>
  <si>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</si>
  <si>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</si>
  <si>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</si>
  <si>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</si>
  <si>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</si>
  <si>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</si>
  <si>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</si>
  <si>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</si>
  <si>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</si>
  <si>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</si>
  <si>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</si>
  <si>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</si>
  <si>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</si>
  <si>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</si>
  <si>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</si>
  <si>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</si>
  <si>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</si>
  <si>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</si>
  <si>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</si>
  <si>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</si>
  <si>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</si>
  <si>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</si>
  <si>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</si>
  <si>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</si>
  <si>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</si>
  <si>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</si>
  <si>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</si>
  <si>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</si>
  <si>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</si>
  <si>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</si>
  <si>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</si>
  <si>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</si>
  <si>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</si>
  <si>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</si>
  <si>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</si>
  <si>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</si>
  <si>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</si>
  <si>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</si>
  <si>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</si>
  <si>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</si>
  <si>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</si>
  <si>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XAVIER MATEU</t>
  </si>
  <si>
    <t>DOVILE RUSONYTE</t>
  </si>
  <si>
    <t>RASA KIZKAITE</t>
  </si>
  <si>
    <t>ODETA DULIENE</t>
  </si>
  <si>
    <t>VIDAS MACYS</t>
  </si>
  <si>
    <t>07:42</t>
  </si>
  <si>
    <t>00:04</t>
  </si>
  <si>
    <t>03:55</t>
  </si>
  <si>
    <t>The issue with the foul is understandable, but please be careful. In any case, you detected it right away and corrected it quickly. As for the other plays, a Trento player shot and once he had both feet on the floor, he received a foul. In these situations, we should always record a missed shot, a team rebound, and the foul.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</si>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</sst>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15_149_LKB_TRN_U2025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46043.791666666664</v>
      </c>
      <c r="C3" s="157"/>
      <c r="D3" s="39">
        <v>595</v>
      </c>
      <c r="E3" s="29"/>
      <c r="F3" s="26">
        <f>SUBTOTAL(3,I17:I106)</f>
        <v>4</v>
      </c>
      <c r="G3" s="27">
        <f>IF(OR(D3="",D3=0),"",F3/D3)</f>
        <v>6.7226890756302525E-3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Lietkabelis Panevezys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743</v>
      </c>
      <c r="L4" s="5"/>
      <c r="M4" s="167" t="s">
        <v>834</v>
      </c>
      <c r="N4" s="168"/>
      <c r="O4" s="2"/>
      <c r="P4" s="2"/>
      <c r="Q4" s="84" t="s">
        <v>175</v>
      </c>
      <c r="R4" s="94">
        <f>(IF(G3="",0,G3))</f>
        <v>6.7226890756302525E-3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Dolomiti Energia Trento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0.67226890756302526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19.672268907563026</v>
      </c>
      <c r="N7" s="58"/>
      <c r="O7" s="2"/>
      <c r="P7" s="2"/>
      <c r="Q7" s="86">
        <f>SUM(R5,S5,AC16)</f>
        <v>19.672268907563026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800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19.672268907563026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19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149</v>
      </c>
      <c r="D17" s="32" t="s">
        <v>831</v>
      </c>
      <c r="E17" s="33">
        <v>3</v>
      </c>
      <c r="F17" s="36">
        <v>52</v>
      </c>
      <c r="G17" s="36">
        <v>56</v>
      </c>
      <c r="H17" s="38" t="str">
        <f>IF(I17="","",$I$14)</f>
        <v>SCOUTING</v>
      </c>
      <c r="I17" s="34">
        <v>330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149</v>
      </c>
      <c r="D18" s="32" t="s">
        <v>832</v>
      </c>
      <c r="E18" s="33">
        <v>3</v>
      </c>
      <c r="F18" s="36">
        <v>49</v>
      </c>
      <c r="G18" s="36">
        <v>50</v>
      </c>
      <c r="H18" s="38" t="str">
        <f t="shared" ref="H18:H81" si="8">IF(I18="","",$I$14)</f>
        <v>SCOUTING</v>
      </c>
      <c r="I18" s="34">
        <v>290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149</v>
      </c>
      <c r="D19" s="32" t="s">
        <v>53</v>
      </c>
      <c r="E19" s="33">
        <v>3</v>
      </c>
      <c r="F19" s="36">
        <v>0</v>
      </c>
      <c r="G19" s="36">
        <v>0</v>
      </c>
      <c r="H19" s="38" t="str">
        <f t="shared" si="8"/>
        <v>SCOUTING</v>
      </c>
      <c r="I19" s="34">
        <v>319</v>
      </c>
      <c r="J19" s="13" t="s">
        <v>3</v>
      </c>
      <c r="K19" s="13" t="s">
        <v>62</v>
      </c>
      <c r="L19" s="13" t="s">
        <v>76</v>
      </c>
      <c r="M19" s="13" t="s">
        <v>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149</v>
      </c>
      <c r="D20" s="32" t="s">
        <v>833</v>
      </c>
      <c r="E20" s="33">
        <v>1</v>
      </c>
      <c r="F20" s="36">
        <v>13</v>
      </c>
      <c r="G20" s="36">
        <v>14</v>
      </c>
      <c r="H20" s="38" t="str">
        <f t="shared" si="8"/>
        <v>SCOUTING</v>
      </c>
      <c r="I20" s="34">
        <v>94</v>
      </c>
      <c r="J20" s="13" t="s">
        <v>4</v>
      </c>
      <c r="K20" s="13" t="s">
        <v>63</v>
      </c>
      <c r="L20" s="13" t="s">
        <v>7</v>
      </c>
      <c r="M20" s="13" t="s">
        <v>26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"U2025149"</v>
      </c>
      <c r="F3" s="45" t="str">
        <f t="shared" ref="F3:F16" si="0">""""&amp;B3&amp;"""" &amp; " : " &amp;C3&amp;","</f>
        <v>"name" : "U2025149",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"U149"</v>
      </c>
      <c r="F4" s="45" t="str">
        <f t="shared" si="0"/>
        <v>"cod" : "U149",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149</v>
      </c>
      <c r="F6" s="45" t="str">
        <f t="shared" si="0"/>
        <v>"number" : 149,</v>
      </c>
    </row>
    <row r="7" spans="2:6" x14ac:dyDescent="0.25">
      <c r="B7" s="43" t="s">
        <v>116</v>
      </c>
      <c r="C7" s="43" t="str">
        <f ca="1">""""&amp;TEXT('SCOUT &amp; LOGISTICS'!B3,"dd/mm/aaaa")&amp;""""</f>
        <v>"21/01/Wednesday"</v>
      </c>
      <c r="F7" s="45" t="str">
        <f t="shared" ca="1" si="0"/>
        <v>"date" : "21/01/Wednesday",</v>
      </c>
    </row>
    <row r="8" spans="2:6" x14ac:dyDescent="0.25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"DOVILE RUSONYTE"</v>
      </c>
      <c r="F10" s="45" t="str">
        <f t="shared" si="0"/>
        <v>"Data_entry" : "DOVILE RUSONYTE",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KIZKAITE"</v>
      </c>
      <c r="F11" s="45" t="str">
        <f t="shared" si="0"/>
        <v>"Caller_1" : "RASA KIZKAITE",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"ODETA DULIENE"</v>
      </c>
      <c r="F13" s="45" t="str">
        <f t="shared" si="0"/>
        <v>"Timerkeeper" : "ODETA DULIENE",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"VIDAS MACYS"</v>
      </c>
      <c r="F14" s="45" t="str">
        <f t="shared" si="0"/>
        <v>"Shotclock" : "VIDAS MACYS",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595</v>
      </c>
      <c r="F25" s="45" t="str">
        <f t="shared" ref="F25:F48" si="1">""""&amp;C25&amp;"""" &amp; " : " &amp;D25&amp;","</f>
        <v>"total_actions" : 595,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issue with the foul is understandable, but please be careful. In any case, you detected it right away and corrected it quickly. As for the other plays, a Trento player shot and once he had both feet on the floor, he received a foul. In these situations, we should always record a missed shot, a team rebound, and the foul."</v>
      </c>
      <c r="F51" s="45" t="str">
        <f>""""&amp;B51&amp;"""" &amp; " : " &amp;C51&amp;","</f>
        <v>"comments" : "The issue with the foul is understandable, but please be careful. In any case, you detected it right away and corrected it quickly. As for the other plays, a Trento player shot and once he had both feet on the floor, he received a foul. In these situations, we should always record a missed shot, a team rebound, and the foul.",</v>
      </c>
    </row>
    <row r="52" spans="2:6" x14ac:dyDescent="0.25">
      <c r="B52" s="43" t="s">
        <v>153</v>
      </c>
      <c r="C52" s="43" t="str">
        <f>TEXT('SCOUT &amp; LOGISTICS'!F1,"0,0")</f>
        <v>15_149_LKB_TRN_U2025</v>
      </c>
      <c r="F52" s="45" t="str">
        <f>""""&amp;B52&amp;"""" &amp; " : " &amp;C52</f>
        <v>"result" : 15_149_LKB_TRN_U2025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U149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21/01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Lietkabelis Panevezys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Dolomiti Energia Trento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DOVILE RUSONYTE</v>
      </c>
      <c r="C8" s="206"/>
      <c r="D8" s="206"/>
      <c r="E8" s="206"/>
      <c r="F8" s="206"/>
      <c r="G8" s="206" t="str">
        <f>IF('SCOUT &amp; LOGISTICS'!D7="","",'SCOUT &amp; LOGISTICS'!D7)</f>
        <v>RASA KIZKAITE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ODETA DULIENE</v>
      </c>
      <c r="R8" s="206"/>
      <c r="S8" s="206"/>
      <c r="T8" s="206"/>
      <c r="U8" s="206"/>
      <c r="V8" s="206" t="str">
        <f>IF('SCOUT &amp; LOGISTICS'!D10="","",'SCOUT &amp; LOGISTICS'!D10)</f>
        <v>VIDAS MACYS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6.7226890756302525E-3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issue with the foul is understandable, but please be careful. In any case, you detected it right away and corrected it quickly. As for the other plays, a Trento player shot and once he had both feet on the floor, he received a foul. In these situations, we should always record a missed shot, a team rebound, and the foul.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19.672268907563026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29899-88BE-4B26-873A-C8EDA6E9F5F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2026-01-22T15:20:57Z</cp:lastPrinted>
  <dcterms:created xsi:type="dcterms:W3CDTF">2023-09-19T19:50:35Z</dcterms:created>
  <dcterms:modified xsi:type="dcterms:W3CDTF">2026-01-22T15:20:59Z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