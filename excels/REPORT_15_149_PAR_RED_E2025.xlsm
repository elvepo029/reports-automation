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2" documentId="8_{7AE1ED52-681A-4C72-B9D1-272D40D90F22}" xr6:coauthVersionLast="47" xr6:coauthVersionMax="47" xr10:uidLastSave="{A819702B-3821-4658-BB2D-36044CB08475}"/>
  <bookViews>
    <workbookView minimized="1" xWindow="1540" yWindow="2810" windowWidth="14400" windowHeight="727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<sst xmlns="http://schemas.openxmlformats.org/spreadsheetml/2006/main" count="3250" uniqueCount="759">
  <si>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</si>
  <si>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</si>
  <si>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</si>
  <si>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</si>
  <si>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</si>
  <si>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</si>
  <si>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</si>
  <si>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</si>
  <si>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</si>
  <si>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</si>
  <si>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</si>
  <si>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</si>
  <si>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</si>
  <si>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</si>
  <si>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</si>
  <si>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</si>
  <si>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</si>
  <si>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</si>
  <si>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</si>
  <si>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</si>
  <si>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</si>
  <si>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</si>
  <si>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</si>
  <si>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</si>
  <si>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</si>
  <si>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</si>
  <si>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</si>
  <si>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</si>
  <si>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</si>
  <si>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</si>
  <si>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</si>
  <si>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</si>
  <si>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</si>
  <si>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</si>
  <si>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</si>
  <si>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</si>
  <si>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</si>
  <si>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</si>
  <si>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</si>
  <si>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</si>
  <si>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</si>
  <si>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</si>
  <si>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</si>
  <si>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</si>
  <si>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</si>
  <si>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</si>
  <si>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</si>
  <si>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</si>
  <si>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</si>
  <si>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</si>
  <si>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</si>
  <si>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</si>
  <si>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</si>
  <si>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</si>
  <si>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</si>
  <si>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</si>
  <si>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</si>
  <si>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</si>
  <si>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</si>
  <si>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</si>
  <si>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</si>
  <si>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</si>
  <si>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</si>
  <si>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</si>
  <si>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</si>
  <si>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</si>
  <si>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</si>
  <si>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</si>
  <si>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</si>
  <si>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</si>
  <si>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</si>
  <si>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</si>
  <si>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</si>
  <si>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</si>
  <si>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</si>
  <si>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</si>
  <si>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</si>
  <si>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</si>
  <si>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</si>
  <si>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</si>
  <si>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</si>
  <si>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</si>
  <si>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</si>
  <si>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</si>
  <si>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</si>
  <si>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</si>
  <si>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</si>
  <si>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</si>
  <si>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</si>
  <si>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</si>
  <si>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</si>
  <si>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</si>
  <si>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</si>
  <si>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</si>
  <si>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</si>
  <si>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</si>
  <si>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</si>
  <si>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</si>
  <si>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</si>
  <si>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</si>
  <si>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</si>
  <si>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</si>
  <si>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</si>
  <si>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</si>
  <si>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</si>
  <si>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</si>
  <si>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</si>
  <si>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</si>
  <si>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</si>
  <si>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</si>
  <si>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</si>
  <si>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</si>
  <si>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</si>
  <si>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</si>
  <si>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</si>
  <si>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</si>
  <si>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</si>
  <si>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</si>
  <si>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</si>
  <si>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</si>
  <si>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</si>
  <si>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</si>
  <si>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</si>
  <si>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</si>
  <si>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</si>
  <si>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</si>
  <si>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</si>
  <si>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</si>
  <si>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</si>
  <si>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</si>
  <si>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</si>
  <si>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</si>
  <si>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</si>
  <si>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</si>
  <si>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</si>
  <si>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</si>
  <si>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</si>
  <si>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</si>
  <si>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</si>
  <si>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</si>
  <si>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</si>
  <si>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</si>
  <si>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</si>
  <si>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</si>
  <si>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</si>
  <si>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</si>
  <si>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</si>
  <si>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</si>
  <si>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</si>
  <si>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</si>
  <si>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</si>
  <si>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</si>
  <si>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</si>
  <si>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</si>
  <si>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</si>
  <si>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</si>
  <si>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</si>
  <si>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</si>
  <si>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</si>
  <si>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</si>
  <si>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</si>
  <si>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</si>
  <si>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</si>
  <si>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</si>
  <si>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</si>
  <si>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</si>
  <si>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</si>
  <si>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</si>
  <si>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</si>
  <si>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</si>
  <si>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</si>
  <si>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</si>
  <si>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</si>
  <si>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</si>
  <si>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</si>
  <si>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</si>
  <si>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</si>
  <si>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</si>
  <si>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</si>
  <si>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</si>
  <si>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</si>
  <si>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</si>
  <si>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</si>
  <si>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</si>
  <si>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</si>
  <si>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</si>
  <si>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</si>
  <si>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</si>
  <si>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</si>
  <si>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</si>
  <si>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</si>
  <si>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</si>
  <si>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</si>
  <si>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</si>
  <si>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</si>
  <si>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</si>
  <si>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</si>
  <si>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</si>
  <si>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</si>
  <si>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</si>
  <si>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</si>
  <si>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</si>
  <si>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</si>
  <si>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</si>
  <si>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</si>
  <si>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</si>
  <si>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</si>
  <si>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</si>
  <si>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</si>
  <si>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</si>
  <si>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</si>
  <si>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</si>
  <si>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</si>
  <si>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</si>
  <si>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</si>
  <si>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</si>
  <si>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</si>
  <si>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</si>
  <si>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</si>
  <si>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</si>
  <si>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</si>
  <si>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</si>
  <si>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</si>
  <si>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</si>
  <si>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</si>
  <si>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</si>
  <si>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</si>
  <si>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</si>
  <si>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</si>
  <si>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</si>
  <si>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</si>
  <si>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</si>
  <si>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</si>
  <si>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</si>
  <si>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</si>
  <si>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</si>
  <si>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</si>
  <si>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</si>
  <si>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</si>
  <si>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</si>
  <si>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</si>
  <si>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</si>
  <si>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</si>
  <si>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</si>
  <si>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</si>
  <si>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</si>
  <si>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</si>
  <si>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</si>
  <si>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</si>
  <si>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</si>
  <si>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</si>
  <si>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</si>
  <si>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</si>
  <si>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</si>
  <si>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</si>
  <si>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</si>
  <si>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</si>
  <si>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</si>
  <si>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</si>
  <si>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</si>
  <si>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</si>
  <si>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</si>
  <si>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</si>
  <si>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</si>
  <si>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</si>
  <si>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</si>
  <si>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</si>
  <si>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</si>
  <si>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</si>
  <si>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</si>
  <si>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</si>
  <si>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</si>
  <si>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</si>
  <si>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</si>
  <si>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</si>
  <si>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</si>
  <si>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</si>
  <si>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</si>
  <si>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</si>
  <si>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</si>
  <si>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</si>
  <si>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</si>
  <si>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</si>
  <si>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</si>
  <si>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</si>
  <si>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</si>
  <si>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</si>
  <si>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</si>
  <si>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</si>
  <si>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</si>
  <si>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</si>
  <si>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</si>
  <si>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</si>
  <si>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</si>
  <si>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</si>
  <si>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</si>
  <si>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</si>
  <si>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</si>
  <si>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</si>
  <si>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</si>
  <si>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</si>
  <si>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</si>
  <si>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</si>
  <si>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</si>
  <si>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</si>
  <si>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</si>
  <si>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</si>
  <si>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</si>
  <si>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</si>
  <si>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</si>
  <si>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</si>
  <si>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</si>
  <si>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</si>
  <si>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</si>
  <si>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</si>
  <si>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</si>
  <si>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</si>
  <si>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</si>
  <si>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</si>
  <si>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</si>
  <si>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</si>
  <si>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</si>
  <si>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</si>
  <si>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</si>
  <si>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</si>
  <si>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</si>
  <si>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</si>
  <si>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</si>
  <si>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</si>
  <si>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</si>
  <si>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</si>
  <si>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</si>
  <si>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</si>
  <si>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</si>
  <si>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</si>
  <si>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</si>
  <si>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</si>
  <si>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</si>
  <si>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</si>
  <si>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</si>
  <si>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</si>
  <si>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</si>
  <si>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</si>
  <si>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</si>
  <si>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</si>
  <si>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</si>
  <si>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</si>
  <si>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</si>
  <si>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</si>
  <si>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</si>
  <si>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</si>
  <si>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</si>
  <si>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</si>
  <si>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</si>
  <si>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</si>
  <si>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</si>
  <si>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</si>
  <si>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</si>
  <si>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</si>
  <si>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</si>
  <si>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</si>
  <si>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</si>
  <si>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</si>
  <si>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</si>
  <si>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</si>
  <si>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</si>
  <si>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</si>
  <si>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</si>
  <si>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</si>
  <si>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</si>
  <si>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</si>
  <si>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</si>
  <si>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</si>
  <si>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</si>
  <si>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</si>
  <si>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</si>
  <si>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</si>
  <si>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</si>
  <si>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</si>
  <si>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</si>
  <si>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</si>
  <si>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</si>
  <si>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</si>
  <si>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</si>
  <si>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</si>
  <si>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</si>
  <si>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</si>
  <si>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</si>
  <si>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</si>
  <si>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</si>
  <si>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</si>
  <si>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</si>
  <si>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</si>
  <si>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</si>
  <si>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</si>
  <si>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</si>
  <si>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</si>
  <si>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</si>
  <si>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</si>
  <si>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</si>
  <si>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</si>
  <si>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</si>
  <si>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</si>
  <si>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</si>
  <si>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</si>
  <si>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</si>
  <si>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</si>
  <si>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</si>
  <si>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</si>
  <si>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</si>
  <si>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</si>
  <si>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</si>
  <si>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</si>
  <si>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</si>
  <si>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</si>
  <si>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</si>
  <si>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</si>
  <si>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</si>
  <si>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</si>
  <si>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</si>
  <si>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</si>
  <si>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</si>
  <si>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</si>
  <si>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</si>
  <si>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</si>
  <si>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</si>
  <si>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</si>
  <si>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</si>
  <si>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</si>
  <si>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</si>
  <si>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</si>
  <si>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</si>
  <si>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</si>
  <si>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</si>
  <si>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</si>
  <si>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</si>
  <si>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</si>
  <si>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</si>
  <si>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</si>
  <si>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</si>
  <si>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</si>
  <si>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</si>
  <si>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</si>
  <si>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</si>
  <si>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</si>
  <si>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</si>
  <si>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</si>
  <si>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</si>
  <si>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</si>
  <si>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</si>
  <si>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</si>
  <si>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</si>
  <si>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</si>
  <si>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</si>
  <si>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</si>
  <si>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</si>
  <si>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</si>
  <si>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</si>
  <si>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</si>
  <si>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</si>
  <si>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</si>
  <si>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</si>
  <si>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</si>
  <si>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</si>
  <si>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</si>
  <si>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</si>
  <si>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</si>
  <si>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</si>
  <si>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</si>
  <si>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</si>
  <si>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</si>
  <si>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</si>
  <si>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</si>
  <si>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</si>
  <si>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</si>
  <si>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</si>
  <si>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</si>
  <si>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</si>
  <si>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</si>
  <si>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</si>
  <si>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</si>
  <si>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</si>
  <si>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</si>
  <si>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</si>
  <si>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</si>
  <si>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</si>
  <si>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</si>
  <si>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</si>
  <si>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</si>
  <si>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</si>
  <si>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</si>
  <si>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</si>
  <si>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</si>
  <si>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</si>
  <si>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</si>
  <si>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</si>
  <si>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</si>
  <si>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</si>
  <si>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</si>
  <si>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</si>
  <si>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</si>
  <si>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</si>
  <si>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</si>
  <si>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</si>
  <si>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</si>
  <si>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</si>
  <si>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</si>
  <si>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</si>
  <si>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</si>
  <si>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</si>
  <si>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</si>
  <si>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</si>
  <si>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</si>
  <si>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</si>
  <si>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</si>
  <si>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</si>
  <si>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</si>
  <si>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</si>
  <si>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</si>
  <si>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</si>
  <si>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</si>
  <si>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</si>
  <si>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</si>
  <si>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</si>
  <si>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</si>
  <si>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</si>
  <si>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</si>
  <si>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</si>
  <si>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</si>
  <si>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</si>
  <si>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</si>
  <si>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</si>
  <si>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</si>
  <si>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</si>
  <si>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</si>
  <si>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</si>
  <si>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</si>
  <si>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</si>
  <si>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</si>
  <si>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</si>
  <si>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</si>
  <si>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</si>
  <si>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</si>
  <si>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</si>
  <si>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</si>
  <si>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</si>
  <si>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</si>
  <si>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</si>
  <si>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</si>
  <si>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</si>
  <si>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</si>
  <si>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</si>
  <si>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</si>
  <si>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</si>
  <si>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</si>
  <si>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</si>
  <si>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</si>
  <si>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</si>
  <si>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</si>
  <si>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</si>
  <si>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</si>
  <si>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</si>
  <si>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</si>
  <si>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</si>
  <si>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</si>
  <si>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</si>
  <si>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</si>
  <si>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</si>
  <si>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</si>
  <si>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</si>
  <si>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</si>
  <si>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</si>
  <si>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</si>
  <si>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</si>
  <si>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</si>
  <si>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</si>
  <si>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</si>
  <si>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</si>
  <si>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</si>
  <si>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</si>
  <si>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</si>
  <si>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</si>
  <si>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</si>
  <si>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</si>
  <si>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</si>
  <si>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</si>
  <si>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</si>
  <si>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</si>
  <si>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</si>
  <si>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</si>
  <si>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</si>
  <si>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</si>
  <si>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</si>
  <si>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</si>
  <si>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</si>
  <si>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</si>
  <si>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</si>
  <si>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</si>
  <si>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</si>
  <si>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</si>
  <si>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</si>
  <si>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</si>
  <si>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</si>
  <si>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</si>
  <si>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</si>
  <si>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</si>
  <si>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</si>
  <si>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</si>
  <si>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</si>
  <si>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</si>
  <si>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</si>
  <si>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</si>
  <si>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</si>
  <si>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</si>
  <si>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</si>
  <si>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</si>
  <si>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</si>
  <si>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</si>
  <si>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</si>
  <si>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</si>
  <si>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</si>
  <si>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</si>
  <si>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</si>
  <si>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</si>
  <si>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</si>
  <si>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</si>
  <si>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</si>
  <si>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</si>
  <si>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</si>
  <si>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</si>
  <si>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</si>
  <si>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</si>
  <si>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</si>
  <si>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</si>
  <si>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</si>
  <si>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</si>
  <si>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</si>
  <si>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</si>
  <si>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</si>
  <si>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</si>
  <si>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</si>
  <si>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</si>
  <si>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</si>
  <si>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</si>
  <si>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</si>
  <si>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</si>
  <si>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</si>
  <si>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</si>
  <si>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</si>
  <si>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</si>
  <si>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</si>
  <si>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</si>
  <si>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</si>
  <si>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</si>
  <si>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</si>
  <si>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</si>
  <si>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</si>
  <si>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</si>
  <si>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</si>
  <si>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</si>
  <si>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</si>
  <si>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</si>
  <si>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</si>
  <si>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</si>
  <si>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</si>
  <si>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</si>
  <si>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</si>
  <si>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</si>
  <si>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</si>
  <si>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</si>
  <si>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</si>
  <si>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</si>
  <si>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</si>
  <si>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</si>
  <si>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</si>
  <si>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</si>
  <si>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</si>
  <si>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</si>
  <si>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</si>
  <si>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</si>
  <si>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</si>
  <si>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</si>
  <si>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</si>
  <si>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</si>
  <si>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</si>
  <si>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</si>
  <si>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</si>
  <si>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</si>
  <si>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</si>
  <si>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</si>
  <si>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</si>
  <si>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</si>
  <si>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</si>
  <si>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</si>
  <si>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</si>
  <si>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</si>
  <si>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</si>
  <si>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</si>
  <si>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</si>
  <si>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</si>
  <si>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</si>
  <si>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</si>
  <si>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</si>
  <si>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</si>
  <si>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</si>
  <si>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</si>
  <si>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</si>
  <si>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</si>
  <si>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</si>
  <si>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</si>
  <si>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</si>
  <si>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</si>
  <si>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</si>
  <si>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</si>
  <si>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</si>
  <si>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</si>
  <si>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</si>
  <si>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</si>
  <si>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</si>
  <si>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</si>
  <si>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</si>
  <si>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</si>
  <si>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</si>
  <si>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</si>
  <si>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</si>
  <si>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</si>
  <si>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</si>
  <si>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</si>
  <si>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</si>
  <si>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</si>
  <si>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</si>
  <si>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</si>
  <si>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</si>
  <si>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</si>
  <si>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</si>
  <si>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</si>
  <si>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</si>
  <si>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</si>
  <si>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</si>
  <si>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</si>
  <si>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</si>
  <si>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</si>
  <si>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</si>
  <si>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</si>
  <si>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</si>
  <si>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</si>
  <si>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</si>
  <si>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</si>
  <si>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</si>
  <si>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</si>
  <si>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</si>
  <si>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ANA ANDREJIC</t>
  </si>
  <si>
    <t>SLOBODAN SAKOTIC</t>
  </si>
  <si>
    <t>BILJANA KOSTRES</t>
  </si>
  <si>
    <t>JELENA RASINAC</t>
  </si>
  <si>
    <t>JOVANA KRIVOKUCA-MILOVANOVIC</t>
  </si>
  <si>
    <t>08:00</t>
  </si>
  <si>
    <t>Excellent job!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</si>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</sst>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15_149_PAR_RED_E2025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46003.854166666664</v>
      </c>
      <c r="C3" s="157"/>
      <c r="D3" s="39">
        <v>560</v>
      </c>
      <c r="E3" s="29"/>
      <c r="F3" s="26">
        <f>SUBTOTAL(3,I17:I106)</f>
        <v>1</v>
      </c>
      <c r="G3" s="27">
        <f>IF(OR(D3="",D3=0),"",F3/D3)</f>
        <v>1.7857142857142857E-3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1.7857142857142857E-3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0.17857142857142858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0.6785714285714286</v>
      </c>
      <c r="N7" s="58"/>
      <c r="O7" s="2"/>
      <c r="P7" s="2"/>
      <c r="Q7" s="86">
        <f>SUM(R5,S5,AC16)</f>
        <v>0.6785714285714286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0.6785714285714286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149</v>
      </c>
      <c r="D17" s="32" t="s">
        <v>756</v>
      </c>
      <c r="E17" s="33">
        <v>1</v>
      </c>
      <c r="F17" s="36">
        <v>19</v>
      </c>
      <c r="G17" s="36">
        <v>24</v>
      </c>
      <c r="H17" s="38" t="str">
        <f>IF(I17="","",$I$14)</f>
        <v>SCOUTING</v>
      </c>
      <c r="I17" s="34">
        <v>167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"E2025149"</v>
      </c>
      <c r="F3" s="45" t="str">
        <f t="shared" ref="F3:F16" si="0">""""&amp;B3&amp;"""" &amp; " : " &amp;C3&amp;","</f>
        <v>"name" : "E2025149",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"E149"</v>
      </c>
      <c r="F4" s="45" t="str">
        <f t="shared" si="0"/>
        <v>"cod" : "E149",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149</v>
      </c>
      <c r="F6" s="45" t="str">
        <f t="shared" si="0"/>
        <v>"number" : 149,</v>
      </c>
    </row>
    <row r="7" spans="2:6" x14ac:dyDescent="0.25">
      <c r="B7" s="43" t="s">
        <v>116</v>
      </c>
      <c r="C7" s="43" t="str">
        <f ca="1">""""&amp;TEXT('SCOUT &amp; LOGISTICS'!B3,"dd/mm/aaaa")&amp;""""</f>
        <v>"12/12/Friday"</v>
      </c>
      <c r="F7" s="45" t="str">
        <f t="shared" ca="1" si="0"/>
        <v>"date" : "12/12/Friday",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 ANDREJIC"</v>
      </c>
      <c r="F11" s="45" t="str">
        <f t="shared" si="0"/>
        <v>"Caller_1" : "ANA ANDREJIC",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"SLOBODAN SAKOTIC"</v>
      </c>
      <c r="F12" s="45" t="str">
        <f t="shared" si="0"/>
        <v>"Caller_2" : "SLOBODAN SAKOTIC",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"BILJANA KOSTRES"</v>
      </c>
      <c r="F13" s="45" t="str">
        <f t="shared" si="0"/>
        <v>"Timerkeeper" : "BILJANA KOSTRES",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RASINAC"</v>
      </c>
      <c r="F14" s="45" t="str">
        <f t="shared" si="0"/>
        <v>"Shotclock" : "JELENA RASINAC",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KRIVOKUCA-MILOVANOVIC"</v>
      </c>
      <c r="F15" s="45" t="str">
        <f t="shared" si="0"/>
        <v>"IRS" : "JOVANA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560</v>
      </c>
      <c r="F25" s="45" t="str">
        <f t="shared" ref="F25:F48" si="1">""""&amp;C25&amp;"""" &amp; " : " &amp;D25&amp;","</f>
        <v>"total_actions" : 560,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job!"</v>
      </c>
      <c r="F51" s="45" t="str">
        <f>""""&amp;B51&amp;"""" &amp; " : " &amp;C51&amp;","</f>
        <v>"comments" : "Excellent job!",</v>
      </c>
    </row>
    <row r="52" spans="2:6" x14ac:dyDescent="0.25">
      <c r="B52" s="43" t="s">
        <v>153</v>
      </c>
      <c r="C52" s="43" t="str">
        <f>TEXT('SCOUT &amp; LOGISTICS'!F1,"0,0")</f>
        <v>15_149_PAR_RED_E2025</v>
      </c>
      <c r="F52" s="45" t="str">
        <f>""""&amp;B52&amp;"""" &amp; " : " &amp;C52</f>
        <v>"result" : 15_149_PAR_RED_E2025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E149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12/12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ANA ANDREJIC</v>
      </c>
      <c r="H8" s="206"/>
      <c r="I8" s="206"/>
      <c r="J8" s="206"/>
      <c r="K8" s="206"/>
      <c r="L8" s="206" t="str">
        <f>IF('SCOUT &amp; LOGISTICS'!D8="","",'SCOUT &amp; LOGISTICS'!D8)</f>
        <v>SLOBODAN SAKOTIC</v>
      </c>
      <c r="M8" s="206"/>
      <c r="N8" s="206"/>
      <c r="O8" s="206"/>
      <c r="P8" s="206"/>
      <c r="Q8" s="206" t="str">
        <f>IF('SCOUT &amp; LOGISTICS'!D9="","",'SCOUT &amp; LOGISTICS'!D9)</f>
        <v>BILJANA KOSTRES</v>
      </c>
      <c r="R8" s="206"/>
      <c r="S8" s="206"/>
      <c r="T8" s="206"/>
      <c r="U8" s="206"/>
      <c r="V8" s="206" t="str">
        <f>IF('SCOUT &amp; LOGISTICS'!D10="","",'SCOUT &amp; LOGISTICS'!D10)</f>
        <v>JELENA RASINAC</v>
      </c>
      <c r="W8" s="206"/>
      <c r="X8" s="206"/>
      <c r="Y8" s="206"/>
      <c r="Z8" s="206"/>
      <c r="AA8" s="206" t="str">
        <f>IF('SCOUT &amp; LOGISTICS'!D11="","",'SCOUT &amp; LOGISTICS'!D11)</f>
        <v>JOVANA KRIVOKUCA-MILOVANOVIC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1.7857142857142857E-3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0.6785714285714286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FE7510-D869-44BE-9C9B-BD6358ED411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2025-12-16T15:05:07Z</cp:lastPrinted>
  <dcterms:created xsi:type="dcterms:W3CDTF">2023-09-19T19:50:35Z</dcterms:created>
  <dcterms:modified xsi:type="dcterms:W3CDTF">2025-12-16T15:07:08Z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