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0" documentId="8_{16F597E2-84CA-4E05-8248-A1689A517913}" xr6:coauthVersionLast="47" xr6:coauthVersionMax="47" xr10:uidLastSave="{1857C945-5052-4C0B-B35D-6111566E0957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<sst xmlns="http://schemas.openxmlformats.org/spreadsheetml/2006/main" count="3337" uniqueCount="834">
  <si>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</si>
  <si>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</si>
  <si>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</si>
  <si>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</si>
  <si>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</si>
  <si>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</si>
  <si>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</si>
  <si>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</si>
  <si>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</si>
  <si>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</si>
  <si>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</si>
  <si>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</si>
  <si>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</si>
  <si>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</si>
  <si>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</si>
  <si>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</si>
  <si>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</si>
  <si>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</si>
  <si>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</si>
  <si>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</si>
  <si>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</si>
  <si>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</si>
  <si>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</si>
  <si>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</si>
  <si>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</si>
  <si>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</si>
  <si>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</si>
  <si>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</si>
  <si>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</si>
  <si>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</si>
  <si>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</si>
  <si>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</si>
  <si>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</si>
  <si>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</si>
  <si>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</si>
  <si>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</si>
  <si>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</si>
  <si>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</si>
  <si>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</si>
  <si>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</si>
  <si>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</si>
  <si>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</si>
  <si>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</si>
  <si>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</si>
  <si>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</si>
  <si>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</si>
  <si>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</si>
  <si>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</si>
  <si>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</si>
  <si>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</si>
  <si>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</si>
  <si>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</si>
  <si>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</si>
  <si>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</si>
  <si>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</si>
  <si>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</si>
  <si>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</si>
  <si>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</si>
  <si>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</si>
  <si>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</si>
  <si>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</si>
  <si>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</si>
  <si>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</si>
  <si>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</si>
  <si>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</si>
  <si>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</si>
  <si>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</si>
  <si>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</si>
  <si>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</si>
  <si>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</si>
  <si>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</si>
  <si>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</si>
  <si>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</si>
  <si>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</si>
  <si>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</si>
  <si>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</si>
  <si>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</si>
  <si>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</si>
  <si>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</si>
  <si>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</si>
  <si>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</si>
  <si>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</si>
  <si>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</si>
  <si>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</si>
  <si>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</si>
  <si>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</si>
  <si>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</si>
  <si>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</si>
  <si>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</si>
  <si>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</si>
  <si>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</si>
  <si>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</si>
  <si>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</si>
  <si>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</si>
  <si>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</si>
  <si>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</si>
  <si>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</si>
  <si>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</si>
  <si>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</si>
  <si>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</si>
  <si>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</si>
  <si>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</si>
  <si>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</si>
  <si>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</si>
  <si>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</si>
  <si>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</si>
  <si>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</si>
  <si>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</si>
  <si>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</si>
  <si>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</si>
  <si>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</si>
  <si>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</si>
  <si>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</si>
  <si>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</si>
  <si>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</si>
  <si>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</si>
  <si>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</si>
  <si>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</si>
  <si>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</si>
  <si>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</si>
  <si>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</si>
  <si>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</si>
  <si>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</si>
  <si>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</si>
  <si>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</si>
  <si>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</si>
  <si>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</si>
  <si>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</si>
  <si>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</si>
  <si>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</si>
  <si>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</si>
  <si>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</si>
  <si>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</si>
  <si>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</si>
  <si>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</si>
  <si>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</si>
  <si>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</si>
  <si>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</si>
  <si>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</si>
  <si>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</si>
  <si>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</si>
  <si>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</si>
  <si>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</si>
  <si>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</si>
  <si>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</si>
  <si>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</si>
  <si>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</si>
  <si>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</si>
  <si>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</si>
  <si>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</si>
  <si>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</si>
  <si>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</si>
  <si>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</si>
  <si>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</si>
  <si>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</si>
  <si>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</si>
  <si>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</si>
  <si>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</si>
  <si>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</si>
  <si>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</si>
  <si>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</si>
  <si>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</si>
  <si>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</si>
  <si>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</si>
  <si>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</si>
  <si>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</si>
  <si>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</si>
  <si>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</si>
  <si>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</si>
  <si>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</si>
  <si>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</si>
  <si>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</si>
  <si>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</si>
  <si>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</si>
  <si>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</si>
  <si>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</si>
  <si>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</si>
  <si>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</si>
  <si>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</si>
  <si>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</si>
  <si>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</si>
  <si>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</si>
  <si>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</si>
  <si>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</si>
  <si>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</si>
  <si>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</si>
  <si>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</si>
  <si>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</si>
  <si>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</si>
  <si>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</si>
  <si>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</si>
  <si>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</si>
  <si>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</si>
  <si>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</si>
  <si>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</si>
  <si>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</si>
  <si>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</si>
  <si>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</si>
  <si>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</si>
  <si>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</si>
  <si>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</si>
  <si>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</si>
  <si>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</si>
  <si>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</si>
  <si>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</si>
  <si>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</si>
  <si>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</si>
  <si>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</si>
  <si>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</si>
  <si>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</si>
  <si>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</si>
  <si>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</si>
  <si>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</si>
  <si>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</si>
  <si>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</si>
  <si>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</si>
  <si>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</si>
  <si>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</si>
  <si>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</si>
  <si>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</si>
  <si>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</si>
  <si>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</si>
  <si>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</si>
  <si>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</si>
  <si>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</si>
  <si>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</si>
  <si>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</si>
  <si>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</si>
  <si>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</si>
  <si>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</si>
  <si>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</si>
  <si>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</si>
  <si>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</si>
  <si>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</si>
  <si>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</si>
  <si>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</si>
  <si>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</si>
  <si>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</si>
  <si>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</si>
  <si>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</si>
  <si>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</si>
  <si>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</si>
  <si>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</si>
  <si>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</si>
  <si>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</si>
  <si>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</si>
  <si>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</si>
  <si>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</si>
  <si>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</si>
  <si>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</si>
  <si>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</si>
  <si>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</si>
  <si>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</si>
  <si>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</si>
  <si>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</si>
  <si>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</si>
  <si>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</si>
  <si>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</si>
  <si>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</si>
  <si>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</si>
  <si>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</si>
  <si>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</si>
  <si>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</si>
  <si>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</si>
  <si>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</si>
  <si>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</si>
  <si>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</si>
  <si>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</si>
  <si>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</si>
  <si>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</si>
  <si>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</si>
  <si>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</si>
  <si>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</si>
  <si>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</si>
  <si>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</si>
  <si>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</si>
  <si>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</si>
  <si>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</si>
  <si>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</si>
  <si>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</si>
  <si>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</si>
  <si>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</si>
  <si>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</si>
  <si>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</si>
  <si>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</si>
  <si>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</si>
  <si>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</si>
  <si>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</si>
  <si>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</si>
  <si>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</si>
  <si>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</si>
  <si>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</si>
  <si>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</si>
  <si>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</si>
  <si>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</si>
  <si>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</si>
  <si>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</si>
  <si>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</si>
  <si>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</si>
  <si>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</si>
  <si>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</si>
  <si>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</si>
  <si>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</si>
  <si>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</si>
  <si>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</si>
  <si>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</si>
  <si>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</si>
  <si>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</si>
  <si>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</si>
  <si>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</si>
  <si>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</si>
  <si>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</si>
  <si>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</si>
  <si>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</si>
  <si>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</si>
  <si>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</si>
  <si>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</si>
  <si>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</si>
  <si>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</si>
  <si>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</si>
  <si>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</si>
  <si>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</si>
  <si>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</si>
  <si>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</si>
  <si>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</si>
  <si>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</si>
  <si>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</si>
  <si>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</si>
  <si>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</si>
  <si>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</si>
  <si>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</si>
  <si>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</si>
  <si>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</si>
  <si>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</si>
  <si>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</si>
  <si>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</si>
  <si>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</si>
  <si>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</si>
  <si>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</si>
  <si>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</si>
  <si>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</si>
  <si>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</si>
  <si>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</si>
  <si>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</si>
  <si>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</si>
  <si>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</si>
  <si>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</si>
  <si>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</si>
  <si>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</si>
  <si>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</si>
  <si>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</si>
  <si>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</si>
  <si>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</si>
  <si>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</si>
  <si>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</si>
  <si>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</si>
  <si>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</si>
  <si>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</si>
  <si>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</si>
  <si>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</si>
  <si>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</si>
  <si>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</si>
  <si>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</si>
  <si>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</si>
  <si>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</si>
  <si>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</si>
  <si>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</si>
  <si>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</si>
  <si>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</si>
  <si>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</si>
  <si>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</si>
  <si>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</si>
  <si>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</si>
  <si>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</si>
  <si>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</si>
  <si>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</si>
  <si>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</si>
  <si>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</si>
  <si>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</si>
  <si>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</si>
  <si>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</si>
  <si>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</si>
  <si>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</si>
  <si>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</si>
  <si>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</si>
  <si>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</si>
  <si>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</si>
  <si>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</si>
  <si>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</si>
  <si>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</si>
  <si>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</si>
  <si>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</si>
  <si>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</si>
  <si>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</si>
  <si>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</si>
  <si>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</si>
  <si>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</si>
  <si>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</si>
  <si>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</si>
  <si>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</si>
  <si>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</si>
  <si>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</si>
  <si>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</si>
  <si>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</si>
  <si>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</si>
  <si>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</si>
  <si>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</si>
  <si>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</si>
  <si>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</si>
  <si>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</si>
  <si>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</si>
  <si>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</si>
  <si>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</si>
  <si>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</si>
  <si>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</si>
  <si>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</si>
  <si>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</si>
  <si>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</si>
  <si>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</si>
  <si>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</si>
  <si>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</si>
  <si>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</si>
  <si>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</si>
  <si>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</si>
  <si>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</si>
  <si>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</si>
  <si>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</si>
  <si>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</si>
  <si>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</si>
  <si>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</si>
  <si>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</si>
  <si>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</si>
  <si>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</si>
  <si>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</si>
  <si>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</si>
  <si>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</si>
  <si>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</si>
  <si>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</si>
  <si>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</si>
  <si>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</si>
  <si>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</si>
  <si>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</si>
  <si>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</si>
  <si>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</si>
  <si>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</si>
  <si>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</si>
  <si>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</si>
  <si>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</si>
  <si>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</si>
  <si>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</si>
  <si>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</si>
  <si>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</si>
  <si>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</si>
  <si>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</si>
  <si>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</si>
  <si>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</si>
  <si>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</si>
  <si>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</si>
  <si>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</si>
  <si>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</si>
  <si>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</si>
  <si>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</si>
  <si>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</si>
  <si>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</si>
  <si>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</si>
  <si>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</si>
  <si>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</si>
  <si>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</si>
  <si>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</si>
  <si>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</si>
  <si>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</si>
  <si>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</si>
  <si>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</si>
  <si>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</si>
  <si>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</si>
  <si>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</si>
  <si>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</si>
  <si>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</si>
  <si>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</si>
  <si>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</si>
  <si>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</si>
  <si>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</si>
  <si>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</si>
  <si>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</si>
  <si>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</si>
  <si>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</si>
  <si>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</si>
  <si>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</si>
  <si>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</si>
  <si>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</si>
  <si>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</si>
  <si>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</si>
  <si>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</si>
  <si>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</si>
  <si>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</si>
  <si>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</si>
  <si>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</si>
  <si>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</si>
  <si>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</si>
  <si>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</si>
  <si>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</si>
  <si>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</si>
  <si>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</si>
  <si>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</si>
  <si>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</si>
  <si>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</si>
  <si>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</si>
  <si>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</si>
  <si>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</si>
  <si>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</si>
  <si>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</si>
  <si>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</si>
  <si>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</si>
  <si>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</si>
  <si>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</si>
  <si>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</si>
  <si>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</si>
  <si>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</si>
  <si>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</si>
  <si>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</si>
  <si>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</si>
  <si>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</si>
  <si>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</si>
  <si>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</si>
  <si>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</si>
  <si>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</si>
  <si>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</si>
  <si>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</si>
  <si>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</si>
  <si>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</si>
  <si>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</si>
  <si>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</si>
  <si>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</si>
  <si>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</si>
  <si>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</si>
  <si>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</si>
  <si>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</si>
  <si>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</si>
  <si>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</si>
  <si>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</si>
  <si>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</si>
  <si>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</si>
  <si>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</si>
  <si>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</si>
  <si>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</si>
  <si>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</si>
  <si>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</si>
  <si>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</si>
  <si>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</si>
  <si>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</si>
  <si>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</si>
  <si>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</si>
  <si>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</si>
  <si>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</si>
  <si>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</si>
  <si>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</si>
  <si>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</si>
  <si>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</si>
  <si>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</si>
  <si>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</si>
  <si>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</si>
  <si>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</si>
  <si>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</si>
  <si>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</si>
  <si>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</si>
  <si>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</si>
  <si>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</si>
  <si>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</si>
  <si>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</si>
  <si>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</si>
  <si>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</si>
  <si>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</si>
  <si>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</si>
  <si>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</si>
  <si>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</si>
  <si>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</si>
  <si>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</si>
  <si>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</si>
  <si>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</si>
  <si>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</si>
  <si>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</si>
  <si>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</si>
  <si>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</si>
  <si>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</si>
  <si>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</si>
  <si>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</si>
  <si>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</si>
  <si>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</si>
  <si>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</si>
  <si>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</si>
  <si>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</si>
  <si>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</si>
  <si>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</si>
  <si>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</si>
  <si>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</si>
  <si>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</si>
  <si>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</si>
  <si>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</si>
  <si>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</si>
  <si>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</si>
  <si>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</si>
  <si>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</si>
  <si>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</si>
  <si>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</si>
  <si>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</si>
  <si>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</si>
  <si>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</si>
  <si>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</si>
  <si>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</si>
  <si>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</si>
  <si>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</si>
  <si>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</si>
  <si>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</si>
  <si>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</si>
  <si>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</si>
  <si>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</si>
  <si>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</si>
  <si>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</si>
  <si>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</si>
  <si>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</si>
  <si>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</si>
  <si>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</si>
  <si>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</si>
  <si>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</si>
  <si>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</si>
  <si>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</si>
  <si>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</si>
  <si>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</si>
  <si>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</si>
  <si>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</si>
  <si>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</si>
  <si>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</si>
  <si>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</si>
  <si>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</si>
  <si>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</si>
  <si>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</si>
  <si>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</si>
  <si>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</si>
  <si>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</si>
  <si>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</si>
  <si>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</si>
  <si>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</si>
  <si>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</si>
  <si>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</si>
  <si>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</si>
  <si>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</si>
  <si>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</si>
  <si>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</si>
  <si>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</si>
  <si>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</si>
  <si>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</si>
  <si>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</si>
  <si>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</si>
  <si>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</si>
  <si>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</si>
  <si>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</si>
  <si>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</si>
  <si>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</si>
  <si>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</si>
  <si>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</si>
  <si>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</si>
  <si>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</si>
  <si>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</si>
  <si>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</si>
  <si>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</si>
  <si>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</si>
  <si>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</si>
  <si>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</si>
  <si>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</si>
  <si>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</si>
  <si>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</si>
  <si>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</si>
  <si>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</si>
  <si>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</si>
  <si>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</si>
  <si>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</si>
  <si>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</si>
  <si>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</si>
  <si>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</si>
  <si>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</si>
  <si>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</si>
  <si>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</si>
  <si>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</si>
  <si>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</si>
  <si>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</si>
  <si>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</si>
  <si>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</si>
  <si>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</si>
  <si>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</si>
  <si>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</si>
  <si>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</si>
  <si>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</si>
  <si>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</si>
  <si>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</si>
  <si>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</si>
  <si>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</si>
  <si>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</si>
  <si>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</si>
  <si>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</si>
  <si>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</si>
  <si>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</si>
  <si>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</si>
  <si>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</si>
  <si>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</si>
  <si>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</si>
  <si>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</si>
  <si>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</si>
  <si>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</si>
  <si>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</si>
  <si>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</si>
  <si>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</si>
  <si>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</si>
  <si>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</si>
  <si>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</si>
  <si>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</si>
  <si>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</si>
  <si>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</si>
  <si>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</si>
  <si>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</si>
  <si>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</si>
  <si>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</si>
  <si>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</si>
  <si>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</si>
  <si>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</si>
  <si>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</si>
  <si>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</si>
  <si>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</si>
  <si>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</si>
  <si>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</si>
  <si>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</si>
  <si>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</si>
  <si>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</si>
  <si>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</si>
  <si>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</si>
  <si>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</si>
  <si>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</si>
  <si>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</si>
  <si>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</si>
  <si>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</si>
  <si>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</si>
  <si>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</si>
  <si>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</si>
  <si>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</si>
  <si>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</si>
  <si>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</si>
  <si>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</si>
  <si>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</si>
  <si>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</si>
  <si>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</si>
  <si>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</si>
  <si>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</si>
  <si>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</si>
  <si>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</si>
  <si>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</si>
  <si>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</si>
  <si>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</si>
  <si>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</si>
  <si>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</si>
  <si>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</si>
  <si>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</si>
  <si>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</si>
  <si>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</si>
  <si>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</si>
  <si>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</si>
  <si>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</si>
  <si>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</si>
  <si>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</si>
  <si>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</si>
  <si>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</si>
  <si>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</si>
  <si>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</si>
  <si>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</si>
  <si>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</si>
  <si>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</si>
  <si>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</si>
  <si>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</si>
  <si>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</si>
  <si>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</si>
  <si>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</si>
  <si>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</si>
  <si>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</si>
  <si>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</si>
  <si>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</si>
  <si>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</si>
  <si>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</si>
  <si>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</si>
  <si>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</si>
  <si>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</si>
  <si>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</si>
  <si>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</si>
  <si>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</si>
  <si>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</si>
  <si>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</si>
  <si>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</si>
  <si>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</si>
  <si>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</si>
  <si>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</si>
  <si>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</si>
  <si>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</si>
  <si>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</si>
  <si>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</si>
  <si>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</si>
  <si>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</si>
  <si>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</si>
  <si>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</si>
  <si>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</si>
  <si>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</si>
  <si>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</si>
  <si>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</si>
  <si>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</si>
  <si>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</si>
  <si>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</si>
  <si>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</si>
  <si>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</si>
  <si>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</si>
  <si>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</si>
  <si>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</si>
  <si>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</si>
  <si>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</si>
  <si>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</si>
  <si>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</si>
  <si>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</si>
  <si>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</si>
  <si>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</si>
  <si>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</si>
  <si>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C:\Users\hector.guillen\EUROLEAGUE\EB STATS - Documents\General\SEASON 2025-26\Reports\Eurocup</t>
  </si>
  <si>
    <t>C:\Users\hector.guillen\EUROLEAGUE\EB STATS - Documents\General\SEASON 2025-26\Reports\Eurocup\PDF</t>
  </si>
  <si>
    <t>KONSTANTINOS KRANIOTIS</t>
  </si>
  <si>
    <t>IOANNIS TRIANTAFYLLOU</t>
  </si>
  <si>
    <t>PANAGIOTIS ANTONOPOULOS</t>
  </si>
  <si>
    <t>EVGENIA MALLOUCHOU</t>
  </si>
  <si>
    <t>HECTOR GUILLEN</t>
  </si>
  <si>
    <t>1:30</t>
  </si>
  <si>
    <t>Very good scouting!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</si>
</sst>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15_150_NIO_TTK_U2025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150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46043.8125</v>
      </c>
      <c r="C3" s="157"/>
      <c r="D3" s="39">
        <v>573</v>
      </c>
      <c r="E3" s="29"/>
      <c r="F3" s="26">
        <f>SUBTOTAL(3,I17:I106)</f>
        <v>1</v>
      </c>
      <c r="G3" s="27">
        <f>IF(OR(D3="",D3=0),"",F3/D3)</f>
        <v>1.7452006980802793E-3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Panionios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NIO</v>
      </c>
      <c r="I4" s="5"/>
      <c r="J4" s="119" t="s">
        <v>714</v>
      </c>
      <c r="K4" s="54" t="s">
        <v>742</v>
      </c>
      <c r="L4" s="5"/>
      <c r="M4" s="167" t="s">
        <v>833</v>
      </c>
      <c r="N4" s="168"/>
      <c r="O4" s="2"/>
      <c r="P4" s="2"/>
      <c r="Q4" s="84" t="s">
        <v>175</v>
      </c>
      <c r="R4" s="94">
        <f>(IF(G3="",0,G3))</f>
        <v>1.7452006980802793E-3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Turk Telekom Ankara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TTK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0.17452006980802792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1.174520069808028</v>
      </c>
      <c r="N7" s="58"/>
      <c r="O7" s="2"/>
      <c r="P7" s="2"/>
      <c r="Q7" s="86">
        <f>SUM(R5,S5,AC16)</f>
        <v>1.174520069808028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1.174520069808028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150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150</v>
      </c>
      <c r="D17" s="32" t="s">
        <v>832</v>
      </c>
      <c r="E17" s="33">
        <v>1</v>
      </c>
      <c r="F17" s="36">
        <v>17</v>
      </c>
      <c r="G17" s="36">
        <v>12</v>
      </c>
      <c r="H17" s="38" t="str">
        <f>IF(I17="","",$I$14)</f>
        <v>SCOUTING</v>
      </c>
      <c r="I17" s="34">
        <v>116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REPORT_U2025150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"U2025150"</v>
      </c>
      <c r="F3" s="45" t="str">
        <f t="shared" ref="F3:F16" si="0">""""&amp;B3&amp;"""" &amp; " : " &amp;C3&amp;","</f>
        <v>"name" : "U2025150",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"U150"</v>
      </c>
      <c r="F4" s="45" t="str">
        <f t="shared" si="0"/>
        <v>"cod" : "U150",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150</v>
      </c>
      <c r="F6" s="45" t="str">
        <f t="shared" si="0"/>
        <v>"number" : 150,</v>
      </c>
    </row>
    <row r="7" spans="2:6" x14ac:dyDescent="0.25">
      <c r="B7" s="43" t="s">
        <v>116</v>
      </c>
      <c r="C7" s="43" t="str">
        <f ca="1">""""&amp;TEXT('SCOUT &amp; LOGISTICS'!B3,"dd/mm/aaaa")&amp;""""</f>
        <v>"21/01/Wednesday"</v>
      </c>
      <c r="F7" s="45" t="str">
        <f t="shared" ca="1" si="0"/>
        <v>"date" : "21/01/Wednesday",</v>
      </c>
    </row>
    <row r="8" spans="2:6" x14ac:dyDescent="0.25">
      <c r="B8" s="43" t="s">
        <v>125</v>
      </c>
      <c r="C8" s="43" t="str">
        <f>""""&amp;'SCOUT &amp; LOGISTICS'!D4 &amp;""""</f>
        <v>"Panionios Athens"</v>
      </c>
      <c r="F8" s="45" t="str">
        <f t="shared" si="0"/>
        <v>"home_team" : "Panionios Athens",</v>
      </c>
    </row>
    <row r="9" spans="2:6" x14ac:dyDescent="0.25">
      <c r="B9" s="43" t="s">
        <v>126</v>
      </c>
      <c r="C9" s="43" t="str">
        <f>""""&amp;'SCOUT &amp; LOGISTICS'!D5&amp;""""</f>
        <v>"Turk Telekom Ankara"</v>
      </c>
      <c r="F9" s="45" t="str">
        <f t="shared" si="0"/>
        <v>"away_team" : "Turk Telekom Ankara",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"IOANNIS TRIANTAFYLLOU"</v>
      </c>
      <c r="F11" s="45" t="str">
        <f t="shared" si="0"/>
        <v>"Caller_1" : "IOANNIS TRIANTAFYLLOU",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ANTONOPOULOS"</v>
      </c>
      <c r="F12" s="45" t="str">
        <f t="shared" si="0"/>
        <v>"Caller_2" : "PANAGIOTIS ANTONOPOULOS",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"ANGELOS KALOGERAKOS"</v>
      </c>
      <c r="F13" s="45" t="str">
        <f t="shared" si="0"/>
        <v>"Timerkeeper" : "ANGELOS KALOGERAKOS",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"EVGENIA MALLOUCHOU"</v>
      </c>
      <c r="F14" s="45" t="str">
        <f t="shared" si="0"/>
        <v>"Shotclock" : "EVGENIA MALLOUCHOU",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573</v>
      </c>
      <c r="F25" s="45" t="str">
        <f t="shared" ref="F25:F48" si="1">""""&amp;C25&amp;"""" &amp; " : " &amp;D25&amp;","</f>
        <v>"total_actions" : 573,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scouting! Keep it up!"</v>
      </c>
      <c r="F51" s="45" t="str">
        <f>""""&amp;B51&amp;"""" &amp; " : " &amp;C51&amp;","</f>
        <v>"comments" : "Very good scouting! Keep it up!",</v>
      </c>
    </row>
    <row r="52" spans="2:6" x14ac:dyDescent="0.25">
      <c r="B52" s="43" t="s">
        <v>153</v>
      </c>
      <c r="C52" s="43" t="str">
        <f>TEXT('SCOUT &amp; LOGISTICS'!F1,"0,0")</f>
        <v>15_150_NIO_TTK_U2025</v>
      </c>
      <c r="F52" s="45" t="str">
        <f>""""&amp;B52&amp;"""" &amp; " : " &amp;C52</f>
        <v>"result" : 15_150_NIO_TTK_U2025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U150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21/01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Panionios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Turk Telekom Ankara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IOANNIS TRIANTAFYLLOU</v>
      </c>
      <c r="H8" s="206"/>
      <c r="I8" s="206"/>
      <c r="J8" s="206"/>
      <c r="K8" s="206"/>
      <c r="L8" s="206" t="str">
        <f>IF('SCOUT &amp; LOGISTICS'!D8="","",'SCOUT &amp; LOGISTICS'!D8)</f>
        <v>PANAGIOTIS ANTONOPOULOS</v>
      </c>
      <c r="M8" s="206"/>
      <c r="N8" s="206"/>
      <c r="O8" s="206"/>
      <c r="P8" s="206"/>
      <c r="Q8" s="206" t="str">
        <f>IF('SCOUT &amp; LOGISTICS'!D9="","",'SCOUT &amp; LOGISTICS'!D9)</f>
        <v>ANGELOS KALOGERAKOS</v>
      </c>
      <c r="R8" s="206"/>
      <c r="S8" s="206"/>
      <c r="T8" s="206"/>
      <c r="U8" s="206"/>
      <c r="V8" s="206" t="str">
        <f>IF('SCOUT &amp; LOGISTICS'!D10="","",'SCOUT &amp; LOGISTICS'!D10)</f>
        <v>EVGENIA MALLOUCHOU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1.7452006980802793E-3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scouting!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1.174520069808028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CB37B4-2FB3-44D8-B4BD-C2B8F636248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2026-01-21T19:31:19Z</cp:lastPrinted>
  <dcterms:created xsi:type="dcterms:W3CDTF">2023-09-19T19:50:35Z</dcterms:created>
  <dcterms:modified xsi:type="dcterms:W3CDTF">2026-01-21T19:31:21Z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