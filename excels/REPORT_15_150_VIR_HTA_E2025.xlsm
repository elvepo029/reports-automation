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1" documentId="8_{7BF7FADD-C87F-4863-9D0B-AFD6468DF985}" xr6:coauthVersionLast="47" xr6:coauthVersionMax="47" xr10:uidLastSave="{969C7763-3C70-465E-AC37-CC4D82797287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<sst xmlns="http://schemas.openxmlformats.org/spreadsheetml/2006/main" count="3280" uniqueCount="766">
  <si>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</si>
  <si>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</si>
  <si>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</si>
  <si>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</si>
  <si>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</si>
  <si>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</si>
  <si>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</si>
  <si>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</si>
  <si>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</si>
  <si>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</si>
  <si>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</si>
  <si>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</si>
  <si>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</si>
  <si>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</si>
  <si>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</si>
  <si>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</si>
  <si>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</si>
  <si>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</si>
  <si>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</si>
  <si>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</si>
  <si>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</si>
  <si>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</si>
  <si>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</si>
  <si>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</si>
  <si>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</si>
  <si>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</si>
  <si>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</si>
  <si>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</si>
  <si>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</si>
  <si>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</si>
  <si>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</si>
  <si>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</si>
  <si>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</si>
  <si>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</si>
  <si>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</si>
  <si>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</si>
  <si>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</si>
  <si>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</si>
  <si>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</si>
  <si>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</si>
  <si>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</si>
  <si>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</si>
  <si>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</si>
  <si>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</si>
  <si>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</si>
  <si>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</si>
  <si>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</si>
  <si>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</si>
  <si>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</si>
  <si>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</si>
  <si>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</si>
  <si>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</si>
  <si>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</si>
  <si>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</si>
  <si>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</si>
  <si>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</si>
  <si>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</si>
  <si>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</si>
  <si>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</si>
  <si>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</si>
  <si>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</si>
  <si>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</si>
  <si>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</si>
  <si>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</si>
  <si>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</si>
  <si>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</si>
  <si>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</si>
  <si>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</si>
  <si>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</si>
  <si>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</si>
  <si>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</si>
  <si>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</si>
  <si>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</si>
  <si>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</si>
  <si>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</si>
  <si>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</si>
  <si>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</si>
  <si>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</si>
  <si>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</si>
  <si>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</si>
  <si>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</si>
  <si>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</si>
  <si>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</si>
  <si>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</si>
  <si>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</si>
  <si>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</si>
  <si>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</si>
  <si>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</si>
  <si>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</si>
  <si>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</si>
  <si>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</si>
  <si>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</si>
  <si>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</si>
  <si>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</si>
  <si>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</si>
  <si>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</si>
  <si>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</si>
  <si>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</si>
  <si>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</si>
  <si>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</si>
  <si>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</si>
  <si>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</si>
  <si>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</si>
  <si>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</si>
  <si>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</si>
  <si>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</si>
  <si>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</si>
  <si>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</si>
  <si>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</si>
  <si>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</si>
  <si>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</si>
  <si>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</si>
  <si>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</si>
  <si>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</si>
  <si>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</si>
  <si>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</si>
  <si>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</si>
  <si>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</si>
  <si>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</si>
  <si>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</si>
  <si>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</si>
  <si>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</si>
  <si>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</si>
  <si>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</si>
  <si>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</si>
  <si>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</si>
  <si>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</si>
  <si>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</si>
  <si>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</si>
  <si>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</si>
  <si>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</si>
  <si>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</si>
  <si>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</si>
  <si>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</si>
  <si>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</si>
  <si>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</si>
  <si>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</si>
  <si>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</si>
  <si>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</si>
  <si>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</si>
  <si>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</si>
  <si>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</si>
  <si>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</si>
  <si>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</si>
  <si>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</si>
  <si>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</si>
  <si>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</si>
  <si>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</si>
  <si>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</si>
  <si>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</si>
  <si>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</si>
  <si>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</si>
  <si>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</si>
  <si>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</si>
  <si>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</si>
  <si>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</si>
  <si>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</si>
  <si>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</si>
  <si>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</si>
  <si>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</si>
  <si>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</si>
  <si>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</si>
  <si>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</si>
  <si>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</si>
  <si>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</si>
  <si>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</si>
  <si>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</si>
  <si>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</si>
  <si>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</si>
  <si>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</si>
  <si>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</si>
  <si>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</si>
  <si>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</si>
  <si>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</si>
  <si>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</si>
  <si>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</si>
  <si>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</si>
  <si>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</si>
  <si>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</si>
  <si>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</si>
  <si>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</si>
  <si>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</si>
  <si>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</si>
  <si>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</si>
  <si>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</si>
  <si>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</si>
  <si>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</si>
  <si>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</si>
  <si>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</si>
  <si>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</si>
  <si>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</si>
  <si>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</si>
  <si>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</si>
  <si>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</si>
  <si>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</si>
  <si>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</si>
  <si>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</si>
  <si>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</si>
  <si>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</si>
  <si>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</si>
  <si>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</si>
  <si>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</si>
  <si>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</si>
  <si>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</si>
  <si>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</si>
  <si>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</si>
  <si>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</si>
  <si>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</si>
  <si>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</si>
  <si>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</si>
  <si>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</si>
  <si>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</si>
  <si>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</si>
  <si>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</si>
  <si>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</si>
  <si>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</si>
  <si>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</si>
  <si>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</si>
  <si>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</si>
  <si>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</si>
  <si>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</si>
  <si>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</si>
  <si>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</si>
  <si>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</si>
  <si>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</si>
  <si>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</si>
  <si>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</si>
  <si>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</si>
  <si>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</si>
  <si>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</si>
  <si>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</si>
  <si>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</si>
  <si>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</si>
  <si>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</si>
  <si>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</si>
  <si>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</si>
  <si>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</si>
  <si>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</si>
  <si>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</si>
  <si>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</si>
  <si>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</si>
  <si>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</si>
  <si>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</si>
  <si>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</si>
  <si>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</si>
  <si>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</si>
  <si>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</si>
  <si>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</si>
  <si>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</si>
  <si>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</si>
  <si>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</si>
  <si>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</si>
  <si>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</si>
  <si>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</si>
  <si>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</si>
  <si>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</si>
  <si>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</si>
  <si>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</si>
  <si>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</si>
  <si>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</si>
  <si>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</si>
  <si>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</si>
  <si>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</si>
  <si>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</si>
  <si>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</si>
  <si>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</si>
  <si>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</si>
  <si>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</si>
  <si>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</si>
  <si>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</si>
  <si>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</si>
  <si>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</si>
  <si>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</si>
  <si>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</si>
  <si>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</si>
  <si>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</si>
  <si>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</si>
  <si>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</si>
  <si>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</si>
  <si>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</si>
  <si>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</si>
  <si>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</si>
  <si>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</si>
  <si>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</si>
  <si>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</si>
  <si>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</si>
  <si>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</si>
  <si>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</si>
  <si>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</si>
  <si>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</si>
  <si>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</si>
  <si>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</si>
  <si>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</si>
  <si>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</si>
  <si>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</si>
  <si>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</si>
  <si>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</si>
  <si>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</si>
  <si>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</si>
  <si>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</si>
  <si>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</si>
  <si>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</si>
  <si>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</si>
  <si>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</si>
  <si>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</si>
  <si>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</si>
  <si>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</si>
  <si>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</si>
  <si>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</si>
  <si>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</si>
  <si>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</si>
  <si>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</si>
  <si>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</si>
  <si>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</si>
  <si>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</si>
  <si>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</si>
  <si>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</si>
  <si>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</si>
  <si>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</si>
  <si>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</si>
  <si>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</si>
  <si>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</si>
  <si>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</si>
  <si>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</si>
  <si>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</si>
  <si>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</si>
  <si>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</si>
  <si>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</si>
  <si>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</si>
  <si>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</si>
  <si>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</si>
  <si>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</si>
  <si>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</si>
  <si>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</si>
  <si>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</si>
  <si>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</si>
  <si>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</si>
  <si>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</si>
  <si>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</si>
  <si>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</si>
  <si>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</si>
  <si>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</si>
  <si>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</si>
  <si>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</si>
  <si>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</si>
  <si>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</si>
  <si>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</si>
  <si>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</si>
  <si>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</si>
  <si>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</si>
  <si>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</si>
  <si>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</si>
  <si>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</si>
  <si>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</si>
  <si>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</si>
  <si>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</si>
  <si>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</si>
  <si>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</si>
  <si>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</si>
  <si>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</si>
  <si>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</si>
  <si>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</si>
  <si>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</si>
  <si>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</si>
  <si>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</si>
  <si>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</si>
  <si>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</si>
  <si>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</si>
  <si>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</si>
  <si>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</si>
  <si>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</si>
  <si>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</si>
  <si>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</si>
  <si>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</si>
  <si>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</si>
  <si>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</si>
  <si>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</si>
  <si>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</si>
  <si>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</si>
  <si>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</si>
  <si>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</si>
  <si>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</si>
  <si>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</si>
  <si>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</si>
  <si>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</si>
  <si>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</si>
  <si>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</si>
  <si>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</si>
  <si>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</si>
  <si>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</si>
  <si>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</si>
  <si>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</si>
  <si>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</si>
  <si>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</si>
  <si>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</si>
  <si>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</si>
  <si>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</si>
  <si>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</si>
  <si>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</si>
  <si>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</si>
  <si>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</si>
  <si>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</si>
  <si>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</si>
  <si>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</si>
  <si>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</si>
  <si>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</si>
  <si>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</si>
  <si>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</si>
  <si>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</si>
  <si>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</si>
  <si>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</si>
  <si>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</si>
  <si>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</si>
  <si>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</si>
  <si>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</si>
  <si>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</si>
  <si>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</si>
  <si>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</si>
  <si>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</si>
  <si>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</si>
  <si>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</si>
  <si>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</si>
  <si>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</si>
  <si>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</si>
  <si>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</si>
  <si>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</si>
  <si>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</si>
  <si>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</si>
  <si>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</si>
  <si>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</si>
  <si>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</si>
  <si>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</si>
  <si>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</si>
  <si>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</si>
  <si>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</si>
  <si>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</si>
  <si>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</si>
  <si>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</si>
  <si>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</si>
  <si>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</si>
  <si>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</si>
  <si>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</si>
  <si>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</si>
  <si>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</si>
  <si>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</si>
  <si>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</si>
  <si>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</si>
  <si>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</si>
  <si>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</si>
  <si>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</si>
  <si>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</si>
  <si>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</si>
  <si>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</si>
  <si>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</si>
  <si>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</si>
  <si>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</si>
  <si>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</si>
  <si>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</si>
  <si>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</si>
  <si>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</si>
  <si>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</si>
  <si>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</si>
  <si>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</si>
  <si>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</si>
  <si>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</si>
  <si>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</si>
  <si>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</si>
  <si>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</si>
  <si>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</si>
  <si>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</si>
  <si>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</si>
  <si>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</si>
  <si>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</si>
  <si>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</si>
  <si>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</si>
  <si>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</si>
  <si>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</si>
  <si>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</si>
  <si>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</si>
  <si>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</si>
  <si>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</si>
  <si>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</si>
  <si>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</si>
  <si>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</si>
  <si>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</si>
  <si>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</si>
  <si>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</si>
  <si>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</si>
  <si>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</si>
  <si>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</si>
  <si>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</si>
  <si>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</si>
  <si>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</si>
  <si>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</si>
  <si>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</si>
  <si>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</si>
  <si>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</si>
  <si>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</si>
  <si>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</si>
  <si>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</si>
  <si>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</si>
  <si>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</si>
  <si>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</si>
  <si>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</si>
  <si>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</si>
  <si>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</si>
  <si>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</si>
  <si>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</si>
  <si>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</si>
  <si>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</si>
  <si>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</si>
  <si>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</si>
  <si>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</si>
  <si>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</si>
  <si>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</si>
  <si>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</si>
  <si>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</si>
  <si>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</si>
  <si>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</si>
  <si>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</si>
  <si>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</si>
  <si>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</si>
  <si>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</si>
  <si>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</si>
  <si>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</si>
  <si>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</si>
  <si>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</si>
  <si>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</si>
  <si>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</si>
  <si>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</si>
  <si>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</si>
  <si>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</si>
  <si>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</si>
  <si>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</si>
  <si>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</si>
  <si>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</si>
  <si>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</si>
  <si>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</si>
  <si>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</si>
  <si>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</si>
  <si>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</si>
  <si>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</si>
  <si>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</si>
  <si>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</si>
  <si>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</si>
  <si>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</si>
  <si>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</si>
  <si>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</si>
  <si>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</si>
  <si>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</si>
  <si>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</si>
  <si>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</si>
  <si>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</si>
  <si>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</si>
  <si>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</si>
  <si>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</si>
  <si>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</si>
  <si>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</si>
  <si>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</si>
  <si>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</si>
  <si>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</si>
  <si>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</si>
  <si>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</si>
  <si>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</si>
  <si>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</si>
  <si>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</si>
  <si>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</si>
  <si>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</si>
  <si>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</si>
  <si>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</si>
  <si>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</si>
  <si>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</si>
  <si>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</si>
  <si>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</si>
  <si>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</si>
  <si>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</si>
  <si>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</si>
  <si>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</si>
  <si>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</si>
  <si>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</si>
  <si>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</si>
  <si>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</si>
  <si>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</si>
  <si>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</si>
  <si>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</si>
  <si>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</si>
  <si>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</si>
  <si>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</si>
  <si>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</si>
  <si>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</si>
  <si>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</si>
  <si>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</si>
  <si>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</si>
  <si>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</si>
  <si>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</si>
  <si>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</si>
  <si>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</si>
  <si>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</si>
  <si>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</si>
  <si>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</si>
  <si>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</si>
  <si>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</si>
  <si>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</si>
  <si>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</si>
  <si>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</si>
  <si>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</si>
  <si>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</si>
  <si>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</si>
  <si>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</si>
  <si>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</si>
  <si>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</si>
  <si>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</si>
  <si>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</si>
  <si>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</si>
  <si>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</si>
  <si>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</si>
  <si>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</si>
  <si>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</si>
  <si>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</si>
  <si>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</si>
  <si>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</si>
  <si>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</si>
  <si>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</si>
  <si>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</si>
  <si>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</si>
  <si>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</si>
  <si>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</si>
  <si>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</si>
  <si>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</si>
  <si>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</si>
  <si>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</si>
  <si>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</si>
  <si>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</si>
  <si>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</si>
  <si>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</si>
  <si>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</si>
  <si>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</si>
  <si>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</si>
  <si>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</si>
  <si>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</si>
  <si>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</si>
  <si>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</si>
  <si>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</si>
  <si>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</si>
  <si>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</si>
  <si>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</si>
  <si>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</si>
  <si>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</si>
  <si>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</si>
  <si>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</si>
  <si>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</si>
  <si>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</si>
  <si>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</si>
  <si>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</si>
  <si>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</si>
  <si>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</si>
  <si>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</si>
  <si>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</si>
  <si>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</si>
  <si>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</si>
  <si>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</si>
  <si>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</si>
  <si>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</si>
  <si>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</si>
  <si>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</si>
  <si>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</si>
  <si>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</si>
  <si>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</si>
  <si>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</si>
  <si>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</si>
  <si>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</si>
  <si>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</si>
  <si>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</si>
  <si>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</si>
  <si>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</si>
  <si>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</si>
  <si>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</si>
  <si>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</si>
  <si>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</si>
  <si>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</si>
  <si>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</si>
  <si>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</si>
  <si>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</si>
  <si>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</si>
  <si>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</si>
  <si>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</si>
  <si>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</si>
  <si>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</si>
  <si>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</si>
  <si>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</si>
  <si>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</si>
  <si>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</si>
  <si>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</si>
  <si>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</si>
  <si>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</si>
  <si>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</si>
  <si>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</si>
  <si>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</si>
  <si>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</si>
  <si>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</si>
  <si>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</si>
  <si>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</si>
  <si>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</si>
  <si>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</si>
  <si>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</si>
  <si>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</si>
  <si>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</si>
  <si>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</si>
  <si>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</si>
  <si>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</si>
  <si>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</si>
  <si>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</si>
  <si>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</si>
  <si>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</si>
  <si>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</si>
  <si>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</si>
  <si>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</si>
  <si>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</si>
  <si>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</si>
  <si>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</si>
  <si>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</si>
  <si>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</si>
  <si>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</si>
  <si>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</si>
  <si>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</si>
  <si>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</si>
  <si>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</si>
  <si>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</si>
  <si>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</si>
  <si>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</si>
  <si>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</si>
  <si>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</si>
  <si>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</si>
  <si>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</si>
  <si>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</si>
  <si>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</si>
  <si>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</si>
  <si>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</si>
  <si>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</si>
  <si>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</si>
  <si>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</si>
  <si>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</si>
  <si>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</si>
  <si>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</si>
  <si>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</si>
  <si>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</si>
  <si>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</si>
  <si>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</si>
  <si>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</si>
  <si>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</si>
  <si>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GABRIELE PAGLIARA</t>
  </si>
  <si>
    <t>SIMONE LICEN</t>
  </si>
  <si>
    <t>MATTEO PAGLIARA</t>
  </si>
  <si>
    <t>FRANCESCA DONNICI</t>
  </si>
  <si>
    <t>LAURA PIOMBONI</t>
  </si>
  <si>
    <t>DAVIDE PEDRINI</t>
  </si>
  <si>
    <t>ORIOL GARCIA</t>
  </si>
  <si>
    <t>09:02</t>
  </si>
  <si>
    <t>07:44</t>
  </si>
  <si>
    <t>03:34</t>
  </si>
  <si>
    <t>01:24</t>
  </si>
  <si>
    <t>08:11</t>
  </si>
  <si>
    <t>07:00</t>
  </si>
  <si>
    <t>04:09</t>
  </si>
  <si>
    <t>Before the game the 2 laptops needs to be tested. Corrections mainly on assist. The corrections were good being done quite fast</t>
  </si>
  <si>
    <t>C:\Users\oriol.garcia\OneDrive - EUROLEAGUE\Documents\Season 25-26\Reports\Euroleague\Virtus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</si>
</sst>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5" sqref="N25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15_150_VIR_HTA_E2025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150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46003.854166666664</v>
      </c>
      <c r="C3" s="178"/>
      <c r="D3" s="39">
        <v>544</v>
      </c>
      <c r="E3" s="29"/>
      <c r="F3" s="26">
        <f>SUBTOTAL(3,I17:I106)</f>
        <v>7</v>
      </c>
      <c r="G3" s="27">
        <f>IF(OR(D3="",D3=0),"",F3/D3)</f>
        <v>1.2867647058823529E-2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764</v>
      </c>
      <c r="N4" s="186"/>
      <c r="O4" s="2"/>
      <c r="P4" s="2"/>
      <c r="Q4" s="84" t="s">
        <v>175</v>
      </c>
      <c r="R4" s="94">
        <f>(IF(G3="",0,G3))</f>
        <v>1.2867647058823529E-2</v>
      </c>
      <c r="S4" s="61">
        <f>SUM(I13:M13)</f>
        <v>6</v>
      </c>
      <c r="T4" s="78"/>
      <c r="U4" s="61">
        <f>AC18</f>
        <v>4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1.2867647058823528</v>
      </c>
      <c r="S5" s="70">
        <f t="shared" ref="S5" si="0">S4*S3</f>
        <v>6</v>
      </c>
      <c r="T5" s="92"/>
      <c r="U5" s="70">
        <f t="shared" ref="U5:AG5" si="1">U4*U3</f>
        <v>2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13.786764705882353</v>
      </c>
      <c r="N7" s="58"/>
      <c r="O7" s="2"/>
      <c r="P7" s="2"/>
      <c r="Q7" s="86">
        <f>SUM(R5,S5,AC16)</f>
        <v>13.786764705882353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13.786764705882353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150</v>
      </c>
      <c r="H12" s="40" t="str">
        <f>$I$10</f>
        <v>LOGISTICS</v>
      </c>
      <c r="I12" s="14" t="s">
        <v>17</v>
      </c>
      <c r="J12" s="15" t="s">
        <v>15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5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150</v>
      </c>
      <c r="D17" s="32" t="s">
        <v>757</v>
      </c>
      <c r="E17" s="33">
        <v>1</v>
      </c>
      <c r="F17" s="36">
        <v>3</v>
      </c>
      <c r="G17" s="36">
        <v>2</v>
      </c>
      <c r="H17" s="38" t="str">
        <f>IF(I17="","",$I$14)</f>
        <v>SCOUTING</v>
      </c>
      <c r="I17" s="34">
        <v>10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150</v>
      </c>
      <c r="D18" s="32" t="s">
        <v>758</v>
      </c>
      <c r="E18" s="33">
        <v>1</v>
      </c>
      <c r="F18" s="36">
        <v>3</v>
      </c>
      <c r="G18" s="36">
        <v>4</v>
      </c>
      <c r="H18" s="38" t="str">
        <f t="shared" ref="H18:H81" si="8">IF(I18="","",$I$14)</f>
        <v>SCOUTING</v>
      </c>
      <c r="I18" s="34">
        <v>23</v>
      </c>
      <c r="J18" s="13" t="s">
        <v>4</v>
      </c>
      <c r="K18" s="13" t="s">
        <v>62</v>
      </c>
      <c r="L18" s="13" t="s">
        <v>7</v>
      </c>
      <c r="M18" s="13" t="s">
        <v>37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150</v>
      </c>
      <c r="D19" s="32" t="s">
        <v>759</v>
      </c>
      <c r="E19" s="33">
        <v>1</v>
      </c>
      <c r="F19" s="36">
        <v>13</v>
      </c>
      <c r="G19" s="36">
        <v>15</v>
      </c>
      <c r="H19" s="38" t="str">
        <f t="shared" si="8"/>
        <v>SCOUTING</v>
      </c>
      <c r="I19" s="34">
        <v>75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150</v>
      </c>
      <c r="D20" s="32" t="s">
        <v>760</v>
      </c>
      <c r="E20" s="33">
        <v>1</v>
      </c>
      <c r="F20" s="36">
        <v>21</v>
      </c>
      <c r="G20" s="36">
        <v>17</v>
      </c>
      <c r="H20" s="38" t="str">
        <f t="shared" si="8"/>
        <v>SCOUTING</v>
      </c>
      <c r="I20" s="34">
        <v>101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1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150</v>
      </c>
      <c r="D21" s="32" t="s">
        <v>761</v>
      </c>
      <c r="E21" s="33">
        <v>3</v>
      </c>
      <c r="F21" s="36">
        <v>47</v>
      </c>
      <c r="G21" s="36">
        <v>41</v>
      </c>
      <c r="H21" s="38" t="str">
        <f t="shared" si="8"/>
        <v>SCOUTING</v>
      </c>
      <c r="I21" s="34">
        <v>288</v>
      </c>
      <c r="J21" s="13" t="s">
        <v>4</v>
      </c>
      <c r="K21" s="13" t="s">
        <v>63</v>
      </c>
      <c r="L21" s="13" t="s">
        <v>6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150</v>
      </c>
      <c r="D22" s="32" t="s">
        <v>762</v>
      </c>
      <c r="E22" s="33">
        <v>3</v>
      </c>
      <c r="F22" s="36">
        <v>49</v>
      </c>
      <c r="G22" s="36">
        <v>41</v>
      </c>
      <c r="H22" s="38" t="str">
        <f t="shared" si="8"/>
        <v>SCOUTING</v>
      </c>
      <c r="I22" s="34">
        <v>307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150</v>
      </c>
      <c r="D23" s="32" t="s">
        <v>763</v>
      </c>
      <c r="E23" s="33">
        <v>3</v>
      </c>
      <c r="F23" s="36">
        <v>52</v>
      </c>
      <c r="G23" s="36">
        <v>46</v>
      </c>
      <c r="H23" s="38" t="str">
        <f t="shared" si="8"/>
        <v>SCOUTING</v>
      </c>
      <c r="I23" s="34">
        <v>354</v>
      </c>
      <c r="J23" s="13" t="s">
        <v>4</v>
      </c>
      <c r="K23" s="13" t="s">
        <v>63</v>
      </c>
      <c r="L23" s="13" t="s">
        <v>6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1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REPORT_E2025150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"E2025150"</v>
      </c>
      <c r="F3" s="45" t="str">
        <f t="shared" ref="F3:F16" si="0">""""&amp;B3&amp;"""" &amp; " : " &amp;C3&amp;","</f>
        <v>"name" : "E2025150",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"E150"</v>
      </c>
      <c r="F4" s="45" t="str">
        <f t="shared" si="0"/>
        <v>"cod" : "E150",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150</v>
      </c>
      <c r="F6" s="45" t="str">
        <f t="shared" si="0"/>
        <v>"number" : 150,</v>
      </c>
    </row>
    <row r="7" spans="2:6" x14ac:dyDescent="0.25">
      <c r="B7" s="43" t="s">
        <v>116</v>
      </c>
      <c r="C7" s="43" t="str">
        <f ca="1">""""&amp;TEXT('SCOUT &amp; LOGISTICS'!B3,"dd/mm/aaaa")&amp;""""</f>
        <v>"12/12/Friday"</v>
      </c>
      <c r="F7" s="45" t="str">
        <f t="shared" ca="1" si="0"/>
        <v>"date" : "12/12/Friday",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"GABRIELE PAGLIARA"</v>
      </c>
      <c r="F10" s="45" t="str">
        <f t="shared" si="0"/>
        <v>"Data_entry" : "GABRIELE PAGLIARA",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"SIMONE LICEN"</v>
      </c>
      <c r="F11" s="45" t="str">
        <f t="shared" si="0"/>
        <v>"Caller_1" : "SIMONE LICEN",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"MATTEO PAGLIARA"</v>
      </c>
      <c r="F12" s="45" t="str">
        <f t="shared" si="0"/>
        <v>"Caller_2" : "MATTEO PAGLIARA",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"FRANCESCA DONNICI"</v>
      </c>
      <c r="F13" s="45" t="str">
        <f t="shared" si="0"/>
        <v>"Timerkeeper" : "FRANCESCA DONNICI",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"LAURA PIOMBONI"</v>
      </c>
      <c r="F14" s="45" t="str">
        <f t="shared" si="0"/>
        <v>"Shotclock" : "LAURA PIOMBONI",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"DAVIDE PEDRINI"</v>
      </c>
      <c r="F15" s="45" t="str">
        <f t="shared" si="0"/>
        <v>"IRS" : "DAVIDE PEDRINI",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"NO"</v>
      </c>
      <c r="F19" s="45" t="str">
        <f>""""&amp;C19&amp;"""" &amp; " : " &amp;D19&amp;","</f>
        <v>"check_list_on_time" : "NO",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544</v>
      </c>
      <c r="F25" s="45" t="str">
        <f t="shared" ref="F25:F48" si="1">""""&amp;C25&amp;"""" &amp; " : " &amp;D25&amp;","</f>
        <v>"total_actions" : 544,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"Before the game the 2 laptops needs to be tested. Corrections mainly on assist. The corrections were good being done quite fast"</v>
      </c>
      <c r="F51" s="45" t="str">
        <f>""""&amp;B51&amp;"""" &amp; " : " &amp;C51&amp;","</f>
        <v>"comments" : "Before the game the 2 laptops needs to be tested. Corrections mainly on assist. The corrections were good being done quite fast",</v>
      </c>
    </row>
    <row r="52" spans="2:6" x14ac:dyDescent="0.25">
      <c r="B52" s="43" t="s">
        <v>153</v>
      </c>
      <c r="C52" s="43" t="str">
        <f>TEXT('SCOUT &amp; LOGISTICS'!F1,"0,0")</f>
        <v>15_150_VIR_HTA_E2025</v>
      </c>
      <c r="F52" s="45" t="str">
        <f>""""&amp;B52&amp;"""" &amp; " : " &amp;C52</f>
        <v>"result" : 15_150_VIR_HTA_E2025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E150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12/12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GABRIELE PAGLIARA</v>
      </c>
      <c r="C8" s="201"/>
      <c r="D8" s="201"/>
      <c r="E8" s="201"/>
      <c r="F8" s="201"/>
      <c r="G8" s="201" t="str">
        <f>IF('SCOUT &amp; LOGISTICS'!D7="","",'SCOUT &amp; LOGISTICS'!D7)</f>
        <v>SIMONE LICEN</v>
      </c>
      <c r="H8" s="201"/>
      <c r="I8" s="201"/>
      <c r="J8" s="201"/>
      <c r="K8" s="201"/>
      <c r="L8" s="201" t="str">
        <f>IF('SCOUT &amp; LOGISTICS'!D8="","",'SCOUT &amp; LOGISTICS'!D8)</f>
        <v>MATTEO PAGLIARA</v>
      </c>
      <c r="M8" s="201"/>
      <c r="N8" s="201"/>
      <c r="O8" s="201"/>
      <c r="P8" s="201"/>
      <c r="Q8" s="201" t="str">
        <f>IF('SCOUT &amp; LOGISTICS'!D9="","",'SCOUT &amp; LOGISTICS'!D9)</f>
        <v>FRANCESCA DONNICI</v>
      </c>
      <c r="R8" s="201"/>
      <c r="S8" s="201"/>
      <c r="T8" s="201"/>
      <c r="U8" s="201"/>
      <c r="V8" s="201" t="str">
        <f>IF('SCOUT &amp; LOGISTICS'!D10="","",'SCOUT &amp; LOGISTICS'!D10)</f>
        <v>LAURA PIOMBONI</v>
      </c>
      <c r="W8" s="201"/>
      <c r="X8" s="201"/>
      <c r="Y8" s="201"/>
      <c r="Z8" s="201"/>
      <c r="AA8" s="201" t="str">
        <f>IF('SCOUT &amp; LOGISTICS'!D11="","",'SCOUT &amp; LOGISTICS'!D11)</f>
        <v>DAVIDE PEDRINI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NO</v>
      </c>
      <c r="I13" s="205"/>
      <c r="J13" s="205"/>
      <c r="K13" s="205"/>
      <c r="L13" s="205"/>
      <c r="M13" s="205"/>
      <c r="N13" s="205" t="str">
        <f>IF('SCOUT &amp; LOGISTICS'!K12="","",'SCOUT &amp; LOGISTICS'!K12)</f>
        <v>OK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544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7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1.2867647058823529E-2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3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3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7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Before the game the 2 laptops needs to be tested. Corrections mainly on assist. The corrections were good being done quite fast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13.786764705882353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D326282-0E33-4008-A25B-5FB672AD2DBC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2025-12-16T15:45:09Z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