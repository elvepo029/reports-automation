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5" documentId="8_{B05239B8-ABFF-46DF-94F7-0A62FD9F3B81}" xr6:coauthVersionLast="47" xr6:coauthVersionMax="47" xr10:uidLastSave="{5A90FB50-F106-477B-ABCA-33C629D80D5F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<sst xmlns="http://schemas.openxmlformats.org/spreadsheetml/2006/main" count="3260" uniqueCount="762">
  <si>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</si>
  <si>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</si>
  <si>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</si>
  <si>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</si>
  <si>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</si>
  <si>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</si>
  <si>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</si>
  <si>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</si>
  <si>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</si>
  <si>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</si>
  <si>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</si>
  <si>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</si>
  <si>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</si>
  <si>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</si>
  <si>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</si>
  <si>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</si>
  <si>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</si>
  <si>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</si>
  <si>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</si>
  <si>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</si>
  <si>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</si>
  <si>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</si>
  <si>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</si>
  <si>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</si>
  <si>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</si>
  <si>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</si>
  <si>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</si>
  <si>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</si>
  <si>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</si>
  <si>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</si>
  <si>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</si>
  <si>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</si>
  <si>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</si>
  <si>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</si>
  <si>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</si>
  <si>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</si>
  <si>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</si>
  <si>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</si>
  <si>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</si>
  <si>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</si>
  <si>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</si>
  <si>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</si>
  <si>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</si>
  <si>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</si>
  <si>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</si>
  <si>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</si>
  <si>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</si>
  <si>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</si>
  <si>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</si>
  <si>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</si>
  <si>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</si>
  <si>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</si>
  <si>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</si>
  <si>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</si>
  <si>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</si>
  <si>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</si>
  <si>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</si>
  <si>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</si>
  <si>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</si>
  <si>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</si>
  <si>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</si>
  <si>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</si>
  <si>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</si>
  <si>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</si>
  <si>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</si>
  <si>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</si>
  <si>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</si>
  <si>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</si>
  <si>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</si>
  <si>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</si>
  <si>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</si>
  <si>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</si>
  <si>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</si>
  <si>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</si>
  <si>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</si>
  <si>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</si>
  <si>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</si>
  <si>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</si>
  <si>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</si>
  <si>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</si>
  <si>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</si>
  <si>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</si>
  <si>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</si>
  <si>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</si>
  <si>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</si>
  <si>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</si>
  <si>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</si>
  <si>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</si>
  <si>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</si>
  <si>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</si>
  <si>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</si>
  <si>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</si>
  <si>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</si>
  <si>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</si>
  <si>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</si>
  <si>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</si>
  <si>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</si>
  <si>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</si>
  <si>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</si>
  <si>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</si>
  <si>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</si>
  <si>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</si>
  <si>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</si>
  <si>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</si>
  <si>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</si>
  <si>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</si>
  <si>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</si>
  <si>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</si>
  <si>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</si>
  <si>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</si>
  <si>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</si>
  <si>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</si>
  <si>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</si>
  <si>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</si>
  <si>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</si>
  <si>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</si>
  <si>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</si>
  <si>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</si>
  <si>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</si>
  <si>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</si>
  <si>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</si>
  <si>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</si>
  <si>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</si>
  <si>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</si>
  <si>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</si>
  <si>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</si>
  <si>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</si>
  <si>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</si>
  <si>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</si>
  <si>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</si>
  <si>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</si>
  <si>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</si>
  <si>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</si>
  <si>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</si>
  <si>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</si>
  <si>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</si>
  <si>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</si>
  <si>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</si>
  <si>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</si>
  <si>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</si>
  <si>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</si>
  <si>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</si>
  <si>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</si>
  <si>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</si>
  <si>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</si>
  <si>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</si>
  <si>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</si>
  <si>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</si>
  <si>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</si>
  <si>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</si>
  <si>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</si>
  <si>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</si>
  <si>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</si>
  <si>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</si>
  <si>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</si>
  <si>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</si>
  <si>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</si>
  <si>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</si>
  <si>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</si>
  <si>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</si>
  <si>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</si>
  <si>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</si>
  <si>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</si>
  <si>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</si>
  <si>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</si>
  <si>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</si>
  <si>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</si>
  <si>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</si>
  <si>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</si>
  <si>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</si>
  <si>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</si>
  <si>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</si>
  <si>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</si>
  <si>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</si>
  <si>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</si>
  <si>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</si>
  <si>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</si>
  <si>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</si>
  <si>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</si>
  <si>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</si>
  <si>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</si>
  <si>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</si>
  <si>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</si>
  <si>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</si>
  <si>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</si>
  <si>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</si>
  <si>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</si>
  <si>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</si>
  <si>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</si>
  <si>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</si>
  <si>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</si>
  <si>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</si>
  <si>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</si>
  <si>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</si>
  <si>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</si>
  <si>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</si>
  <si>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</si>
  <si>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</si>
  <si>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</si>
  <si>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</si>
  <si>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</si>
  <si>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</si>
  <si>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</si>
  <si>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</si>
  <si>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</si>
  <si>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</si>
  <si>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</si>
  <si>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</si>
  <si>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</si>
  <si>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</si>
  <si>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</si>
  <si>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</si>
  <si>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</si>
  <si>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</si>
  <si>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</si>
  <si>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</si>
  <si>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</si>
  <si>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</si>
  <si>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</si>
  <si>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</si>
  <si>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</si>
  <si>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</si>
  <si>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</si>
  <si>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</si>
  <si>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</si>
  <si>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</si>
  <si>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</si>
  <si>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</si>
  <si>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</si>
  <si>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</si>
  <si>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</si>
  <si>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</si>
  <si>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</si>
  <si>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</si>
  <si>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</si>
  <si>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</si>
  <si>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</si>
  <si>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</si>
  <si>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</si>
  <si>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</si>
  <si>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</si>
  <si>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</si>
  <si>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</si>
  <si>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</si>
  <si>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</si>
  <si>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</si>
  <si>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</si>
  <si>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</si>
  <si>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</si>
  <si>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</si>
  <si>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</si>
  <si>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</si>
  <si>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</si>
  <si>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</si>
  <si>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</si>
  <si>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</si>
  <si>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</si>
  <si>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</si>
  <si>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</si>
  <si>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</si>
  <si>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</si>
  <si>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</si>
  <si>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</si>
  <si>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</si>
  <si>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</si>
  <si>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</si>
  <si>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</si>
  <si>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</si>
  <si>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</si>
  <si>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</si>
  <si>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</si>
  <si>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</si>
  <si>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</si>
  <si>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</si>
  <si>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</si>
  <si>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</si>
  <si>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</si>
  <si>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</si>
  <si>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</si>
  <si>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</si>
  <si>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</si>
  <si>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</si>
  <si>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</si>
  <si>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</si>
  <si>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</si>
  <si>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</si>
  <si>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</si>
  <si>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</si>
  <si>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</si>
  <si>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</si>
  <si>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</si>
  <si>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</si>
  <si>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</si>
  <si>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</si>
  <si>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</si>
  <si>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</si>
  <si>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</si>
  <si>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</si>
  <si>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</si>
  <si>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</si>
  <si>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</si>
  <si>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</si>
  <si>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</si>
  <si>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</si>
  <si>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</si>
  <si>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</si>
  <si>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</si>
  <si>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</si>
  <si>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</si>
  <si>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</si>
  <si>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</si>
  <si>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</si>
  <si>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</si>
  <si>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</si>
  <si>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</si>
  <si>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</si>
  <si>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</si>
  <si>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</si>
  <si>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</si>
  <si>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</si>
  <si>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</si>
  <si>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</si>
  <si>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</si>
  <si>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</si>
  <si>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</si>
  <si>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</si>
  <si>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</si>
  <si>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</si>
  <si>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</si>
  <si>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</si>
  <si>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</si>
  <si>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</si>
  <si>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</si>
  <si>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</si>
  <si>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</si>
  <si>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</si>
  <si>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</si>
  <si>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</si>
  <si>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</si>
  <si>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</si>
  <si>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</si>
  <si>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</si>
  <si>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</si>
  <si>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</si>
  <si>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</si>
  <si>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</si>
  <si>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</si>
  <si>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</si>
  <si>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</si>
  <si>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</si>
  <si>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</si>
  <si>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</si>
  <si>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</si>
  <si>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</si>
  <si>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</si>
  <si>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</si>
  <si>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</si>
  <si>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</si>
  <si>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</si>
  <si>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</si>
  <si>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</si>
  <si>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</si>
  <si>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</si>
  <si>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</si>
  <si>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</si>
  <si>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</si>
  <si>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</si>
  <si>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</si>
  <si>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</si>
  <si>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</si>
  <si>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</si>
  <si>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</si>
  <si>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</si>
  <si>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</si>
  <si>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</si>
  <si>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</si>
  <si>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</si>
  <si>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</si>
  <si>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</si>
  <si>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</si>
  <si>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</si>
  <si>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</si>
  <si>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</si>
  <si>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</si>
  <si>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</si>
  <si>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</si>
  <si>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</si>
  <si>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</si>
  <si>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</si>
  <si>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</si>
  <si>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</si>
  <si>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</si>
  <si>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</si>
  <si>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</si>
  <si>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</si>
  <si>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</si>
  <si>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</si>
  <si>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</si>
  <si>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</si>
  <si>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</si>
  <si>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</si>
  <si>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</si>
  <si>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</si>
  <si>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</si>
  <si>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</si>
  <si>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</si>
  <si>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</si>
  <si>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</si>
  <si>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</si>
  <si>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</si>
  <si>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</si>
  <si>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</si>
  <si>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</si>
  <si>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</si>
  <si>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</si>
  <si>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</si>
  <si>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</si>
  <si>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</si>
  <si>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</si>
  <si>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</si>
  <si>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</si>
  <si>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</si>
  <si>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</si>
  <si>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</si>
  <si>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</si>
  <si>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</si>
  <si>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</si>
  <si>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</si>
  <si>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</si>
  <si>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</si>
  <si>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</si>
  <si>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</si>
  <si>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</si>
  <si>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</si>
  <si>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</si>
  <si>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</si>
  <si>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</si>
  <si>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</si>
  <si>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</si>
  <si>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</si>
  <si>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</si>
  <si>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</si>
  <si>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</si>
  <si>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</si>
  <si>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</si>
  <si>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</si>
  <si>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</si>
  <si>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</si>
  <si>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</si>
  <si>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</si>
  <si>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</si>
  <si>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</si>
  <si>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</si>
  <si>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</si>
  <si>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</si>
  <si>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</si>
  <si>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</si>
  <si>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</si>
  <si>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</si>
  <si>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</si>
  <si>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</si>
  <si>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</si>
  <si>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</si>
  <si>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</si>
  <si>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</si>
  <si>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</si>
  <si>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</si>
  <si>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</si>
  <si>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</si>
  <si>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</si>
  <si>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</si>
  <si>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</si>
  <si>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</si>
  <si>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</si>
  <si>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</si>
  <si>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</si>
  <si>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</si>
  <si>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</si>
  <si>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</si>
  <si>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</si>
  <si>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</si>
  <si>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</si>
  <si>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</si>
  <si>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</si>
  <si>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</si>
  <si>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</si>
  <si>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</si>
  <si>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</si>
  <si>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</si>
  <si>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</si>
  <si>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</si>
  <si>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</si>
  <si>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</si>
  <si>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</si>
  <si>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</si>
  <si>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</si>
  <si>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</si>
  <si>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</si>
  <si>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</si>
  <si>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</si>
  <si>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</si>
  <si>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</si>
  <si>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</si>
  <si>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</si>
  <si>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</si>
  <si>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</si>
  <si>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</si>
  <si>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</si>
  <si>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</si>
  <si>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</si>
  <si>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</si>
  <si>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</si>
  <si>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</si>
  <si>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</si>
  <si>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</si>
  <si>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</si>
  <si>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</si>
  <si>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</si>
  <si>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</si>
  <si>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</si>
  <si>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</si>
  <si>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</si>
  <si>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</si>
  <si>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</si>
  <si>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</si>
  <si>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</si>
  <si>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</si>
  <si>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</si>
  <si>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</si>
  <si>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</si>
  <si>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</si>
  <si>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</si>
  <si>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</si>
  <si>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</si>
  <si>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</si>
  <si>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</si>
  <si>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</si>
  <si>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</si>
  <si>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</si>
  <si>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</si>
  <si>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</si>
  <si>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</si>
  <si>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</si>
  <si>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</si>
  <si>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</si>
  <si>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</si>
  <si>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</si>
  <si>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</si>
  <si>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</si>
  <si>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</si>
  <si>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</si>
  <si>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</si>
  <si>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</si>
  <si>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</si>
  <si>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</si>
  <si>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</si>
  <si>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</si>
  <si>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</si>
  <si>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</si>
  <si>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</si>
  <si>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</si>
  <si>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</si>
  <si>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</si>
  <si>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</si>
  <si>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</si>
  <si>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</si>
  <si>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</si>
  <si>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</si>
  <si>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</si>
  <si>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</si>
  <si>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</si>
  <si>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</si>
  <si>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</si>
  <si>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</si>
  <si>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</si>
  <si>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</si>
  <si>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</si>
  <si>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</si>
  <si>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</si>
  <si>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</si>
  <si>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</si>
  <si>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</si>
  <si>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</si>
  <si>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</si>
  <si>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</si>
  <si>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</si>
  <si>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</si>
  <si>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</si>
  <si>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</si>
  <si>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</si>
  <si>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</si>
  <si>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</si>
  <si>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</si>
  <si>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</si>
  <si>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</si>
  <si>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</si>
  <si>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</si>
  <si>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</si>
  <si>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</si>
  <si>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</si>
  <si>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</si>
  <si>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</si>
  <si>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</si>
  <si>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</si>
  <si>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</si>
  <si>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</si>
  <si>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</si>
  <si>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</si>
  <si>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</si>
  <si>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</si>
  <si>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</si>
  <si>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</si>
  <si>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</si>
  <si>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</si>
  <si>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</si>
  <si>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</si>
  <si>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</si>
  <si>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</si>
  <si>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</si>
  <si>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</si>
  <si>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</si>
  <si>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</si>
  <si>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</si>
  <si>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</si>
  <si>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</si>
  <si>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</si>
  <si>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</si>
  <si>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</si>
  <si>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</si>
  <si>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</si>
  <si>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</si>
  <si>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</si>
  <si>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</si>
  <si>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</si>
  <si>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</si>
  <si>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</si>
  <si>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</si>
  <si>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</si>
  <si>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</si>
  <si>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</si>
  <si>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</si>
  <si>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</si>
  <si>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</si>
  <si>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</si>
  <si>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</si>
  <si>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</si>
  <si>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</si>
  <si>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</si>
  <si>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</si>
  <si>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</si>
  <si>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</si>
  <si>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</si>
  <si>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</si>
  <si>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</si>
  <si>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</si>
  <si>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</si>
  <si>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</si>
  <si>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</si>
  <si>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</si>
  <si>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</si>
  <si>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</si>
  <si>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</si>
  <si>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</si>
  <si>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</si>
  <si>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</si>
  <si>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</si>
  <si>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</si>
  <si>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</si>
  <si>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</si>
  <si>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</si>
  <si>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</si>
  <si>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</si>
  <si>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</si>
  <si>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</si>
  <si>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</si>
  <si>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</si>
  <si>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</si>
  <si>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</si>
  <si>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</si>
  <si>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</si>
  <si>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</si>
  <si>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</si>
  <si>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</si>
  <si>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</si>
  <si>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</si>
  <si>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</si>
  <si>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</si>
  <si>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</si>
  <si>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</si>
  <si>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</si>
  <si>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</si>
  <si>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</si>
  <si>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</si>
  <si>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</si>
  <si>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</si>
  <si>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</si>
  <si>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</si>
  <si>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</si>
  <si>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</si>
  <si>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</si>
  <si>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</si>
  <si>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</si>
  <si>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</si>
  <si>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</si>
  <si>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</si>
  <si>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</si>
  <si>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</si>
  <si>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</si>
  <si>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</si>
  <si>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</si>
  <si>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</si>
  <si>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</si>
  <si>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</si>
  <si>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</si>
  <si>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</si>
  <si>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</si>
  <si>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</si>
  <si>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</si>
  <si>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</si>
  <si>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</si>
  <si>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</si>
  <si>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</si>
  <si>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</si>
  <si>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</si>
  <si>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</si>
  <si>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</si>
  <si>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</si>
  <si>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</si>
  <si>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</si>
  <si>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</si>
  <si>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</si>
  <si>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</si>
  <si>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</si>
  <si>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</si>
  <si>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</si>
  <si>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</si>
  <si>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</si>
  <si>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</si>
  <si>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</si>
  <si>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</si>
  <si>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</si>
  <si>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</si>
  <si>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</si>
  <si>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</si>
  <si>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</si>
  <si>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</si>
  <si>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</si>
  <si>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</si>
  <si>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</si>
  <si>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</si>
  <si>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DANILO VESOVIC</t>
  </si>
  <si>
    <t>MARKO LEPOVIC</t>
  </si>
  <si>
    <t>FRANCESC SENPAU VILLANUEVA</t>
  </si>
  <si>
    <t>JELENA RASINAC</t>
  </si>
  <si>
    <t>BILJANA KOSTRES</t>
  </si>
  <si>
    <t>MIROSLAVA DERIKONJIC</t>
  </si>
  <si>
    <t>04:00</t>
  </si>
  <si>
    <t>05:13</t>
  </si>
  <si>
    <t>03:27</t>
  </si>
  <si>
    <t>Very good job! You are very focused in the game and the corrections are very quickly. The match had a close finish and you were consistents in your work. Congratulations!</t>
  </si>
  <si>
    <t>C:\Users\nerea.fraile\EUROLEAGUE\EB STATS - Documents\General\SEASON 2025-26\Reports\Euroleague\PDF</t>
  </si>
  <si>
    <t>C:\Users\nerea.fraile\EUROLEAGUE\EB STATS - Documents\General\SEASON 2025-26\Reports\Euroleague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</si>
</sst>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16_151_DUB_TEL_E2025</v>
      </c>
      <c r="G1" s="5"/>
      <c r="H1" s="5"/>
      <c r="I1" s="5"/>
      <c r="J1" s="8" t="s">
        <v>707</v>
      </c>
      <c r="K1" s="121" t="s">
        <v>761</v>
      </c>
      <c r="L1" s="121"/>
      <c r="M1" s="122" t="s">
        <v>239</v>
      </c>
      <c r="N1" s="121" t="s">
        <v>760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151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46007.833333333336</v>
      </c>
      <c r="C3" s="157"/>
      <c r="D3" s="39">
        <v>550</v>
      </c>
      <c r="E3" s="29"/>
      <c r="F3" s="26">
        <f>SUBTOTAL(3,I17:I106)</f>
        <v>3</v>
      </c>
      <c r="G3" s="27">
        <f>IF(OR(D3="",D3=0),"",F3/D3)</f>
        <v>5.454545454545455E-3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742</v>
      </c>
      <c r="L4" s="5"/>
      <c r="M4" s="167" t="s">
        <v>759</v>
      </c>
      <c r="N4" s="168"/>
      <c r="O4" s="2"/>
      <c r="P4" s="2"/>
      <c r="Q4" s="84" t="s">
        <v>175</v>
      </c>
      <c r="R4" s="94">
        <f>(IF(G3="",0,G3))</f>
        <v>5.454545454545455E-3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0.54545454545454553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4.0454545454545459</v>
      </c>
      <c r="N7" s="58"/>
      <c r="O7" s="2"/>
      <c r="P7" s="2"/>
      <c r="Q7" s="86">
        <f>SUM(R5,S5,AC16)</f>
        <v>4.0454545454545459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4.045454545454545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754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151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151</v>
      </c>
      <c r="D17" s="32" t="s">
        <v>757</v>
      </c>
      <c r="E17" s="33">
        <v>2</v>
      </c>
      <c r="F17" s="36">
        <v>40</v>
      </c>
      <c r="G17" s="36">
        <v>41</v>
      </c>
      <c r="H17" s="38" t="str">
        <f>IF(I17="","",$I$14)</f>
        <v>SCOUTING</v>
      </c>
      <c r="I17" s="34">
        <v>200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151</v>
      </c>
      <c r="D18" s="32" t="s">
        <v>756</v>
      </c>
      <c r="E18" s="33">
        <v>3</v>
      </c>
      <c r="F18" s="36">
        <v>60</v>
      </c>
      <c r="G18" s="36">
        <v>71</v>
      </c>
      <c r="H18" s="38" t="str">
        <f t="shared" ref="H18:H81" si="8">IF(I18="","",$I$14)</f>
        <v>SCOUTING</v>
      </c>
      <c r="I18" s="34">
        <v>359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151</v>
      </c>
      <c r="D19" s="32" t="s">
        <v>758</v>
      </c>
      <c r="E19" s="33">
        <v>4</v>
      </c>
      <c r="F19" s="36">
        <v>87</v>
      </c>
      <c r="G19" s="36">
        <v>89</v>
      </c>
      <c r="H19" s="38" t="str">
        <f t="shared" si="8"/>
        <v>SCOUTING</v>
      </c>
      <c r="I19" s="34">
        <v>506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REPORT_E2025151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"E2025151"</v>
      </c>
      <c r="F3" s="45" t="str">
        <f t="shared" ref="F3:F16" si="0">""""&amp;B3&amp;"""" &amp; " : " &amp;C3&amp;","</f>
        <v>"name" : "E2025151",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"E151"</v>
      </c>
      <c r="F4" s="45" t="str">
        <f t="shared" si="0"/>
        <v>"cod" : "E151",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151</v>
      </c>
      <c r="F6" s="45" t="str">
        <f t="shared" si="0"/>
        <v>"number" : 151,</v>
      </c>
    </row>
    <row r="7" spans="2:6" x14ac:dyDescent="0.25">
      <c r="B7" s="43" t="s">
        <v>116</v>
      </c>
      <c r="C7" s="43" t="str">
        <f ca="1">""""&amp;TEXT('SCOUT &amp; LOGISTICS'!B3,"dd/mm/aaaa")&amp;""""</f>
        <v>"16/12/Tuesday"</v>
      </c>
      <c r="F7" s="45" t="str">
        <f t="shared" ca="1" si="0"/>
        <v>"date" : "16/12/Tuesday",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"JELENA RASINAC"</v>
      </c>
      <c r="F13" s="45" t="str">
        <f t="shared" si="0"/>
        <v>"Timerkeeper" : "JELENA RASINAC",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"BILJANA KOSTRES"</v>
      </c>
      <c r="F15" s="45" t="str">
        <f t="shared" si="0"/>
        <v>"IRS" : "BILJANA KOSTRES",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You are very focused in the game and the corrections are very quickly. The match had a close finish and you were consistents in your work. Congratulations!"</v>
      </c>
      <c r="F51" s="45" t="str">
        <f>""""&amp;B51&amp;"""" &amp; " : " &amp;C51&amp;","</f>
        <v>"comments" : "Very good job! You are very focused in the game and the corrections are very quickly. The match had a close finish and you were consistents in your work. Congratulations!",</v>
      </c>
    </row>
    <row r="52" spans="2:6" x14ac:dyDescent="0.25">
      <c r="B52" s="43" t="s">
        <v>153</v>
      </c>
      <c r="C52" s="43" t="str">
        <f>TEXT('SCOUT &amp; LOGISTICS'!F1,"0,0")</f>
        <v>16_151_DUB_TEL_E2025</v>
      </c>
      <c r="F52" s="45" t="str">
        <f>""""&amp;B52&amp;"""" &amp; " : " &amp;C52</f>
        <v>"result" : 16_151_DUB_TEL_E2025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E151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16/12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JELENA RASINAC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BILJANA KOSTRES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550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5.454545454545455E-3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You are very focused in the game and the corrections are very quickly. The match had a close finish and you were consistents in your work. Congratulations!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4.0454545454545459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6CAC1D6-84E5-465B-B1D2-A8C123CC3EC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2025-12-16T18:35:31Z</cp:lastPrinted>
  <dcterms:created xsi:type="dcterms:W3CDTF">2023-09-19T19:50:35Z</dcterms:created>
  <dcterms:modified xsi:type="dcterms:W3CDTF">2025-12-16T18:35:38Z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