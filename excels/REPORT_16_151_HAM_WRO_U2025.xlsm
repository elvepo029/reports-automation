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66" documentId="8_{9B0009CB-C34C-454A-B48A-1A2740F93CE5}" xr6:coauthVersionLast="47" xr6:coauthVersionMax="47" xr10:uidLastSave="{D183DFD8-2FF7-4971-8C6E-21C99ACDA48C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<sst xmlns="http://schemas.openxmlformats.org/spreadsheetml/2006/main" count="3357" uniqueCount="839">
  <si>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</si>
  <si>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</si>
  <si>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</si>
  <si>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</si>
  <si>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</si>
  <si>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</si>
  <si>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</si>
  <si>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</si>
  <si>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</si>
  <si>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</si>
  <si>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</si>
  <si>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</si>
  <si>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</si>
  <si>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</si>
  <si>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</si>
  <si>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</si>
  <si>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</si>
  <si>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</si>
  <si>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</si>
  <si>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</si>
  <si>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</si>
  <si>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</si>
  <si>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</si>
  <si>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</si>
  <si>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</si>
  <si>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</si>
  <si>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</si>
  <si>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</si>
  <si>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</si>
  <si>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</si>
  <si>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</si>
  <si>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</si>
  <si>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</si>
  <si>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</si>
  <si>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</si>
  <si>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</si>
  <si>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</si>
  <si>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</si>
  <si>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</si>
  <si>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</si>
  <si>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</si>
  <si>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</si>
  <si>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</si>
  <si>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</si>
  <si>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</si>
  <si>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</si>
  <si>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</si>
  <si>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</si>
  <si>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</si>
  <si>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</si>
  <si>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</si>
  <si>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</si>
  <si>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</si>
  <si>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</si>
  <si>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</si>
  <si>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</si>
  <si>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</si>
  <si>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</si>
  <si>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</si>
  <si>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</si>
  <si>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</si>
  <si>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</si>
  <si>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</si>
  <si>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</si>
  <si>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</si>
  <si>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</si>
  <si>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</si>
  <si>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</si>
  <si>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</si>
  <si>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</si>
  <si>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</si>
  <si>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</si>
  <si>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</si>
  <si>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</si>
  <si>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</si>
  <si>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</si>
  <si>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</si>
  <si>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</si>
  <si>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</si>
  <si>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</si>
  <si>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</si>
  <si>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</si>
  <si>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</si>
  <si>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</si>
  <si>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</si>
  <si>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</si>
  <si>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</si>
  <si>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</si>
  <si>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</si>
  <si>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</si>
  <si>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</si>
  <si>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</si>
  <si>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</si>
  <si>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</si>
  <si>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</si>
  <si>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</si>
  <si>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</si>
  <si>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</si>
  <si>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</si>
  <si>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</si>
  <si>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</si>
  <si>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</si>
  <si>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</si>
  <si>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</si>
  <si>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</si>
  <si>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</si>
  <si>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</si>
  <si>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</si>
  <si>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</si>
  <si>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</si>
  <si>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</si>
  <si>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</si>
  <si>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</si>
  <si>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</si>
  <si>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</si>
  <si>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</si>
  <si>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</si>
  <si>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</si>
  <si>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</si>
  <si>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</si>
  <si>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</si>
  <si>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</si>
  <si>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</si>
  <si>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</si>
  <si>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</si>
  <si>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</si>
  <si>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</si>
  <si>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</si>
  <si>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</si>
  <si>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</si>
  <si>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</si>
  <si>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</si>
  <si>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</si>
  <si>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</si>
  <si>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</si>
  <si>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</si>
  <si>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</si>
  <si>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</si>
  <si>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</si>
  <si>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</si>
  <si>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</si>
  <si>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</si>
  <si>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</si>
  <si>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</si>
  <si>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</si>
  <si>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</si>
  <si>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</si>
  <si>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</si>
  <si>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</si>
  <si>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</si>
  <si>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</si>
  <si>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</si>
  <si>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</si>
  <si>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</si>
  <si>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</si>
  <si>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</si>
  <si>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</si>
  <si>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</si>
  <si>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</si>
  <si>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</si>
  <si>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</si>
  <si>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</si>
  <si>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</si>
  <si>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</si>
  <si>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</si>
  <si>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</si>
  <si>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</si>
  <si>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</si>
  <si>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</si>
  <si>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</si>
  <si>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</si>
  <si>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</si>
  <si>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</si>
  <si>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</si>
  <si>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</si>
  <si>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</si>
  <si>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</si>
  <si>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</si>
  <si>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</si>
  <si>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</si>
  <si>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</si>
  <si>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</si>
  <si>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</si>
  <si>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</si>
  <si>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</si>
  <si>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</si>
  <si>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</si>
  <si>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</si>
  <si>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</si>
  <si>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</si>
  <si>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</si>
  <si>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</si>
  <si>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</si>
  <si>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</si>
  <si>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</si>
  <si>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</si>
  <si>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</si>
  <si>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</si>
  <si>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</si>
  <si>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</si>
  <si>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</si>
  <si>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</si>
  <si>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</si>
  <si>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</si>
  <si>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</si>
  <si>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</si>
  <si>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</si>
  <si>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</si>
  <si>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</si>
  <si>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</si>
  <si>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</si>
  <si>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</si>
  <si>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</si>
  <si>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</si>
  <si>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</si>
  <si>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</si>
  <si>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</si>
  <si>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</si>
  <si>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</si>
  <si>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</si>
  <si>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</si>
  <si>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</si>
  <si>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</si>
  <si>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</si>
  <si>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</si>
  <si>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</si>
  <si>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</si>
  <si>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</si>
  <si>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</si>
  <si>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</si>
  <si>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</si>
  <si>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</si>
  <si>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</si>
  <si>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</si>
  <si>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</si>
  <si>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</si>
  <si>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</si>
  <si>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</si>
  <si>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</si>
  <si>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</si>
  <si>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</si>
  <si>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</si>
  <si>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</si>
  <si>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</si>
  <si>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</si>
  <si>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</si>
  <si>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</si>
  <si>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</si>
  <si>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</si>
  <si>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</si>
  <si>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</si>
  <si>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</si>
  <si>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</si>
  <si>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</si>
  <si>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</si>
  <si>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</si>
  <si>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</si>
  <si>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</si>
  <si>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</si>
  <si>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</si>
  <si>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</si>
  <si>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</si>
  <si>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</si>
  <si>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</si>
  <si>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</si>
  <si>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</si>
  <si>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</si>
  <si>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</si>
  <si>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</si>
  <si>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</si>
  <si>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</si>
  <si>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</si>
  <si>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</si>
  <si>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</si>
  <si>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</si>
  <si>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</si>
  <si>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</si>
  <si>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</si>
  <si>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</si>
  <si>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</si>
  <si>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</si>
  <si>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</si>
  <si>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</si>
  <si>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</si>
  <si>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</si>
  <si>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</si>
  <si>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</si>
  <si>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</si>
  <si>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</si>
  <si>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</si>
  <si>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</si>
  <si>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</si>
  <si>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</si>
  <si>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</si>
  <si>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</si>
  <si>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</si>
  <si>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</si>
  <si>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</si>
  <si>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</si>
  <si>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</si>
  <si>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</si>
  <si>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</si>
  <si>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</si>
  <si>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</si>
  <si>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</si>
  <si>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</si>
  <si>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</si>
  <si>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</si>
  <si>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</si>
  <si>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</si>
  <si>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</si>
  <si>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</si>
  <si>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</si>
  <si>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</si>
  <si>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</si>
  <si>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</si>
  <si>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</si>
  <si>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</si>
  <si>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</si>
  <si>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</si>
  <si>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</si>
  <si>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</si>
  <si>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</si>
  <si>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</si>
  <si>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</si>
  <si>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</si>
  <si>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</si>
  <si>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</si>
  <si>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</si>
  <si>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</si>
  <si>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</si>
  <si>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</si>
  <si>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</si>
  <si>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</si>
  <si>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</si>
  <si>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</si>
  <si>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</si>
  <si>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</si>
  <si>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</si>
  <si>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</si>
  <si>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</si>
  <si>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</si>
  <si>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</si>
  <si>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</si>
  <si>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</si>
  <si>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</si>
  <si>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</si>
  <si>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</si>
  <si>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</si>
  <si>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</si>
  <si>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</si>
  <si>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</si>
  <si>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</si>
  <si>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</si>
  <si>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</si>
  <si>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</si>
  <si>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</si>
  <si>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</si>
  <si>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</si>
  <si>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</si>
  <si>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</si>
  <si>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</si>
  <si>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</si>
  <si>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</si>
  <si>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</si>
  <si>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</si>
  <si>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</si>
  <si>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</si>
  <si>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</si>
  <si>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</si>
  <si>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</si>
  <si>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</si>
  <si>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</si>
  <si>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</si>
  <si>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</si>
  <si>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</si>
  <si>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</si>
  <si>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</si>
  <si>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</si>
  <si>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</si>
  <si>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</si>
  <si>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</si>
  <si>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</si>
  <si>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</si>
  <si>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</si>
  <si>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</si>
  <si>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</si>
  <si>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</si>
  <si>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</si>
  <si>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</si>
  <si>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</si>
  <si>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</si>
  <si>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</si>
  <si>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</si>
  <si>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</si>
  <si>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</si>
  <si>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</si>
  <si>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</si>
  <si>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</si>
  <si>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</si>
  <si>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</si>
  <si>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</si>
  <si>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</si>
  <si>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</si>
  <si>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</si>
  <si>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</si>
  <si>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</si>
  <si>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</si>
  <si>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</si>
  <si>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</si>
  <si>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</si>
  <si>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</si>
  <si>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</si>
  <si>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</si>
  <si>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</si>
  <si>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</si>
  <si>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</si>
  <si>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</si>
  <si>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</si>
  <si>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</si>
  <si>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</si>
  <si>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</si>
  <si>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</si>
  <si>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</si>
  <si>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</si>
  <si>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</si>
  <si>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</si>
  <si>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</si>
  <si>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</si>
  <si>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</si>
  <si>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</si>
  <si>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</si>
  <si>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</si>
  <si>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</si>
  <si>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</si>
  <si>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</si>
  <si>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</si>
  <si>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</si>
  <si>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</si>
  <si>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</si>
  <si>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</si>
  <si>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</si>
  <si>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</si>
  <si>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</si>
  <si>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</si>
  <si>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</si>
  <si>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</si>
  <si>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</si>
  <si>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</si>
  <si>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</si>
  <si>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</si>
  <si>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</si>
  <si>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</si>
  <si>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</si>
  <si>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</si>
  <si>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</si>
  <si>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</si>
  <si>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</si>
  <si>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</si>
  <si>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</si>
  <si>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</si>
  <si>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</si>
  <si>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</si>
  <si>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</si>
  <si>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</si>
  <si>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</si>
  <si>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</si>
  <si>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</si>
  <si>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</si>
  <si>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</si>
  <si>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</si>
  <si>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</si>
  <si>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</si>
  <si>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</si>
  <si>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</si>
  <si>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</si>
  <si>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</si>
  <si>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</si>
  <si>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</si>
  <si>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</si>
  <si>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</si>
  <si>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</si>
  <si>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</si>
  <si>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</si>
  <si>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</si>
  <si>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</si>
  <si>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</si>
  <si>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</si>
  <si>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</si>
  <si>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</si>
  <si>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</si>
  <si>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</si>
  <si>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</si>
  <si>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</si>
  <si>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</si>
  <si>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</si>
  <si>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</si>
  <si>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</si>
  <si>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</si>
  <si>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</si>
  <si>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</si>
  <si>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</si>
  <si>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</si>
  <si>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</si>
  <si>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</si>
  <si>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</si>
  <si>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</si>
  <si>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</si>
  <si>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</si>
  <si>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</si>
  <si>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</si>
  <si>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</si>
  <si>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</si>
  <si>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</si>
  <si>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</si>
  <si>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</si>
  <si>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</si>
  <si>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</si>
  <si>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</si>
  <si>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</si>
  <si>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</si>
  <si>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</si>
  <si>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</si>
  <si>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</si>
  <si>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</si>
  <si>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</si>
  <si>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</si>
  <si>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</si>
  <si>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</si>
  <si>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</si>
  <si>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</si>
  <si>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</si>
  <si>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</si>
  <si>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</si>
  <si>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</si>
  <si>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</si>
  <si>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</si>
  <si>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</si>
  <si>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</si>
  <si>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</si>
  <si>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</si>
  <si>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</si>
  <si>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</si>
  <si>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</si>
  <si>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</si>
  <si>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</si>
  <si>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</si>
  <si>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</si>
  <si>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</si>
  <si>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</si>
  <si>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</si>
  <si>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</si>
  <si>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</si>
  <si>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</si>
  <si>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</si>
  <si>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</si>
  <si>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</si>
  <si>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</si>
  <si>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</si>
  <si>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</si>
  <si>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</si>
  <si>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</si>
  <si>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</si>
  <si>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</si>
  <si>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</si>
  <si>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</si>
  <si>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</si>
  <si>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</si>
  <si>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</si>
  <si>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</si>
  <si>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</si>
  <si>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</si>
  <si>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</si>
  <si>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</si>
  <si>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</si>
  <si>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</si>
  <si>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</si>
  <si>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</si>
  <si>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</si>
  <si>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</si>
  <si>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</si>
  <si>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</si>
  <si>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</si>
  <si>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</si>
  <si>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</si>
  <si>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</si>
  <si>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</si>
  <si>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</si>
  <si>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</si>
  <si>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</si>
  <si>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</si>
  <si>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</si>
  <si>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</si>
  <si>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</si>
  <si>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</si>
  <si>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</si>
  <si>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</si>
  <si>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</si>
  <si>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</si>
  <si>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</si>
  <si>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</si>
  <si>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</si>
  <si>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</si>
  <si>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</si>
  <si>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</si>
  <si>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</si>
  <si>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</si>
  <si>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</si>
  <si>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</si>
  <si>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</si>
  <si>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</si>
  <si>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</si>
  <si>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</si>
  <si>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</si>
  <si>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</si>
  <si>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</si>
  <si>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</si>
  <si>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</si>
  <si>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</si>
  <si>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</si>
  <si>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</si>
  <si>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</si>
  <si>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</si>
  <si>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</si>
  <si>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</si>
  <si>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</si>
  <si>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</si>
  <si>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</si>
  <si>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</si>
  <si>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</si>
  <si>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</si>
  <si>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</si>
  <si>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</si>
  <si>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</si>
  <si>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</si>
  <si>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</si>
  <si>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</si>
  <si>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</si>
  <si>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</si>
  <si>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</si>
  <si>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</si>
  <si>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</si>
  <si>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</si>
  <si>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</si>
  <si>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</si>
  <si>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</si>
  <si>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</si>
  <si>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</si>
  <si>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</si>
  <si>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</si>
  <si>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</si>
  <si>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</si>
  <si>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</si>
  <si>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</si>
  <si>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</si>
  <si>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</si>
  <si>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</si>
  <si>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</si>
  <si>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</si>
  <si>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</si>
  <si>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</si>
  <si>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</si>
  <si>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</si>
  <si>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</si>
  <si>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</si>
  <si>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</si>
  <si>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</si>
  <si>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</si>
  <si>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</si>
  <si>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</si>
  <si>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</si>
  <si>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</si>
  <si>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</si>
  <si>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</si>
  <si>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</si>
  <si>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</si>
  <si>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</si>
  <si>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</si>
  <si>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</si>
  <si>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</si>
  <si>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</si>
  <si>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</si>
  <si>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</si>
  <si>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</si>
  <si>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</si>
  <si>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</si>
  <si>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</si>
  <si>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</si>
  <si>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</si>
  <si>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</si>
  <si>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</si>
  <si>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</si>
  <si>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</si>
  <si>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</si>
  <si>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</si>
  <si>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</si>
  <si>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</si>
  <si>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</si>
  <si>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</si>
  <si>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</si>
  <si>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</si>
  <si>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</si>
  <si>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</si>
  <si>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</si>
  <si>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</si>
  <si>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</si>
  <si>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</si>
  <si>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</si>
  <si>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</si>
  <si>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</si>
  <si>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</si>
  <si>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</si>
  <si>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</si>
  <si>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</si>
  <si>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</si>
  <si>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</si>
  <si>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</si>
  <si>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</si>
  <si>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</si>
  <si>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</si>
  <si>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</si>
  <si>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</si>
  <si>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</si>
  <si>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</si>
  <si>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</si>
  <si>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</si>
  <si>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</si>
  <si>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</si>
  <si>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</si>
  <si>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</si>
  <si>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</si>
  <si>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</si>
  <si>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</si>
  <si>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</si>
  <si>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</si>
  <si>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</si>
  <si>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</si>
  <si>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</si>
  <si>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</si>
  <si>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</si>
  <si>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</si>
  <si>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</si>
  <si>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</si>
  <si>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</si>
  <si>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</si>
  <si>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</si>
  <si>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</si>
  <si>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</si>
  <si>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</si>
  <si>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</si>
  <si>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</si>
  <si>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</si>
  <si>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</si>
  <si>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</si>
  <si>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</si>
  <si>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</si>
  <si>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</si>
  <si>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</si>
  <si>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</si>
  <si>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</si>
  <si>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</si>
  <si>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</si>
  <si>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</si>
  <si>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</si>
  <si>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</si>
  <si>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</si>
  <si>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</si>
  <si>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</si>
  <si>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</si>
  <si>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</si>
  <si>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</si>
  <si>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</si>
  <si>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</si>
  <si>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</si>
  <si>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</si>
  <si>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</si>
  <si>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</si>
  <si>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</si>
  <si>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</si>
  <si>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</si>
  <si>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</si>
  <si>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</si>
  <si>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</si>
  <si>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</si>
  <si>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</si>
  <si>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</si>
  <si>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</si>
  <si>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</si>
  <si>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</si>
  <si>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</si>
  <si>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</si>
  <si>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</si>
  <si>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</si>
  <si>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</si>
  <si>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</si>
  <si>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</si>
  <si>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</si>
  <si>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</si>
  <si>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</si>
  <si>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</si>
  <si>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</si>
  <si>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</si>
  <si>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</si>
  <si>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</si>
  <si>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</si>
  <si>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</si>
  <si>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</si>
  <si>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</si>
  <si>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</si>
  <si>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</si>
  <si>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</si>
  <si>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</si>
  <si>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</si>
  <si>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</si>
  <si>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</si>
  <si>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</si>
  <si>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</si>
  <si>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</si>
  <si>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</si>
  <si>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</si>
  <si>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</si>
  <si>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</si>
  <si>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</si>
  <si>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</si>
  <si>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</si>
  <si>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</si>
  <si>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XAVIER MATEU</t>
  </si>
  <si>
    <t>MATTHIAS RUDOLPH</t>
  </si>
  <si>
    <t>FLORIAN ASMUSSEN</t>
  </si>
  <si>
    <t>TIM BLAWAT</t>
  </si>
  <si>
    <t>STEFAN BOIE</t>
  </si>
  <si>
    <t>JÖRN ASMUSSEN</t>
  </si>
  <si>
    <t>05:15</t>
  </si>
  <si>
    <t>01:50</t>
  </si>
  <si>
    <t>00:36</t>
  </si>
  <si>
    <t>00:02</t>
  </si>
  <si>
    <t>04:17</t>
  </si>
  <si>
    <t>In terms of scouting and communication you’ve done an excellent job. I’ve corrected a few minor and hard-to-spot actions. Two things: don’t forget to record the IRS, and if you clearly believe the referee has made a mistake when indicating the player’s number, tell him immediately.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</si>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</sst>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16_151_HAM_WRO_U2025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838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151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46050.8125</v>
      </c>
      <c r="C3" s="157"/>
      <c r="D3" s="39">
        <v>623</v>
      </c>
      <c r="E3" s="29"/>
      <c r="F3" s="26">
        <f>SUBTOTAL(3,I17:I106)</f>
        <v>5</v>
      </c>
      <c r="G3" s="27">
        <f>IF(OR(D3="",D3=0),"",F3/D3)</f>
        <v>8.0256821829855531E-3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Veolia Towers Hamburg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HAM</v>
      </c>
      <c r="I4" s="5"/>
      <c r="J4" s="119" t="s">
        <v>714</v>
      </c>
      <c r="K4" s="54" t="s">
        <v>743</v>
      </c>
      <c r="L4" s="5"/>
      <c r="M4" s="167" t="s">
        <v>837</v>
      </c>
      <c r="N4" s="168"/>
      <c r="O4" s="2"/>
      <c r="P4" s="2"/>
      <c r="Q4" s="84" t="s">
        <v>175</v>
      </c>
      <c r="R4" s="94">
        <f>(IF(G3="",0,G3))</f>
        <v>8.0256821829855531E-3</v>
      </c>
      <c r="S4" s="61">
        <f>SUM(I13:M13)</f>
        <v>0</v>
      </c>
      <c r="T4" s="78"/>
      <c r="U4" s="61">
        <f>AC18</f>
        <v>4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1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Slask Wroclaw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WRO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0.80256821829855529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10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12.802568218298555</v>
      </c>
      <c r="N7" s="58"/>
      <c r="O7" s="2"/>
      <c r="P7" s="2"/>
      <c r="Q7" s="86">
        <f>SUM(R5,S5,AC16)</f>
        <v>12.802568218298555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829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12.802568218298555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830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151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12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151</v>
      </c>
      <c r="D17" s="32" t="s">
        <v>832</v>
      </c>
      <c r="E17" s="33">
        <v>1</v>
      </c>
      <c r="F17" s="36">
        <v>9</v>
      </c>
      <c r="G17" s="36">
        <v>10</v>
      </c>
      <c r="H17" s="38" t="str">
        <f>IF(I17="","",$I$14)</f>
        <v>SCOUTING</v>
      </c>
      <c r="I17" s="34">
        <v>48</v>
      </c>
      <c r="J17" s="13" t="s">
        <v>4</v>
      </c>
      <c r="K17" s="13" t="s">
        <v>62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151</v>
      </c>
      <c r="D18" s="32" t="s">
        <v>833</v>
      </c>
      <c r="E18" s="33">
        <v>1</v>
      </c>
      <c r="F18" s="36">
        <v>22</v>
      </c>
      <c r="G18" s="36">
        <v>19</v>
      </c>
      <c r="H18" s="38" t="str">
        <f t="shared" ref="H18:H81" si="8">IF(I18="","",$I$14)</f>
        <v>SCOUTING</v>
      </c>
      <c r="I18" s="34">
        <v>109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151</v>
      </c>
      <c r="D19" s="32" t="s">
        <v>834</v>
      </c>
      <c r="E19" s="33">
        <v>2</v>
      </c>
      <c r="F19" s="36">
        <v>55</v>
      </c>
      <c r="G19" s="36">
        <v>48</v>
      </c>
      <c r="H19" s="38" t="str">
        <f t="shared" si="8"/>
        <v>SCOUTING</v>
      </c>
      <c r="I19" s="34">
        <v>280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151</v>
      </c>
      <c r="D20" s="32" t="s">
        <v>835</v>
      </c>
      <c r="E20" s="33">
        <v>3</v>
      </c>
      <c r="F20" s="36">
        <v>76</v>
      </c>
      <c r="G20" s="36">
        <v>69</v>
      </c>
      <c r="H20" s="38" t="str">
        <f t="shared" si="8"/>
        <v>SCOUTING</v>
      </c>
      <c r="I20" s="34">
        <v>461</v>
      </c>
      <c r="J20" s="13" t="s">
        <v>3</v>
      </c>
      <c r="K20" s="13" t="s">
        <v>61</v>
      </c>
      <c r="L20" s="13" t="s">
        <v>24</v>
      </c>
      <c r="M20" s="13" t="s">
        <v>24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1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151</v>
      </c>
      <c r="D21" s="32" t="s">
        <v>836</v>
      </c>
      <c r="E21" s="33">
        <v>3</v>
      </c>
      <c r="F21" s="36">
        <v>69</v>
      </c>
      <c r="G21" s="36">
        <v>61</v>
      </c>
      <c r="H21" s="38" t="str">
        <f t="shared" si="8"/>
        <v>SCOUTING</v>
      </c>
      <c r="I21" s="34">
        <v>399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1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REPORT_U2025151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"U2025151"</v>
      </c>
      <c r="F3" s="45" t="str">
        <f t="shared" ref="F3:F16" si="0">""""&amp;B3&amp;"""" &amp; " : " &amp;C3&amp;","</f>
        <v>"name" : "U2025151",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"U151"</v>
      </c>
      <c r="F4" s="45" t="str">
        <f t="shared" si="0"/>
        <v>"cod" : "U151",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151</v>
      </c>
      <c r="F6" s="45" t="str">
        <f t="shared" si="0"/>
        <v>"number" : 151,</v>
      </c>
    </row>
    <row r="7" spans="2:6" x14ac:dyDescent="0.25">
      <c r="B7" s="43" t="s">
        <v>116</v>
      </c>
      <c r="C7" s="43" t="str">
        <f ca="1">""""&amp;TEXT('SCOUT &amp; LOGISTICS'!B3,"dd/mm/aaaa")&amp;""""</f>
        <v>"28/01/Wednesday"</v>
      </c>
      <c r="F7" s="45" t="str">
        <f t="shared" ca="1" si="0"/>
        <v>"date" : "28/01/Wednesday",</v>
      </c>
    </row>
    <row r="8" spans="2:6" x14ac:dyDescent="0.25">
      <c r="B8" s="43" t="s">
        <v>125</v>
      </c>
      <c r="C8" s="43" t="str">
        <f>""""&amp;'SCOUT &amp; LOGISTICS'!D4 &amp;""""</f>
        <v>"Veolia Towers Hamburg"</v>
      </c>
      <c r="F8" s="45" t="str">
        <f t="shared" si="0"/>
        <v>"home_team" : "Veolia Towers Hamburg",</v>
      </c>
    </row>
    <row r="9" spans="2:6" x14ac:dyDescent="0.25">
      <c r="B9" s="43" t="s">
        <v>126</v>
      </c>
      <c r="C9" s="43" t="str">
        <f>""""&amp;'SCOUT &amp; LOGISTICS'!D5&amp;""""</f>
        <v>"Slask Wroclaw"</v>
      </c>
      <c r="F9" s="45" t="str">
        <f t="shared" si="0"/>
        <v>"away_team" : "Slask Wroclaw",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"MATTHIAS RUDOLPH"</v>
      </c>
      <c r="F10" s="45" t="str">
        <f t="shared" si="0"/>
        <v>"Data_entry" : "MATTHIAS RUDOLPH",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"FLORIAN ASMUSSEN"</v>
      </c>
      <c r="F11" s="45" t="str">
        <f t="shared" si="0"/>
        <v>"Caller_1" : "FLORIAN ASMUSSEN",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"TIM BLAWAT"</v>
      </c>
      <c r="F12" s="45" t="str">
        <f t="shared" si="0"/>
        <v>"Caller_2" : "TIM BLAWAT",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"STEFAN BOIE"</v>
      </c>
      <c r="F13" s="45" t="str">
        <f t="shared" si="0"/>
        <v>"Timerkeeper" : "STEFAN BOIE",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"JÖRN ASMUSSEN"</v>
      </c>
      <c r="F14" s="45" t="str">
        <f t="shared" si="0"/>
        <v>"Shotclock" : "JÖRN ASMUSSEN",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623</v>
      </c>
      <c r="F25" s="45" t="str">
        <f t="shared" ref="F25:F48" si="1">""""&amp;C25&amp;"""" &amp; " : " &amp;D25&amp;","</f>
        <v>"total_actions" : 623,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1</v>
      </c>
      <c r="F44" s="45" t="str">
        <f t="shared" si="1"/>
        <v>"not_happened" : 1,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"In terms of scouting and communication you’ve done an excellent job. I’ve corrected a few minor and hard-to-spot actions. Two things: don’t forget to record the IRS, and if you clearly believe the referee has made a mistake when indicating the player’s number, tell him immediately."</v>
      </c>
      <c r="F51" s="45" t="str">
        <f>""""&amp;B51&amp;"""" &amp; " : " &amp;C51&amp;","</f>
        <v>"comments" : "In terms of scouting and communication you’ve done an excellent job. I’ve corrected a few minor and hard-to-spot actions. Two things: don’t forget to record the IRS, and if you clearly believe the referee has made a mistake when indicating the player’s number, tell him immediately.",</v>
      </c>
    </row>
    <row r="52" spans="2:6" x14ac:dyDescent="0.25">
      <c r="B52" s="43" t="s">
        <v>153</v>
      </c>
      <c r="C52" s="43" t="str">
        <f>TEXT('SCOUT &amp; LOGISTICS'!F1,"0,0")</f>
        <v>16_151_HAM_WRO_U2025</v>
      </c>
      <c r="F52" s="45" t="str">
        <f>""""&amp;B52&amp;"""" &amp; " : " &amp;C52</f>
        <v>"result" : 16_151_HAM_WRO_U2025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U151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28/01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Veolia Towers Hamburg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Slask Wroclaw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MATTHIAS RUDOLPH</v>
      </c>
      <c r="C8" s="206"/>
      <c r="D8" s="206"/>
      <c r="E8" s="206"/>
      <c r="F8" s="206"/>
      <c r="G8" s="206" t="str">
        <f>IF('SCOUT &amp; LOGISTICS'!D7="","",'SCOUT &amp; LOGISTICS'!D7)</f>
        <v>FLORIAN ASMUSSEN</v>
      </c>
      <c r="H8" s="206"/>
      <c r="I8" s="206"/>
      <c r="J8" s="206"/>
      <c r="K8" s="206"/>
      <c r="L8" s="206" t="str">
        <f>IF('SCOUT &amp; LOGISTICS'!D8="","",'SCOUT &amp; LOGISTICS'!D8)</f>
        <v>TIM BLAWAT</v>
      </c>
      <c r="M8" s="206"/>
      <c r="N8" s="206"/>
      <c r="O8" s="206"/>
      <c r="P8" s="206"/>
      <c r="Q8" s="206" t="str">
        <f>IF('SCOUT &amp; LOGISTICS'!D9="","",'SCOUT &amp; LOGISTICS'!D9)</f>
        <v>STEFAN BOIE</v>
      </c>
      <c r="R8" s="206"/>
      <c r="S8" s="206"/>
      <c r="T8" s="206"/>
      <c r="U8" s="206"/>
      <c r="V8" s="206" t="str">
        <f>IF('SCOUT &amp; LOGISTICS'!D10="","",'SCOUT &amp; LOGISTICS'!D10)</f>
        <v>JÖRN ASMUSSEN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623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8.0256821829855531E-3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1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In terms of scouting and communication you’ve done an excellent job. I’ve corrected a few minor and hard-to-spot actions. Two things: don’t forget to record the IRS, and if you clearly believe the referee has made a mistake when indicating the player’s number, tell him immediately.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12.802568218298555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9C2F0F-98AB-48B8-90B8-97D706190E7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2026-01-29T15:31:11Z</cp:lastPrinted>
  <dcterms:created xsi:type="dcterms:W3CDTF">2023-09-19T19:50:35Z</dcterms:created>
  <dcterms:modified xsi:type="dcterms:W3CDTF">2026-01-29T15:31:13Z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