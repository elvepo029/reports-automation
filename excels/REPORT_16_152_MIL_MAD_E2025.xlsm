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6" documentId="8_{5B0F17B6-9F2F-413C-BDF8-5209655EB18D}" xr6:coauthVersionLast="47" xr6:coauthVersionMax="47" xr10:uidLastSave="{2781C9F0-E90B-40E3-ADE0-F6C2E2A1DB76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<sst xmlns="http://schemas.openxmlformats.org/spreadsheetml/2006/main" count="3255" uniqueCount="761">
  <si>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</si>
  <si>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</si>
  <si>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</si>
  <si>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</si>
  <si>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</si>
  <si>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</si>
  <si>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</si>
  <si>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</si>
  <si>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</si>
  <si>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</si>
  <si>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</si>
  <si>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</si>
  <si>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</si>
  <si>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</si>
  <si>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</si>
  <si>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</si>
  <si>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</si>
  <si>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</si>
  <si>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</si>
  <si>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</si>
  <si>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</si>
  <si>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</si>
  <si>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</si>
  <si>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</si>
  <si>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</si>
  <si>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</si>
  <si>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</si>
  <si>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</si>
  <si>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</si>
  <si>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</si>
  <si>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</si>
  <si>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</si>
  <si>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</si>
  <si>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</si>
  <si>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</si>
  <si>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</si>
  <si>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</si>
  <si>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</si>
  <si>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</si>
  <si>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</si>
  <si>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</si>
  <si>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</si>
  <si>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</si>
  <si>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</si>
  <si>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</si>
  <si>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</si>
  <si>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</si>
  <si>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</si>
  <si>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</si>
  <si>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</si>
  <si>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</si>
  <si>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</si>
  <si>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</si>
  <si>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</si>
  <si>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</si>
  <si>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</si>
  <si>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</si>
  <si>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</si>
  <si>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</si>
  <si>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</si>
  <si>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</si>
  <si>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</si>
  <si>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</si>
  <si>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</si>
  <si>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</si>
  <si>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</si>
  <si>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</si>
  <si>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</si>
  <si>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</si>
  <si>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</si>
  <si>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</si>
  <si>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</si>
  <si>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</si>
  <si>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</si>
  <si>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</si>
  <si>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</si>
  <si>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</si>
  <si>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</si>
  <si>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</si>
  <si>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</si>
  <si>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</si>
  <si>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</si>
  <si>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</si>
  <si>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</si>
  <si>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</si>
  <si>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</si>
  <si>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</si>
  <si>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</si>
  <si>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</si>
  <si>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</si>
  <si>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</si>
  <si>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</si>
  <si>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</si>
  <si>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</si>
  <si>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</si>
  <si>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</si>
  <si>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</si>
  <si>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</si>
  <si>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</si>
  <si>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</si>
  <si>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</si>
  <si>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</si>
  <si>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</si>
  <si>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</si>
  <si>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</si>
  <si>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</si>
  <si>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</si>
  <si>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</si>
  <si>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</si>
  <si>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</si>
  <si>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</si>
  <si>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</si>
  <si>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</si>
  <si>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</si>
  <si>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</si>
  <si>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</si>
  <si>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</si>
  <si>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</si>
  <si>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</si>
  <si>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</si>
  <si>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</si>
  <si>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</si>
  <si>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</si>
  <si>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</si>
  <si>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</si>
  <si>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</si>
  <si>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</si>
  <si>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</si>
  <si>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</si>
  <si>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</si>
  <si>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</si>
  <si>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</si>
  <si>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</si>
  <si>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</si>
  <si>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</si>
  <si>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</si>
  <si>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</si>
  <si>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</si>
  <si>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</si>
  <si>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</si>
  <si>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</si>
  <si>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</si>
  <si>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</si>
  <si>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</si>
  <si>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</si>
  <si>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</si>
  <si>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</si>
  <si>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</si>
  <si>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</si>
  <si>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</si>
  <si>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</si>
  <si>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</si>
  <si>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</si>
  <si>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</si>
  <si>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</si>
  <si>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</si>
  <si>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</si>
  <si>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</si>
  <si>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</si>
  <si>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</si>
  <si>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</si>
  <si>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</si>
  <si>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</si>
  <si>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</si>
  <si>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</si>
  <si>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</si>
  <si>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</si>
  <si>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</si>
  <si>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</si>
  <si>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</si>
  <si>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</si>
  <si>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</si>
  <si>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</si>
  <si>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</si>
  <si>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</si>
  <si>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</si>
  <si>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</si>
  <si>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</si>
  <si>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</si>
  <si>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</si>
  <si>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</si>
  <si>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</si>
  <si>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</si>
  <si>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</si>
  <si>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</si>
  <si>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</si>
  <si>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</si>
  <si>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</si>
  <si>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</si>
  <si>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</si>
  <si>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</si>
  <si>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</si>
  <si>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</si>
  <si>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</si>
  <si>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</si>
  <si>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</si>
  <si>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</si>
  <si>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</si>
  <si>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</si>
  <si>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</si>
  <si>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</si>
  <si>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</si>
  <si>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</si>
  <si>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</si>
  <si>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</si>
  <si>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</si>
  <si>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</si>
  <si>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</si>
  <si>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</si>
  <si>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</si>
  <si>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</si>
  <si>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</si>
  <si>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</si>
  <si>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</si>
  <si>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</si>
  <si>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</si>
  <si>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</si>
  <si>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</si>
  <si>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</si>
  <si>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</si>
  <si>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</si>
  <si>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</si>
  <si>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</si>
  <si>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</si>
  <si>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</si>
  <si>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</si>
  <si>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</si>
  <si>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</si>
  <si>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</si>
  <si>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</si>
  <si>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</si>
  <si>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</si>
  <si>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</si>
  <si>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</si>
  <si>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</si>
  <si>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</si>
  <si>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</si>
  <si>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</si>
  <si>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</si>
  <si>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</si>
  <si>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</si>
  <si>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</si>
  <si>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</si>
  <si>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</si>
  <si>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</si>
  <si>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</si>
  <si>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</si>
  <si>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</si>
  <si>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</si>
  <si>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</si>
  <si>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</si>
  <si>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</si>
  <si>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</si>
  <si>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</si>
  <si>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</si>
  <si>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</si>
  <si>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</si>
  <si>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</si>
  <si>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</si>
  <si>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</si>
  <si>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</si>
  <si>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</si>
  <si>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</si>
  <si>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</si>
  <si>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</si>
  <si>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</si>
  <si>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</si>
  <si>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</si>
  <si>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</si>
  <si>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</si>
  <si>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</si>
  <si>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</si>
  <si>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</si>
  <si>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</si>
  <si>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</si>
  <si>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</si>
  <si>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</si>
  <si>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</si>
  <si>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</si>
  <si>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</si>
  <si>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</si>
  <si>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</si>
  <si>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</si>
  <si>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</si>
  <si>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</si>
  <si>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</si>
  <si>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</si>
  <si>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</si>
  <si>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</si>
  <si>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</si>
  <si>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</si>
  <si>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</si>
  <si>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</si>
  <si>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</si>
  <si>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</si>
  <si>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</si>
  <si>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</si>
  <si>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</si>
  <si>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</si>
  <si>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</si>
  <si>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</si>
  <si>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</si>
  <si>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</si>
  <si>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</si>
  <si>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</si>
  <si>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</si>
  <si>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</si>
  <si>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</si>
  <si>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</si>
  <si>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</si>
  <si>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</si>
  <si>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</si>
  <si>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</si>
  <si>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</si>
  <si>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</si>
  <si>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</si>
  <si>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</si>
  <si>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</si>
  <si>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</si>
  <si>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</si>
  <si>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</si>
  <si>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</si>
  <si>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</si>
  <si>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</si>
  <si>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</si>
  <si>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</si>
  <si>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</si>
  <si>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</si>
  <si>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</si>
  <si>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</si>
  <si>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</si>
  <si>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</si>
  <si>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</si>
  <si>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</si>
  <si>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</si>
  <si>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</si>
  <si>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</si>
  <si>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</si>
  <si>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</si>
  <si>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</si>
  <si>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</si>
  <si>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</si>
  <si>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</si>
  <si>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</si>
  <si>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</si>
  <si>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</si>
  <si>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</si>
  <si>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</si>
  <si>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</si>
  <si>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</si>
  <si>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</si>
  <si>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</si>
  <si>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</si>
  <si>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</si>
  <si>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</si>
  <si>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</si>
  <si>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</si>
  <si>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</si>
  <si>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</si>
  <si>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</si>
  <si>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</si>
  <si>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</si>
  <si>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</si>
  <si>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</si>
  <si>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</si>
  <si>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</si>
  <si>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</si>
  <si>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</si>
  <si>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</si>
  <si>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</si>
  <si>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</si>
  <si>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</si>
  <si>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</si>
  <si>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</si>
  <si>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</si>
  <si>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</si>
  <si>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</si>
  <si>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</si>
  <si>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</si>
  <si>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</si>
  <si>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</si>
  <si>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</si>
  <si>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</si>
  <si>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</si>
  <si>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</si>
  <si>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</si>
  <si>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</si>
  <si>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</si>
  <si>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</si>
  <si>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</si>
  <si>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</si>
  <si>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</si>
  <si>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</si>
  <si>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</si>
  <si>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</si>
  <si>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</si>
  <si>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</si>
  <si>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</si>
  <si>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</si>
  <si>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</si>
  <si>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</si>
  <si>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</si>
  <si>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</si>
  <si>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</si>
  <si>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</si>
  <si>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</si>
  <si>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</si>
  <si>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</si>
  <si>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</si>
  <si>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</si>
  <si>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</si>
  <si>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</si>
  <si>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</si>
  <si>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</si>
  <si>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</si>
  <si>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</si>
  <si>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</si>
  <si>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</si>
  <si>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</si>
  <si>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</si>
  <si>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</si>
  <si>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</si>
  <si>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</si>
  <si>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</si>
  <si>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</si>
  <si>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</si>
  <si>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</si>
  <si>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</si>
  <si>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</si>
  <si>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</si>
  <si>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</si>
  <si>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</si>
  <si>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</si>
  <si>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</si>
  <si>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</si>
  <si>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</si>
  <si>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</si>
  <si>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</si>
  <si>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</si>
  <si>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</si>
  <si>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</si>
  <si>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</si>
  <si>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</si>
  <si>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</si>
  <si>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</si>
  <si>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</si>
  <si>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</si>
  <si>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</si>
  <si>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</si>
  <si>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</si>
  <si>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</si>
  <si>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</si>
  <si>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</si>
  <si>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</si>
  <si>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</si>
  <si>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</si>
  <si>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</si>
  <si>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</si>
  <si>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</si>
  <si>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</si>
  <si>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</si>
  <si>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</si>
  <si>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</si>
  <si>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</si>
  <si>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</si>
  <si>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</si>
  <si>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</si>
  <si>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</si>
  <si>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</si>
  <si>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</si>
  <si>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</si>
  <si>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</si>
  <si>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</si>
  <si>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</si>
  <si>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</si>
  <si>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</si>
  <si>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</si>
  <si>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</si>
  <si>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</si>
  <si>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</si>
  <si>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</si>
  <si>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</si>
  <si>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</si>
  <si>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</si>
  <si>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</si>
  <si>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</si>
  <si>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</si>
  <si>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</si>
  <si>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</si>
  <si>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</si>
  <si>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</si>
  <si>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</si>
  <si>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</si>
  <si>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</si>
  <si>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</si>
  <si>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</si>
  <si>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</si>
  <si>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</si>
  <si>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</si>
  <si>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</si>
  <si>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</si>
  <si>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</si>
  <si>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</si>
  <si>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</si>
  <si>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</si>
  <si>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</si>
  <si>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</si>
  <si>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</si>
  <si>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</si>
  <si>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</si>
  <si>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</si>
  <si>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</si>
  <si>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</si>
  <si>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</si>
  <si>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</si>
  <si>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</si>
  <si>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</si>
  <si>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</si>
  <si>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</si>
  <si>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</si>
  <si>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</si>
  <si>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</si>
  <si>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</si>
  <si>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</si>
  <si>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</si>
  <si>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</si>
  <si>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</si>
  <si>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</si>
  <si>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</si>
  <si>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</si>
  <si>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</si>
  <si>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</si>
  <si>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</si>
  <si>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</si>
  <si>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</si>
  <si>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</si>
  <si>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</si>
  <si>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</si>
  <si>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</si>
  <si>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</si>
  <si>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</si>
  <si>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</si>
  <si>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</si>
  <si>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</si>
  <si>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</si>
  <si>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</si>
  <si>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</si>
  <si>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</si>
  <si>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</si>
  <si>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</si>
  <si>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</si>
  <si>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</si>
  <si>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</si>
  <si>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</si>
  <si>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</si>
  <si>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</si>
  <si>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</si>
  <si>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</si>
  <si>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</si>
  <si>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</si>
  <si>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</si>
  <si>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</si>
  <si>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</si>
  <si>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</si>
  <si>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</si>
  <si>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</si>
  <si>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</si>
  <si>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</si>
  <si>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</si>
  <si>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</si>
  <si>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</si>
  <si>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</si>
  <si>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</si>
  <si>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</si>
  <si>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</si>
  <si>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</si>
  <si>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</si>
  <si>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</si>
  <si>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</si>
  <si>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</si>
  <si>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</si>
  <si>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</si>
  <si>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</si>
  <si>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</si>
  <si>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</si>
  <si>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</si>
  <si>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</si>
  <si>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</si>
  <si>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</si>
  <si>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</si>
  <si>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</si>
  <si>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</si>
  <si>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</si>
  <si>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</si>
  <si>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</si>
  <si>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</si>
  <si>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</si>
  <si>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</si>
  <si>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</si>
  <si>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</si>
  <si>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</si>
  <si>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</si>
  <si>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</si>
  <si>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</si>
  <si>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</si>
  <si>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</si>
  <si>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</si>
  <si>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</si>
  <si>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</si>
  <si>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</si>
  <si>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</si>
  <si>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</si>
  <si>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</si>
  <si>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</si>
  <si>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</si>
  <si>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</si>
  <si>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</si>
  <si>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</si>
  <si>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</si>
  <si>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</si>
  <si>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</si>
  <si>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</si>
  <si>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</si>
  <si>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</si>
  <si>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</si>
  <si>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</si>
  <si>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</si>
  <si>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</si>
  <si>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</si>
  <si>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</si>
  <si>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</si>
  <si>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</si>
  <si>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</si>
  <si>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</si>
  <si>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</si>
  <si>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</si>
  <si>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</si>
  <si>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</si>
  <si>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</si>
  <si>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</si>
  <si>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</si>
  <si>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</si>
  <si>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</si>
  <si>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</si>
  <si>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</si>
  <si>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</si>
  <si>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</si>
  <si>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</si>
  <si>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</si>
  <si>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</si>
  <si>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</si>
  <si>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</si>
  <si>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</si>
  <si>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</si>
  <si>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</si>
  <si>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</si>
  <si>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</si>
  <si>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</si>
  <si>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</si>
  <si>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</si>
  <si>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</si>
  <si>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</si>
  <si>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</si>
  <si>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</si>
  <si>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</si>
  <si>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</si>
  <si>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</si>
  <si>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</si>
  <si>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</si>
  <si>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</si>
  <si>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</si>
  <si>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</si>
  <si>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</si>
  <si>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</si>
  <si>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</si>
  <si>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</si>
  <si>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</si>
  <si>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</si>
  <si>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</si>
  <si>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</si>
  <si>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</si>
  <si>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</si>
  <si>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</si>
  <si>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</si>
  <si>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</si>
  <si>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</si>
  <si>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</si>
  <si>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</si>
  <si>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</si>
  <si>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</si>
  <si>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</si>
  <si>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</si>
  <si>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</si>
  <si>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</si>
  <si>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</si>
  <si>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</si>
  <si>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</si>
  <si>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</si>
  <si>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</si>
  <si>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</si>
  <si>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</si>
  <si>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</si>
  <si>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</si>
  <si>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</si>
  <si>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</si>
  <si>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</si>
  <si>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</si>
  <si>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</si>
  <si>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</si>
  <si>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</si>
  <si>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</si>
  <si>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</si>
  <si>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</si>
  <si>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</si>
  <si>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</si>
  <si>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</si>
  <si>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</si>
  <si>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</si>
  <si>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</si>
  <si>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</si>
  <si>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</si>
  <si>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</si>
  <si>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</si>
  <si>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</si>
  <si>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</si>
  <si>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</si>
  <si>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</si>
  <si>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</si>
  <si>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</si>
  <si>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</si>
  <si>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</si>
  <si>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</si>
  <si>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</si>
  <si>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</si>
  <si>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</si>
  <si>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</si>
  <si>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</si>
  <si>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</si>
  <si>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</si>
  <si>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</si>
  <si>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</si>
  <si>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</si>
  <si>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</si>
  <si>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</si>
  <si>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</si>
  <si>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</si>
  <si>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</si>
  <si>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</si>
  <si>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</si>
  <si>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</si>
  <si>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ALESSANDRO ZUCCA</t>
  </si>
  <si>
    <t>RENATO BOCCOTTI</t>
  </si>
  <si>
    <t>SAMUELE CATALLO</t>
  </si>
  <si>
    <t>CINZIA COZZI</t>
  </si>
  <si>
    <t>SIMONA PANFILI</t>
  </si>
  <si>
    <t>ENRICO ROSTI</t>
  </si>
  <si>
    <t>XAVI MATEU</t>
  </si>
  <si>
    <t>09:26</t>
  </si>
  <si>
    <t>07:45</t>
  </si>
  <si>
    <t>Excellent job! I had you change a rebound where Nebo tips the ball, but it is not a pass to a teammate.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</si>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</sst>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16_152_MIL_MAD_E2025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152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46007.854166666664</v>
      </c>
      <c r="C3" s="157"/>
      <c r="D3" s="39">
        <v>576</v>
      </c>
      <c r="E3" s="29"/>
      <c r="F3" s="26">
        <f>SUBTOTAL(3,I17:I106)</f>
        <v>2</v>
      </c>
      <c r="G3" s="27">
        <f>IF(OR(D3="",D3=0),"",F3/D3)</f>
        <v>3.472222222222222E-3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EA7 Emporio Armani Milan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3.472222222222222E-3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Real Madrid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0.34722222222222221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1.8472222222222223</v>
      </c>
      <c r="N7" s="58"/>
      <c r="O7" s="2"/>
      <c r="P7" s="2"/>
      <c r="Q7" s="86">
        <f>SUM(R5,S5,AC16)</f>
        <v>1.8472222222222223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1.8472222222222223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152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152</v>
      </c>
      <c r="D17" s="32" t="s">
        <v>757</v>
      </c>
      <c r="E17" s="33">
        <v>2</v>
      </c>
      <c r="F17" s="36">
        <v>23</v>
      </c>
      <c r="G17" s="36">
        <v>21</v>
      </c>
      <c r="H17" s="38" t="str">
        <f>IF(I17="","",$I$14)</f>
        <v>SCOUTING</v>
      </c>
      <c r="I17" s="34">
        <v>140</v>
      </c>
      <c r="J17" s="13" t="s">
        <v>4</v>
      </c>
      <c r="K17" s="13" t="s">
        <v>62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152</v>
      </c>
      <c r="D18" s="32" t="s">
        <v>758</v>
      </c>
      <c r="E18" s="33">
        <v>2</v>
      </c>
      <c r="F18" s="36">
        <v>28</v>
      </c>
      <c r="G18" s="36">
        <v>23</v>
      </c>
      <c r="H18" s="38" t="str">
        <f t="shared" ref="H18:H81" si="8">IF(I18="","",$I$14)</f>
        <v>SCOUTING</v>
      </c>
      <c r="I18" s="34">
        <v>171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REPORT_E2025152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"E2025152"</v>
      </c>
      <c r="F3" s="45" t="str">
        <f t="shared" ref="F3:F16" si="0">""""&amp;B3&amp;"""" &amp; " : " &amp;C3&amp;","</f>
        <v>"name" : "E2025152",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"E152"</v>
      </c>
      <c r="F4" s="45" t="str">
        <f t="shared" si="0"/>
        <v>"cod" : "E152",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152</v>
      </c>
      <c r="F6" s="45" t="str">
        <f t="shared" si="0"/>
        <v>"number" : 152,</v>
      </c>
    </row>
    <row r="7" spans="2:6" x14ac:dyDescent="0.25">
      <c r="B7" s="43" t="s">
        <v>116</v>
      </c>
      <c r="C7" s="43" t="str">
        <f ca="1">""""&amp;TEXT('SCOUT &amp; LOGISTICS'!B3,"dd/mm/aaaa")&amp;""""</f>
        <v>"16/12/Tuesday"</v>
      </c>
      <c r="F7" s="45" t="str">
        <f t="shared" ca="1" si="0"/>
        <v>"date" : "16/12/Tuesday",</v>
      </c>
    </row>
    <row r="8" spans="2:6" x14ac:dyDescent="0.25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5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"ALESSANDRO ZUCCA"</v>
      </c>
      <c r="F10" s="45" t="str">
        <f t="shared" si="0"/>
        <v>"Data_entry" : "ALESSANDRO ZUCCA",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"RENATO BOCCOTTI"</v>
      </c>
      <c r="F11" s="45" t="str">
        <f t="shared" si="0"/>
        <v>"Caller_1" : "RENATO BOCCOTTI",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"SAMUELE CATALLO"</v>
      </c>
      <c r="F12" s="45" t="str">
        <f t="shared" si="0"/>
        <v>"Caller_2" : "SAMUELE CATALLO",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"CINZIA COZZI"</v>
      </c>
      <c r="F13" s="45" t="str">
        <f t="shared" si="0"/>
        <v>"Timerkeeper" : "CINZIA COZZI",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"SIMONA PANFILI"</v>
      </c>
      <c r="F14" s="45" t="str">
        <f t="shared" si="0"/>
        <v>"Shotclock" : "SIMONA PANFILI",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"ENRICO ROSTI"</v>
      </c>
      <c r="F15" s="45" t="str">
        <f t="shared" si="0"/>
        <v>"IRS" : "ENRICO ROSTI",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576</v>
      </c>
      <c r="F25" s="45" t="str">
        <f t="shared" ref="F25:F48" si="1">""""&amp;C25&amp;"""" &amp; " : " &amp;D25&amp;","</f>
        <v>"total_actions" : 576,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I had you change a rebound where Nebo tips the ball, but it is not a pass to a teammate."</v>
      </c>
      <c r="F51" s="45" t="str">
        <f>""""&amp;B51&amp;"""" &amp; " : " &amp;C51&amp;","</f>
        <v>"comments" : "Excellent job! I had you change a rebound where Nebo tips the ball, but it is not a pass to a teammate.",</v>
      </c>
    </row>
    <row r="52" spans="2:6" x14ac:dyDescent="0.25">
      <c r="B52" s="43" t="s">
        <v>153</v>
      </c>
      <c r="C52" s="43" t="str">
        <f>TEXT('SCOUT &amp; LOGISTICS'!F1,"0,0")</f>
        <v>16_152_MIL_MAD_E2025</v>
      </c>
      <c r="F52" s="45" t="str">
        <f>""""&amp;B52&amp;"""" &amp; " : " &amp;C52</f>
        <v>"result" : 16_152_MIL_MAD_E2025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E152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16/12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Ea7 Emporio Armani Milan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Real Madrid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ALESSANDRO ZUCCA</v>
      </c>
      <c r="C8" s="206"/>
      <c r="D8" s="206"/>
      <c r="E8" s="206"/>
      <c r="F8" s="206"/>
      <c r="G8" s="206" t="str">
        <f>IF('SCOUT &amp; LOGISTICS'!D7="","",'SCOUT &amp; LOGISTICS'!D7)</f>
        <v>RENATO BOCCOTTI</v>
      </c>
      <c r="H8" s="206"/>
      <c r="I8" s="206"/>
      <c r="J8" s="206"/>
      <c r="K8" s="206"/>
      <c r="L8" s="206" t="str">
        <f>IF('SCOUT &amp; LOGISTICS'!D8="","",'SCOUT &amp; LOGISTICS'!D8)</f>
        <v>SAMUELE CATALLO</v>
      </c>
      <c r="M8" s="206"/>
      <c r="N8" s="206"/>
      <c r="O8" s="206"/>
      <c r="P8" s="206"/>
      <c r="Q8" s="206" t="str">
        <f>IF('SCOUT &amp; LOGISTICS'!D9="","",'SCOUT &amp; LOGISTICS'!D9)</f>
        <v>CINZIA COZZI</v>
      </c>
      <c r="R8" s="206"/>
      <c r="S8" s="206"/>
      <c r="T8" s="206"/>
      <c r="U8" s="206"/>
      <c r="V8" s="206" t="str">
        <f>IF('SCOUT &amp; LOGISTICS'!D10="","",'SCOUT &amp; LOGISTICS'!D10)</f>
        <v>SIMONA PANFILI</v>
      </c>
      <c r="W8" s="206"/>
      <c r="X8" s="206"/>
      <c r="Y8" s="206"/>
      <c r="Z8" s="206"/>
      <c r="AA8" s="206" t="str">
        <f>IF('SCOUT &amp; LOGISTICS'!D11="","",'SCOUT &amp; LOGISTICS'!D11)</f>
        <v>ENRICO ROSTI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576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3.472222222222222E-3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job! I had you change a rebound where Nebo tips the ball, but it is not a pass to a teammate.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1.8472222222222223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555C212-343D-496E-9C18-2FC3E2771F47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2025-12-17T14:57:57Z</cp:lastPrinted>
  <dcterms:created xsi:type="dcterms:W3CDTF">2023-09-19T19:50:35Z</dcterms:created>
  <dcterms:modified xsi:type="dcterms:W3CDTF">2025-12-23T15:49:49Z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