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87" documentId="8_{28D83CA8-0FE1-49D3-8213-FD82722984DF}" xr6:coauthVersionLast="47" xr6:coauthVersionMax="47" xr10:uidLastSave="{5123BAE8-5130-44F8-A3C3-71C929E89BBC}"/>
  <bookViews>
    <workbookView xWindow="-28920" yWindow="675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<sst xmlns="http://schemas.openxmlformats.org/spreadsheetml/2006/main" count="3372" uniqueCount="842">
  <si>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</si>
  <si>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</si>
  <si>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</si>
  <si>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</si>
  <si>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</si>
  <si>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</si>
  <si>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</si>
  <si>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</si>
  <si>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</si>
  <si>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</si>
  <si>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</si>
  <si>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</si>
  <si>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</si>
  <si>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</si>
  <si>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</si>
  <si>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</si>
  <si>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</si>
  <si>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</si>
  <si>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</si>
  <si>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</si>
  <si>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</si>
  <si>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</si>
  <si>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</si>
  <si>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</si>
  <si>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</si>
  <si>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</si>
  <si>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</si>
  <si>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</si>
  <si>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</si>
  <si>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</si>
  <si>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</si>
  <si>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</si>
  <si>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</si>
  <si>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</si>
  <si>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</si>
  <si>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</si>
  <si>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</si>
  <si>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</si>
  <si>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</si>
  <si>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</si>
  <si>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</si>
  <si>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</si>
  <si>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</si>
  <si>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</si>
  <si>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</si>
  <si>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</si>
  <si>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</si>
  <si>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</si>
  <si>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</si>
  <si>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</si>
  <si>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</si>
  <si>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</si>
  <si>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</si>
  <si>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</si>
  <si>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</si>
  <si>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</si>
  <si>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</si>
  <si>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</si>
  <si>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</si>
  <si>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</si>
  <si>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</si>
  <si>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</si>
  <si>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</si>
  <si>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</si>
  <si>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</si>
  <si>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</si>
  <si>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</si>
  <si>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</si>
  <si>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</si>
  <si>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</si>
  <si>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</si>
  <si>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</si>
  <si>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</si>
  <si>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</si>
  <si>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</si>
  <si>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</si>
  <si>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</si>
  <si>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</si>
  <si>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</si>
  <si>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</si>
  <si>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</si>
  <si>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</si>
  <si>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</si>
  <si>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</si>
  <si>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</si>
  <si>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</si>
  <si>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</si>
  <si>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</si>
  <si>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</si>
  <si>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</si>
  <si>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</si>
  <si>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</si>
  <si>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</si>
  <si>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</si>
  <si>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</si>
  <si>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</si>
  <si>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</si>
  <si>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</si>
  <si>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</si>
  <si>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</si>
  <si>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</si>
  <si>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</si>
  <si>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</si>
  <si>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</si>
  <si>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</si>
  <si>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</si>
  <si>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</si>
  <si>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</si>
  <si>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</si>
  <si>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</si>
  <si>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</si>
  <si>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</si>
  <si>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</si>
  <si>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</si>
  <si>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</si>
  <si>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</si>
  <si>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</si>
  <si>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</si>
  <si>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</si>
  <si>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</si>
  <si>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</si>
  <si>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</si>
  <si>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</si>
  <si>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</si>
  <si>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</si>
  <si>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</si>
  <si>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</si>
  <si>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</si>
  <si>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</si>
  <si>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</si>
  <si>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</si>
  <si>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</si>
  <si>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</si>
  <si>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</si>
  <si>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</si>
  <si>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</si>
  <si>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</si>
  <si>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</si>
  <si>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</si>
  <si>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</si>
  <si>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</si>
  <si>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</si>
  <si>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</si>
  <si>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</si>
  <si>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</si>
  <si>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</si>
  <si>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</si>
  <si>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</si>
  <si>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</si>
  <si>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</si>
  <si>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</si>
  <si>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</si>
  <si>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</si>
  <si>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</si>
  <si>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</si>
  <si>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</si>
  <si>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</si>
  <si>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</si>
  <si>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</si>
  <si>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</si>
  <si>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</si>
  <si>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</si>
  <si>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</si>
  <si>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</si>
  <si>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</si>
  <si>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</si>
  <si>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</si>
  <si>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</si>
  <si>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</si>
  <si>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</si>
  <si>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</si>
  <si>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</si>
  <si>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</si>
  <si>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</si>
  <si>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</si>
  <si>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</si>
  <si>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</si>
  <si>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</si>
  <si>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</si>
  <si>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</si>
  <si>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</si>
  <si>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</si>
  <si>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</si>
  <si>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</si>
  <si>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</si>
  <si>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</si>
  <si>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</si>
  <si>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</si>
  <si>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</si>
  <si>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</si>
  <si>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</si>
  <si>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</si>
  <si>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</si>
  <si>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</si>
  <si>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</si>
  <si>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</si>
  <si>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</si>
  <si>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</si>
  <si>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</si>
  <si>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</si>
  <si>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</si>
  <si>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</si>
  <si>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</si>
  <si>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</si>
  <si>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</si>
  <si>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</si>
  <si>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</si>
  <si>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</si>
  <si>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</si>
  <si>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</si>
  <si>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</si>
  <si>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</si>
  <si>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</si>
  <si>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</si>
  <si>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</si>
  <si>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</si>
  <si>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</si>
  <si>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</si>
  <si>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</si>
  <si>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</si>
  <si>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</si>
  <si>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</si>
  <si>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</si>
  <si>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</si>
  <si>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</si>
  <si>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</si>
  <si>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</si>
  <si>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</si>
  <si>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</si>
  <si>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</si>
  <si>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</si>
  <si>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</si>
  <si>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</si>
  <si>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</si>
  <si>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</si>
  <si>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</si>
  <si>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</si>
  <si>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</si>
  <si>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</si>
  <si>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</si>
  <si>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</si>
  <si>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</si>
  <si>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</si>
  <si>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</si>
  <si>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</si>
  <si>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</si>
  <si>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</si>
  <si>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</si>
  <si>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</si>
  <si>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</si>
  <si>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</si>
  <si>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</si>
  <si>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</si>
  <si>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</si>
  <si>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</si>
  <si>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</si>
  <si>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</si>
  <si>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</si>
  <si>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</si>
  <si>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</si>
  <si>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</si>
  <si>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</si>
  <si>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</si>
  <si>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</si>
  <si>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</si>
  <si>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</si>
  <si>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</si>
  <si>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</si>
  <si>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</si>
  <si>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</si>
  <si>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</si>
  <si>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</si>
  <si>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</si>
  <si>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</si>
  <si>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</si>
  <si>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</si>
  <si>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</si>
  <si>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</si>
  <si>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</si>
  <si>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</si>
  <si>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</si>
  <si>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</si>
  <si>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</si>
  <si>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</si>
  <si>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</si>
  <si>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</si>
  <si>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</si>
  <si>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</si>
  <si>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</si>
  <si>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</si>
  <si>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</si>
  <si>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</si>
  <si>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</si>
  <si>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</si>
  <si>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</si>
  <si>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</si>
  <si>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</si>
  <si>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</si>
  <si>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</si>
  <si>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</si>
  <si>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</si>
  <si>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</si>
  <si>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</si>
  <si>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</si>
  <si>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</si>
  <si>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</si>
  <si>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</si>
  <si>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</si>
  <si>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</si>
  <si>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</si>
  <si>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</si>
  <si>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</si>
  <si>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</si>
  <si>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</si>
  <si>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</si>
  <si>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</si>
  <si>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</si>
  <si>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</si>
  <si>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</si>
  <si>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</si>
  <si>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</si>
  <si>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</si>
  <si>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</si>
  <si>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</si>
  <si>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</si>
  <si>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</si>
  <si>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</si>
  <si>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</si>
  <si>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</si>
  <si>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</si>
  <si>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</si>
  <si>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</si>
  <si>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</si>
  <si>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</si>
  <si>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</si>
  <si>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</si>
  <si>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</si>
  <si>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</si>
  <si>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</si>
  <si>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</si>
  <si>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</si>
  <si>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</si>
  <si>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</si>
  <si>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</si>
  <si>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</si>
  <si>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</si>
  <si>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</si>
  <si>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</si>
  <si>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</si>
  <si>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</si>
  <si>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</si>
  <si>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</si>
  <si>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</si>
  <si>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</si>
  <si>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</si>
  <si>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</si>
  <si>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</si>
  <si>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</si>
  <si>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</si>
  <si>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</si>
  <si>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</si>
  <si>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</si>
  <si>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</si>
  <si>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</si>
  <si>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</si>
  <si>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</si>
  <si>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</si>
  <si>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</si>
  <si>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</si>
  <si>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</si>
  <si>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</si>
  <si>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</si>
  <si>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</si>
  <si>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</si>
  <si>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</si>
  <si>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</si>
  <si>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</si>
  <si>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</si>
  <si>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</si>
  <si>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</si>
  <si>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</si>
  <si>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</si>
  <si>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</si>
  <si>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</si>
  <si>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</si>
  <si>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</si>
  <si>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</si>
  <si>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</si>
  <si>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</si>
  <si>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</si>
  <si>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</si>
  <si>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</si>
  <si>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</si>
  <si>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</si>
  <si>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</si>
  <si>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</si>
  <si>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</si>
  <si>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</si>
  <si>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</si>
  <si>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</si>
  <si>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</si>
  <si>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</si>
  <si>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</si>
  <si>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</si>
  <si>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</si>
  <si>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</si>
  <si>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</si>
  <si>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</si>
  <si>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</si>
  <si>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</si>
  <si>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</si>
  <si>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</si>
  <si>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</si>
  <si>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</si>
  <si>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</si>
  <si>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</si>
  <si>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</si>
  <si>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</si>
  <si>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</si>
  <si>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</si>
  <si>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</si>
  <si>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</si>
  <si>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</si>
  <si>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</si>
  <si>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</si>
  <si>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</si>
  <si>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</si>
  <si>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</si>
  <si>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</si>
  <si>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</si>
  <si>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</si>
  <si>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</si>
  <si>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</si>
  <si>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</si>
  <si>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</si>
  <si>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</si>
  <si>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</si>
  <si>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</si>
  <si>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</si>
  <si>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</si>
  <si>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</si>
  <si>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</si>
  <si>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</si>
  <si>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</si>
  <si>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</si>
  <si>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</si>
  <si>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</si>
  <si>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</si>
  <si>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</si>
  <si>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</si>
  <si>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</si>
  <si>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</si>
  <si>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</si>
  <si>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</si>
  <si>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</si>
  <si>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</si>
  <si>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</si>
  <si>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</si>
  <si>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</si>
  <si>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</si>
  <si>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</si>
  <si>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</si>
  <si>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</si>
  <si>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</si>
  <si>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</si>
  <si>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</si>
  <si>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</si>
  <si>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</si>
  <si>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</si>
  <si>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</si>
  <si>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</si>
  <si>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</si>
  <si>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</si>
  <si>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</si>
  <si>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</si>
  <si>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</si>
  <si>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</si>
  <si>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</si>
  <si>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</si>
  <si>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</si>
  <si>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</si>
  <si>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</si>
  <si>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</si>
  <si>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</si>
  <si>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</si>
  <si>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</si>
  <si>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</si>
  <si>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</si>
  <si>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</si>
  <si>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</si>
  <si>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</si>
  <si>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</si>
  <si>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</si>
  <si>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</si>
  <si>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</si>
  <si>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</si>
  <si>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</si>
  <si>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</si>
  <si>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</si>
  <si>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</si>
  <si>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</si>
  <si>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</si>
  <si>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</si>
  <si>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</si>
  <si>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</si>
  <si>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</si>
  <si>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</si>
  <si>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</si>
  <si>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</si>
  <si>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</si>
  <si>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</si>
  <si>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</si>
  <si>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</si>
  <si>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</si>
  <si>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</si>
  <si>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</si>
  <si>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</si>
  <si>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</si>
  <si>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</si>
  <si>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</si>
  <si>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</si>
  <si>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</si>
  <si>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</si>
  <si>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</si>
  <si>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</si>
  <si>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</si>
  <si>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</si>
  <si>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</si>
  <si>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</si>
  <si>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</si>
  <si>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</si>
  <si>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</si>
  <si>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</si>
  <si>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</si>
  <si>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</si>
  <si>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</si>
  <si>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</si>
  <si>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</si>
  <si>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</si>
  <si>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</si>
  <si>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</si>
  <si>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</si>
  <si>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</si>
  <si>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</si>
  <si>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</si>
  <si>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</si>
  <si>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</si>
  <si>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</si>
  <si>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</si>
  <si>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</si>
  <si>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</si>
  <si>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</si>
  <si>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</si>
  <si>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</si>
  <si>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</si>
  <si>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</si>
  <si>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</si>
  <si>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</si>
  <si>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</si>
  <si>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</si>
  <si>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</si>
  <si>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</si>
  <si>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</si>
  <si>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</si>
  <si>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</si>
  <si>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</si>
  <si>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</si>
  <si>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</si>
  <si>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</si>
  <si>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</si>
  <si>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</si>
  <si>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</si>
  <si>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</si>
  <si>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</si>
  <si>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</si>
  <si>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</si>
  <si>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</si>
  <si>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</si>
  <si>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</si>
  <si>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</si>
  <si>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</si>
  <si>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</si>
  <si>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</si>
  <si>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</si>
  <si>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</si>
  <si>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</si>
  <si>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</si>
  <si>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</si>
  <si>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</si>
  <si>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</si>
  <si>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</si>
  <si>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</si>
  <si>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</si>
  <si>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</si>
  <si>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</si>
  <si>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</si>
  <si>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</si>
  <si>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</si>
  <si>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</si>
  <si>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</si>
  <si>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</si>
  <si>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</si>
  <si>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</si>
  <si>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</si>
  <si>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</si>
  <si>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</si>
  <si>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</si>
  <si>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</si>
  <si>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</si>
  <si>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</si>
  <si>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</si>
  <si>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</si>
  <si>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</si>
  <si>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</si>
  <si>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</si>
  <si>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</si>
  <si>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</si>
  <si>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</si>
  <si>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</si>
  <si>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</si>
  <si>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</si>
  <si>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</si>
  <si>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</si>
  <si>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</si>
  <si>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</si>
  <si>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</si>
  <si>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</si>
  <si>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</si>
  <si>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</si>
  <si>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</si>
  <si>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</si>
  <si>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</si>
  <si>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</si>
  <si>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</si>
  <si>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</si>
  <si>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</si>
  <si>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</si>
  <si>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</si>
  <si>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</si>
  <si>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</si>
  <si>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</si>
  <si>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</si>
  <si>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</si>
  <si>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</si>
  <si>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</si>
  <si>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</si>
  <si>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</si>
  <si>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</si>
  <si>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</si>
  <si>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</si>
  <si>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</si>
  <si>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</si>
  <si>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</si>
  <si>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</si>
  <si>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</si>
  <si>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</si>
  <si>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</si>
  <si>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</si>
  <si>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</si>
  <si>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</si>
  <si>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</si>
  <si>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</si>
  <si>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</si>
  <si>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</si>
  <si>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</si>
  <si>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</si>
  <si>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</si>
  <si>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</si>
  <si>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</si>
  <si>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</si>
  <si>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</si>
  <si>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</si>
  <si>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</si>
  <si>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</si>
  <si>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</si>
  <si>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</si>
  <si>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</si>
  <si>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</si>
  <si>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</si>
  <si>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</si>
  <si>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</si>
  <si>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</si>
  <si>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</si>
  <si>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</si>
  <si>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</si>
  <si>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</si>
  <si>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</si>
  <si>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</si>
  <si>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</si>
  <si>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</si>
  <si>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</si>
  <si>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</si>
  <si>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</si>
  <si>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</si>
  <si>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</si>
  <si>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</si>
  <si>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</si>
  <si>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</si>
  <si>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</si>
  <si>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</si>
  <si>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</si>
  <si>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</si>
  <si>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</si>
  <si>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</si>
  <si>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</si>
  <si>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</si>
  <si>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</si>
  <si>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</si>
  <si>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</si>
  <si>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</si>
  <si>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</si>
  <si>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</si>
  <si>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</si>
  <si>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</si>
  <si>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</si>
  <si>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</si>
  <si>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</si>
  <si>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</si>
  <si>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</si>
  <si>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</si>
  <si>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</si>
  <si>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</si>
  <si>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</si>
  <si>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</si>
  <si>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</si>
  <si>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</si>
  <si>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</si>
  <si>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</si>
  <si>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</si>
  <si>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</si>
  <si>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</si>
  <si>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</si>
  <si>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</si>
  <si>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</si>
  <si>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</si>
  <si>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</si>
  <si>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</si>
  <si>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</si>
  <si>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</si>
  <si>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</si>
  <si>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</si>
  <si>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</si>
  <si>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</si>
  <si>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</si>
  <si>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</si>
  <si>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</si>
  <si>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</si>
  <si>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</si>
  <si>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</si>
  <si>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</si>
  <si>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</si>
  <si>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</si>
  <si>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</si>
  <si>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</si>
  <si>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</si>
  <si>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</si>
  <si>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</si>
  <si>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</si>
  <si>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</si>
  <si>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</si>
  <si>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</si>
  <si>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</si>
  <si>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</si>
  <si>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</si>
  <si>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</si>
  <si>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</si>
  <si>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</si>
  <si>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</si>
  <si>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</si>
  <si>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</si>
  <si>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</si>
  <si>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</si>
  <si>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</si>
  <si>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</si>
  <si>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</si>
  <si>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</si>
  <si>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</si>
  <si>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</si>
  <si>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</si>
  <si>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</si>
  <si>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</si>
  <si>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</si>
  <si>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</si>
  <si>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</si>
  <si>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</si>
  <si>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</si>
  <si>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</si>
  <si>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</si>
  <si>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</si>
  <si>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</si>
  <si>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</si>
  <si>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</si>
  <si>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</si>
  <si>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</si>
  <si>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</si>
  <si>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</si>
  <si>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</si>
  <si>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</si>
  <si>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</si>
  <si>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</si>
  <si>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</si>
  <si>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</si>
  <si>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</si>
  <si>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</si>
  <si>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</si>
  <si>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</si>
  <si>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</si>
  <si>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</si>
  <si>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</si>
  <si>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</si>
  <si>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</si>
  <si>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</si>
  <si>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</si>
  <si>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</si>
  <si>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</si>
  <si>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</si>
  <si>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</si>
  <si>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</si>
  <si>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</si>
  <si>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</si>
  <si>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</si>
  <si>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</si>
  <si>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</si>
  <si>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</si>
  <si>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</si>
  <si>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</si>
  <si>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MARCO CONCINA</t>
  </si>
  <si>
    <t>MATTIA DECET</t>
  </si>
  <si>
    <t>RICCARDO PILUTTI</t>
  </si>
  <si>
    <t>ANDREA COPPO</t>
  </si>
  <si>
    <t>SILVIA GAGNO</t>
  </si>
  <si>
    <t>ORIOL GARCIA</t>
  </si>
  <si>
    <t>07:09</t>
  </si>
  <si>
    <t>05:35</t>
  </si>
  <si>
    <t>00:43</t>
  </si>
  <si>
    <t>08:55</t>
  </si>
  <si>
    <t>05:55</t>
  </si>
  <si>
    <t>08:58</t>
  </si>
  <si>
    <t>04:42</t>
  </si>
  <si>
    <t>01:56</t>
  </si>
  <si>
    <t>Good procedures and communication during the game. Good scouting but take care on substitutions that were struggling in some moments of the game.</t>
  </si>
  <si>
    <t>C:\Users\oriol.garcia\OneDrive - EUROLEAGUE\Documents\Season 25-26\Reports\Eurocup\Umana Reyer Venecia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</si>
</sst>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27" sqref="N27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16_152_VNC_LJU_U2025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841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152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46050.833333333336</v>
      </c>
      <c r="C3" s="157"/>
      <c r="D3" s="39">
        <v>599</v>
      </c>
      <c r="E3" s="29"/>
      <c r="F3" s="26">
        <f>SUBTOTAL(3,I17:I106)</f>
        <v>8</v>
      </c>
      <c r="G3" s="27">
        <f>IF(OR(D3="",D3=0),"",F3/D3)</f>
        <v>1.335559265442404E-2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Umana Reyer Venice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VNC</v>
      </c>
      <c r="I4" s="5"/>
      <c r="J4" s="119" t="s">
        <v>714</v>
      </c>
      <c r="K4" s="54" t="s">
        <v>743</v>
      </c>
      <c r="L4" s="5"/>
      <c r="M4" s="167" t="s">
        <v>840</v>
      </c>
      <c r="N4" s="168"/>
      <c r="O4" s="2"/>
      <c r="P4" s="2"/>
      <c r="Q4" s="84" t="s">
        <v>175</v>
      </c>
      <c r="R4" s="94">
        <f>(IF(G3="",0,G3))</f>
        <v>1.335559265442404E-2</v>
      </c>
      <c r="S4" s="61">
        <f>SUM(I13:M13)</f>
        <v>2</v>
      </c>
      <c r="T4" s="78"/>
      <c r="U4" s="61">
        <f>AC18</f>
        <v>2</v>
      </c>
      <c r="V4" s="61">
        <f>+AC22</f>
        <v>2</v>
      </c>
      <c r="W4" s="61">
        <f>AC24</f>
        <v>1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1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Cedevita Olimpija Ljubljana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LJU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1.335559265442404</v>
      </c>
      <c r="S5" s="70">
        <f t="shared" ref="S5" si="0">S4*S3</f>
        <v>2</v>
      </c>
      <c r="T5" s="92"/>
      <c r="U5" s="70">
        <f t="shared" ref="U5:AG5" si="1">U4*U3</f>
        <v>1</v>
      </c>
      <c r="V5" s="70">
        <f t="shared" si="1"/>
        <v>2</v>
      </c>
      <c r="W5" s="70">
        <f t="shared" si="1"/>
        <v>1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5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826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827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17.335559265442406</v>
      </c>
      <c r="N7" s="58"/>
      <c r="O7" s="2"/>
      <c r="P7" s="2"/>
      <c r="Q7" s="86">
        <f>SUM(R5,S5,AC16)</f>
        <v>17.335559265442406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828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17.335559265442406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829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830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152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16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2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831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8</v>
      </c>
      <c r="J15" s="24">
        <f>SUBTOTAL(3,J17:J106)</f>
        <v>8</v>
      </c>
      <c r="K15" s="24">
        <f>SUBTOTAL(3,K17:K106)</f>
        <v>8</v>
      </c>
      <c r="L15" s="24">
        <f>SUBTOTAL(3,L17:L106)</f>
        <v>8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8</v>
      </c>
      <c r="Z16" s="90" t="s">
        <v>110</v>
      </c>
      <c r="AA16" s="75">
        <f>SUM(AA17:AA24)</f>
        <v>8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14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8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152</v>
      </c>
      <c r="D17" s="32" t="s">
        <v>832</v>
      </c>
      <c r="E17" s="33">
        <v>1</v>
      </c>
      <c r="F17" s="36">
        <v>4</v>
      </c>
      <c r="G17" s="36">
        <v>6</v>
      </c>
      <c r="H17" s="38" t="str">
        <f>IF(I17="","",$I$14)</f>
        <v>SCOUTING</v>
      </c>
      <c r="I17" s="34">
        <v>33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6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152</v>
      </c>
      <c r="D18" s="32" t="s">
        <v>833</v>
      </c>
      <c r="E18" s="33">
        <v>1</v>
      </c>
      <c r="F18" s="36">
        <v>7</v>
      </c>
      <c r="G18" s="36">
        <v>11</v>
      </c>
      <c r="H18" s="38" t="str">
        <f t="shared" ref="H18:H81" si="8">IF(I18="","",$I$14)</f>
        <v>SCOUTING</v>
      </c>
      <c r="I18" s="34">
        <v>58</v>
      </c>
      <c r="J18" s="13" t="s">
        <v>4</v>
      </c>
      <c r="K18" s="13" t="s">
        <v>63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152</v>
      </c>
      <c r="D19" s="32" t="s">
        <v>834</v>
      </c>
      <c r="E19" s="33">
        <v>1</v>
      </c>
      <c r="F19" s="36">
        <v>14</v>
      </c>
      <c r="G19" s="36">
        <v>26</v>
      </c>
      <c r="H19" s="38" t="str">
        <f t="shared" si="8"/>
        <v>SCOUTING</v>
      </c>
      <c r="I19" s="34">
        <v>137</v>
      </c>
      <c r="J19" s="13" t="s">
        <v>4</v>
      </c>
      <c r="K19" s="13" t="s">
        <v>61</v>
      </c>
      <c r="L19" s="13" t="s">
        <v>47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2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152</v>
      </c>
      <c r="D20" s="32" t="s">
        <v>835</v>
      </c>
      <c r="E20" s="33">
        <v>2</v>
      </c>
      <c r="F20" s="36">
        <v>19</v>
      </c>
      <c r="G20" s="36">
        <v>32</v>
      </c>
      <c r="H20" s="38" t="str">
        <f t="shared" si="8"/>
        <v>SCOUTING</v>
      </c>
      <c r="I20" s="34">
        <v>167</v>
      </c>
      <c r="J20" s="13" t="s">
        <v>4</v>
      </c>
      <c r="K20" s="13" t="s">
        <v>63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152</v>
      </c>
      <c r="D21" s="32" t="s">
        <v>836</v>
      </c>
      <c r="E21" s="33">
        <v>2</v>
      </c>
      <c r="F21" s="36">
        <v>27</v>
      </c>
      <c r="G21" s="36">
        <v>35</v>
      </c>
      <c r="H21" s="38" t="str">
        <f t="shared" si="8"/>
        <v>SCOUTING</v>
      </c>
      <c r="I21" s="34">
        <v>224</v>
      </c>
      <c r="J21" s="13" t="s">
        <v>3</v>
      </c>
      <c r="K21" s="13" t="s">
        <v>61</v>
      </c>
      <c r="L21" s="13" t="s">
        <v>78</v>
      </c>
      <c r="M21" s="13" t="s">
        <v>78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152</v>
      </c>
      <c r="D22" s="32" t="s">
        <v>837</v>
      </c>
      <c r="E22" s="33">
        <v>3</v>
      </c>
      <c r="F22" s="36">
        <v>41</v>
      </c>
      <c r="G22" s="36">
        <v>46</v>
      </c>
      <c r="H22" s="38" t="str">
        <f t="shared" si="8"/>
        <v>SCOUTING</v>
      </c>
      <c r="I22" s="34">
        <v>327</v>
      </c>
      <c r="J22" s="13" t="s">
        <v>4</v>
      </c>
      <c r="K22" s="13" t="s">
        <v>63</v>
      </c>
      <c r="L22" s="13" t="s">
        <v>7</v>
      </c>
      <c r="M22" s="13" t="s">
        <v>12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152</v>
      </c>
      <c r="D23" s="32" t="s">
        <v>838</v>
      </c>
      <c r="E23" s="33">
        <v>3</v>
      </c>
      <c r="F23" s="36">
        <v>47</v>
      </c>
      <c r="G23" s="36">
        <v>49</v>
      </c>
      <c r="H23" s="38" t="str">
        <f t="shared" si="8"/>
        <v>SCOUTING</v>
      </c>
      <c r="I23" s="34">
        <v>394</v>
      </c>
      <c r="J23" s="13" t="s">
        <v>4</v>
      </c>
      <c r="K23" s="13" t="s">
        <v>63</v>
      </c>
      <c r="L23" s="13" t="s">
        <v>6</v>
      </c>
      <c r="M23" s="13" t="s">
        <v>22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152</v>
      </c>
      <c r="D24" s="32" t="s">
        <v>839</v>
      </c>
      <c r="E24" s="33">
        <v>4</v>
      </c>
      <c r="F24" s="36">
        <v>79</v>
      </c>
      <c r="G24" s="36">
        <v>75</v>
      </c>
      <c r="H24" s="38" t="str">
        <f t="shared" si="8"/>
        <v>SCOUTING</v>
      </c>
      <c r="I24" s="34">
        <v>564</v>
      </c>
      <c r="J24" s="13" t="s">
        <v>4</v>
      </c>
      <c r="K24" s="13" t="s">
        <v>63</v>
      </c>
      <c r="L24" s="13" t="s">
        <v>7</v>
      </c>
      <c r="M24" s="13" t="s">
        <v>10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1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1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3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REPORT_U2025152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"U2025152"</v>
      </c>
      <c r="F3" s="45" t="str">
        <f t="shared" ref="F3:F16" si="0">""""&amp;B3&amp;"""" &amp; " : " &amp;C3&amp;","</f>
        <v>"name" : "U2025152",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"U152"</v>
      </c>
      <c r="F4" s="45" t="str">
        <f t="shared" si="0"/>
        <v>"cod" : "U152",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152</v>
      </c>
      <c r="F6" s="45" t="str">
        <f t="shared" si="0"/>
        <v>"number" : 152,</v>
      </c>
    </row>
    <row r="7" spans="2:6" x14ac:dyDescent="0.25">
      <c r="B7" s="43" t="s">
        <v>116</v>
      </c>
      <c r="C7" s="43" t="str">
        <f ca="1">""""&amp;TEXT('SCOUT &amp; LOGISTICS'!B3,"dd/mm/aaaa")&amp;""""</f>
        <v>"28/01/Wednesday"</v>
      </c>
      <c r="F7" s="45" t="str">
        <f t="shared" ca="1" si="0"/>
        <v>"date" : "28/01/Wednesday",</v>
      </c>
    </row>
    <row r="8" spans="2:6" x14ac:dyDescent="0.25">
      <c r="B8" s="43" t="s">
        <v>125</v>
      </c>
      <c r="C8" s="43" t="str">
        <f>""""&amp;'SCOUT &amp; LOGISTICS'!D4 &amp;""""</f>
        <v>"Umana Reyer Venice"</v>
      </c>
      <c r="F8" s="45" t="str">
        <f t="shared" si="0"/>
        <v>"home_team" : "Umana Reyer Venice",</v>
      </c>
    </row>
    <row r="9" spans="2:6" x14ac:dyDescent="0.25">
      <c r="B9" s="43" t="s">
        <v>126</v>
      </c>
      <c r="C9" s="43" t="str">
        <f>""""&amp;'SCOUT &amp; LOGISTICS'!D5&amp;""""</f>
        <v>"Cedevita Olimpija Ljubljana"</v>
      </c>
      <c r="F9" s="45" t="str">
        <f t="shared" si="0"/>
        <v>"away_team" : "Cedevita Olimpija Ljubljana",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"MARCO CONCINA"</v>
      </c>
      <c r="F10" s="45" t="str">
        <f t="shared" si="0"/>
        <v>"Data_entry" : "MARCO CONCINA",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"MATTIA DECET"</v>
      </c>
      <c r="F11" s="45" t="str">
        <f t="shared" si="0"/>
        <v>"Caller_1" : "MATTIA DECET",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"RICCARDO PILUTTI"</v>
      </c>
      <c r="F12" s="45" t="str">
        <f t="shared" si="0"/>
        <v>"Caller_2" : "RICCARDO PILUTTI",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"ANDREA COPPO"</v>
      </c>
      <c r="F13" s="45" t="str">
        <f t="shared" si="0"/>
        <v>"Timerkeeper" : "ANDREA COPPO",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"SILVIA GAGNO"</v>
      </c>
      <c r="F14" s="45" t="str">
        <f t="shared" si="0"/>
        <v>"Shotclock" : "SILVIA GAGNO",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"SLOW"</v>
      </c>
      <c r="F21" s="45" t="str">
        <f>""""&amp;C21&amp;"""" &amp; " : " &amp;D21&amp;","</f>
        <v>"corrections" : "SLOW",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599</v>
      </c>
      <c r="F25" s="45" t="str">
        <f t="shared" ref="F25:F48" si="1">""""&amp;C25&amp;"""" &amp; " : " &amp;D25&amp;","</f>
        <v>"total_actions" : 599,</v>
      </c>
    </row>
    <row r="26" spans="2:6" x14ac:dyDescent="0.25">
      <c r="C26" s="43" t="s">
        <v>132</v>
      </c>
      <c r="D26" s="43">
        <f>'SCOUT &amp; LOGISTICS'!F3</f>
        <v>8</v>
      </c>
      <c r="F26" s="45" t="str">
        <f t="shared" si="1"/>
        <v>"total_correcions" : 8,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6</v>
      </c>
      <c r="F28" s="45" t="str">
        <f t="shared" si="1"/>
        <v>"home_team" : 6,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2</v>
      </c>
      <c r="F30" s="45" t="str">
        <f t="shared" si="1"/>
        <v>"away_team" : 2,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8</v>
      </c>
      <c r="F37" s="45" t="str">
        <f t="shared" si="1"/>
        <v>"scoresheet_corrections" : 8,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procedures and communication during the game. Good scouting but take care on substitutions that were struggling in some moments of the game."</v>
      </c>
      <c r="F51" s="45" t="str">
        <f>""""&amp;B51&amp;"""" &amp; " : " &amp;C51&amp;","</f>
        <v>"comments" : "Good procedures and communication during the game. Good scouting but take care on substitutions that were struggling in some moments of the game.",</v>
      </c>
    </row>
    <row r="52" spans="2:6" x14ac:dyDescent="0.25">
      <c r="B52" s="43" t="s">
        <v>153</v>
      </c>
      <c r="C52" s="43" t="str">
        <f>TEXT('SCOUT &amp; LOGISTICS'!F1,"0,0")</f>
        <v>16_152_VNC_LJU_U2025</v>
      </c>
      <c r="F52" s="45" t="str">
        <f>""""&amp;B52&amp;"""" &amp; " : " &amp;C52</f>
        <v>"result" : 16_152_VNC_LJU_U2025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U152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28/01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Umana Reyer Venice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Cedevita Olimpija Ljubljana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MARCO CONCINA</v>
      </c>
      <c r="C8" s="206"/>
      <c r="D8" s="206"/>
      <c r="E8" s="206"/>
      <c r="F8" s="206"/>
      <c r="G8" s="206" t="str">
        <f>IF('SCOUT &amp; LOGISTICS'!D7="","",'SCOUT &amp; LOGISTICS'!D7)</f>
        <v>MATTIA DECET</v>
      </c>
      <c r="H8" s="206"/>
      <c r="I8" s="206"/>
      <c r="J8" s="206"/>
      <c r="K8" s="206"/>
      <c r="L8" s="206" t="str">
        <f>IF('SCOUT &amp; LOGISTICS'!D8="","",'SCOUT &amp; LOGISTICS'!D8)</f>
        <v>RICCARDO PILUTTI</v>
      </c>
      <c r="M8" s="206"/>
      <c r="N8" s="206"/>
      <c r="O8" s="206"/>
      <c r="P8" s="206"/>
      <c r="Q8" s="206" t="str">
        <f>IF('SCOUT &amp; LOGISTICS'!D9="","",'SCOUT &amp; LOGISTICS'!D9)</f>
        <v>ANDREA COPPO</v>
      </c>
      <c r="R8" s="206"/>
      <c r="S8" s="206"/>
      <c r="T8" s="206"/>
      <c r="U8" s="206"/>
      <c r="V8" s="206" t="str">
        <f>IF('SCOUT &amp; LOGISTICS'!D10="","",'SCOUT &amp; LOGISTICS'!D10)</f>
        <v>SILVIA GAGNO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SLOW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599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8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1.335559265442404E-2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6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2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1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1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Good procedures and communication during the game. Good scouting but take care on substitutions that were struggling in some moments of the game.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17.335559265442406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0347044-B15D-40A4-AA4A-73B50E0F4D0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2026-01-07T21:13:32Z</cp:lastPrinted>
  <dcterms:created xsi:type="dcterms:W3CDTF">2023-09-19T19:50:35Z</dcterms:created>
  <dcterms:modified xsi:type="dcterms:W3CDTF">2026-01-29T18:11:46Z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