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9CAE7B2-1D09-42B8-B568-1028BA65F4D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<sst xmlns="http://schemas.openxmlformats.org/spreadsheetml/2006/main" count="3321" uniqueCount="826">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</sst>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16_153_MAN_CLU_U2025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153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46050.864583333336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BAXI Manresa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MAN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U-BT Cluj-Napoca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CLU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REPORT_U2025153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"U2025153"</v>
      </c>
      <c r="F3" s="45" t="str">
        <f t="shared" ref="F3:F16" si="0">""""&amp;B3&amp;"""" &amp; " : " &amp;C3&amp;","</f>
        <v>"name" : "U2025153",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"U153"</v>
      </c>
      <c r="F4" s="45" t="str">
        <f t="shared" si="0"/>
        <v>"cod" : "U153",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153</v>
      </c>
      <c r="F6" s="45" t="str">
        <f t="shared" si="0"/>
        <v>"number" : 153,</v>
      </c>
    </row>
    <row r="7" spans="2:6" x14ac:dyDescent="0.2">
      <c r="B7" s="43" t="s">
        <v>116</v>
      </c>
      <c r="C7" s="43" t="str">
        <f ca="1">""""&amp;TEXT('SCOUT &amp; LOGISTICS'!B3,"dd/mm/aaaa")&amp;""""</f>
        <v>"28/01/Wednesday"</v>
      </c>
      <c r="F7" s="45" t="str">
        <f t="shared" ca="1" si="0"/>
        <v>"date" : "28/01/Wednesday",</v>
      </c>
    </row>
    <row r="8" spans="2:6" x14ac:dyDescent="0.2">
      <c r="B8" s="43" t="s">
        <v>125</v>
      </c>
      <c r="C8" s="43" t="str">
        <f>""""&amp;'SCOUT &amp; LOGISTICS'!D4 &amp;""""</f>
        <v>"BAXI Manresa"</v>
      </c>
      <c r="F8" s="45" t="str">
        <f t="shared" si="0"/>
        <v>"home_team" : "BAXI Manresa",</v>
      </c>
    </row>
    <row r="9" spans="2:6" x14ac:dyDescent="0.2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16_153_MAN_CLU_U2025</v>
      </c>
      <c r="F52" s="45" t="str">
        <f>""""&amp;B52&amp;"""" &amp; " : " &amp;C52</f>
        <v>"result" : 16_153_MAN_CLU_U2025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U153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28/01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Baxi Manresa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U-Bt Cluj-Napoca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49E2797-ECE3-461F-963A-16610C5E6CF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2026-01-07T21:13:41Z</cp:lastPrinted>
  <dcterms:created xsi:type="dcterms:W3CDTF">2023-09-19T19:50:35Z</dcterms:created>
  <dcterms:modified xsi:type="dcterms:W3CDTF">2026-01-07T21:13:52Z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