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7" documentId="8_{E7AD76FC-8A8F-40D9-9ECA-C2229E79CCEF}" xr6:coauthVersionLast="47" xr6:coauthVersionMax="47" xr10:uidLastSave="{385DD1BC-9499-4C95-A19C-5FABE549DE20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<sst xmlns="http://schemas.openxmlformats.org/spreadsheetml/2006/main" count="3374" uniqueCount="844">
  <si>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</si>
  <si>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</si>
  <si>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</si>
  <si>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</si>
  <si>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</si>
  <si>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</si>
  <si>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</si>
  <si>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</si>
  <si>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</si>
  <si>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</si>
  <si>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</si>
  <si>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</si>
  <si>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</si>
  <si>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</si>
  <si>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</si>
  <si>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</si>
  <si>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</si>
  <si>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</si>
  <si>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</si>
  <si>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</si>
  <si>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</si>
  <si>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</si>
  <si>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</si>
  <si>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</si>
  <si>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</si>
  <si>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</si>
  <si>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</si>
  <si>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</si>
  <si>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</si>
  <si>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</si>
  <si>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</si>
  <si>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</si>
  <si>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</si>
  <si>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</si>
  <si>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</si>
  <si>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</si>
  <si>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</si>
  <si>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</si>
  <si>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</si>
  <si>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</si>
  <si>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</si>
  <si>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</si>
  <si>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</si>
  <si>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</si>
  <si>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</si>
  <si>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</si>
  <si>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</si>
  <si>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</si>
  <si>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</si>
  <si>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</si>
  <si>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</si>
  <si>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</si>
  <si>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</si>
  <si>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</si>
  <si>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</si>
  <si>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</si>
  <si>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</si>
  <si>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</si>
  <si>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</si>
  <si>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</si>
  <si>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</si>
  <si>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</si>
  <si>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</si>
  <si>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</si>
  <si>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</si>
  <si>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</si>
  <si>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</si>
  <si>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</si>
  <si>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</si>
  <si>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</si>
  <si>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</si>
  <si>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</si>
  <si>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</si>
  <si>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</si>
  <si>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</si>
  <si>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</si>
  <si>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</si>
  <si>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</si>
  <si>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</si>
  <si>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</si>
  <si>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</si>
  <si>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</si>
  <si>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</si>
  <si>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</si>
  <si>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</si>
  <si>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</si>
  <si>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</si>
  <si>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</si>
  <si>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</si>
  <si>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</si>
  <si>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</si>
  <si>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</si>
  <si>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</si>
  <si>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</si>
  <si>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</si>
  <si>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</si>
  <si>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</si>
  <si>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</si>
  <si>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</si>
  <si>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</si>
  <si>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</si>
  <si>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</si>
  <si>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</si>
  <si>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</si>
  <si>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</si>
  <si>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</si>
  <si>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</si>
  <si>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</si>
  <si>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</si>
  <si>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</si>
  <si>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</si>
  <si>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</si>
  <si>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</si>
  <si>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</si>
  <si>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</si>
  <si>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</si>
  <si>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</si>
  <si>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</si>
  <si>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</si>
  <si>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</si>
  <si>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</si>
  <si>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</si>
  <si>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</si>
  <si>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</si>
  <si>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</si>
  <si>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</si>
  <si>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</si>
  <si>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</si>
  <si>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</si>
  <si>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</si>
  <si>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</si>
  <si>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</si>
  <si>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</si>
  <si>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</si>
  <si>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</si>
  <si>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</si>
  <si>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</si>
  <si>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</si>
  <si>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</si>
  <si>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</si>
  <si>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</si>
  <si>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</si>
  <si>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</si>
  <si>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</si>
  <si>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</si>
  <si>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</si>
  <si>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</si>
  <si>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</si>
  <si>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</si>
  <si>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</si>
  <si>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</si>
  <si>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</si>
  <si>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</si>
  <si>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</si>
  <si>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</si>
  <si>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</si>
  <si>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</si>
  <si>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</si>
  <si>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</si>
  <si>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</si>
  <si>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</si>
  <si>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</si>
  <si>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</si>
  <si>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</si>
  <si>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</si>
  <si>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</si>
  <si>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</si>
  <si>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</si>
  <si>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</si>
  <si>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</si>
  <si>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</si>
  <si>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</si>
  <si>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</si>
  <si>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</si>
  <si>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</si>
  <si>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</si>
  <si>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</si>
  <si>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</si>
  <si>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</si>
  <si>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</si>
  <si>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</si>
  <si>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</si>
  <si>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</si>
  <si>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</si>
  <si>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</si>
  <si>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</si>
  <si>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</si>
  <si>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</si>
  <si>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</si>
  <si>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</si>
  <si>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</si>
  <si>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</si>
  <si>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</si>
  <si>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</si>
  <si>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</si>
  <si>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</si>
  <si>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</si>
  <si>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</si>
  <si>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</si>
  <si>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</si>
  <si>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</si>
  <si>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</si>
  <si>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</si>
  <si>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</si>
  <si>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</si>
  <si>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</si>
  <si>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</si>
  <si>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</si>
  <si>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</si>
  <si>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</si>
  <si>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</si>
  <si>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</si>
  <si>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</si>
  <si>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</si>
  <si>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</si>
  <si>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</si>
  <si>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</si>
  <si>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</si>
  <si>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</si>
  <si>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</si>
  <si>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</si>
  <si>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</si>
  <si>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</si>
  <si>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</si>
  <si>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</si>
  <si>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</si>
  <si>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</si>
  <si>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</si>
  <si>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</si>
  <si>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</si>
  <si>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</si>
  <si>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</si>
  <si>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</si>
  <si>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</si>
  <si>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</si>
  <si>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</si>
  <si>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</si>
  <si>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</si>
  <si>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</si>
  <si>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</si>
  <si>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</si>
  <si>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</si>
  <si>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</si>
  <si>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</si>
  <si>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</si>
  <si>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</si>
  <si>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</si>
  <si>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</si>
  <si>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</si>
  <si>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</si>
  <si>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</si>
  <si>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</si>
  <si>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</si>
  <si>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</si>
  <si>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</si>
  <si>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</si>
  <si>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</si>
  <si>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</si>
  <si>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</si>
  <si>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</si>
  <si>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</si>
  <si>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</si>
  <si>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</si>
  <si>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</si>
  <si>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</si>
  <si>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</si>
  <si>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</si>
  <si>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</si>
  <si>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</si>
  <si>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</si>
  <si>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</si>
  <si>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</si>
  <si>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</si>
  <si>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</si>
  <si>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</si>
  <si>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</si>
  <si>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</si>
  <si>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</si>
  <si>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</si>
  <si>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</si>
  <si>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</si>
  <si>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</si>
  <si>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</si>
  <si>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</si>
  <si>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</si>
  <si>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</si>
  <si>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</si>
  <si>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</si>
  <si>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</si>
  <si>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</si>
  <si>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</si>
  <si>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</si>
  <si>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</si>
  <si>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</si>
  <si>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</si>
  <si>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</si>
  <si>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</si>
  <si>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</si>
  <si>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</si>
  <si>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</si>
  <si>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</si>
  <si>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</si>
  <si>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</si>
  <si>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</si>
  <si>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</si>
  <si>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</si>
  <si>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</si>
  <si>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</si>
  <si>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</si>
  <si>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</si>
  <si>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</si>
  <si>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</si>
  <si>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</si>
  <si>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</si>
  <si>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</si>
  <si>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</si>
  <si>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</si>
  <si>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</si>
  <si>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</si>
  <si>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</si>
  <si>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</si>
  <si>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</si>
  <si>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</si>
  <si>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</si>
  <si>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</si>
  <si>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</si>
  <si>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</si>
  <si>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</si>
  <si>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</si>
  <si>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</si>
  <si>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</si>
  <si>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</si>
  <si>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</si>
  <si>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</si>
  <si>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</si>
  <si>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</si>
  <si>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</si>
  <si>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</si>
  <si>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</si>
  <si>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</si>
  <si>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</si>
  <si>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</si>
  <si>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</si>
  <si>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</si>
  <si>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</si>
  <si>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</si>
  <si>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</si>
  <si>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</si>
  <si>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</si>
  <si>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</si>
  <si>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</si>
  <si>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</si>
  <si>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</si>
  <si>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</si>
  <si>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</si>
  <si>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</si>
  <si>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</si>
  <si>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</si>
  <si>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</si>
  <si>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</si>
  <si>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</si>
  <si>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</si>
  <si>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</si>
  <si>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</si>
  <si>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</si>
  <si>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</si>
  <si>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</si>
  <si>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</si>
  <si>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</si>
  <si>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</si>
  <si>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</si>
  <si>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</si>
  <si>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</si>
  <si>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</si>
  <si>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</si>
  <si>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</si>
  <si>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</si>
  <si>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</si>
  <si>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</si>
  <si>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</si>
  <si>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</si>
  <si>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</si>
  <si>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</si>
  <si>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</si>
  <si>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</si>
  <si>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</si>
  <si>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</si>
  <si>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</si>
  <si>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</si>
  <si>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</si>
  <si>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</si>
  <si>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</si>
  <si>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</si>
  <si>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</si>
  <si>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</si>
  <si>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</si>
  <si>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</si>
  <si>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</si>
  <si>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</si>
  <si>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</si>
  <si>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</si>
  <si>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</si>
  <si>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</si>
  <si>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</si>
  <si>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</si>
  <si>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</si>
  <si>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</si>
  <si>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</si>
  <si>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</si>
  <si>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</si>
  <si>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</si>
  <si>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</si>
  <si>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</si>
  <si>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</si>
  <si>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</si>
  <si>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</si>
  <si>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</si>
  <si>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</si>
  <si>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</si>
  <si>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</si>
  <si>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</si>
  <si>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</si>
  <si>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</si>
  <si>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</si>
  <si>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</si>
  <si>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</si>
  <si>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</si>
  <si>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</si>
  <si>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</si>
  <si>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</si>
  <si>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</si>
  <si>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</si>
  <si>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</si>
  <si>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</si>
  <si>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</si>
  <si>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</si>
  <si>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</si>
  <si>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</si>
  <si>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</si>
  <si>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</si>
  <si>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</si>
  <si>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</si>
  <si>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</si>
  <si>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</si>
  <si>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</si>
  <si>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</si>
  <si>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</si>
  <si>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</si>
  <si>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</si>
  <si>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</si>
  <si>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</si>
  <si>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</si>
  <si>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</si>
  <si>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</si>
  <si>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</si>
  <si>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</si>
  <si>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</si>
  <si>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</si>
  <si>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</si>
  <si>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</si>
  <si>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</si>
  <si>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</si>
  <si>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</si>
  <si>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</si>
  <si>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</si>
  <si>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</si>
  <si>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</si>
  <si>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</si>
  <si>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</si>
  <si>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</si>
  <si>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</si>
  <si>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</si>
  <si>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</si>
  <si>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</si>
  <si>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</si>
  <si>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</si>
  <si>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</si>
  <si>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</si>
  <si>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</si>
  <si>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</si>
  <si>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</si>
  <si>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</si>
  <si>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</si>
  <si>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</si>
  <si>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</si>
  <si>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</si>
  <si>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</si>
  <si>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</si>
  <si>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</si>
  <si>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</si>
  <si>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</si>
  <si>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</si>
  <si>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</si>
  <si>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</si>
  <si>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</si>
  <si>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</si>
  <si>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</si>
  <si>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</si>
  <si>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</si>
  <si>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</si>
  <si>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</si>
  <si>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</si>
  <si>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</si>
  <si>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</si>
  <si>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</si>
  <si>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</si>
  <si>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</si>
  <si>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</si>
  <si>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</si>
  <si>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</si>
  <si>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</si>
  <si>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</si>
  <si>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</si>
  <si>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</si>
  <si>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</si>
  <si>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</si>
  <si>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</si>
  <si>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</si>
  <si>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</si>
  <si>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</si>
  <si>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</si>
  <si>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</si>
  <si>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</si>
  <si>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</si>
  <si>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</si>
  <si>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</si>
  <si>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</si>
  <si>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</si>
  <si>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</si>
  <si>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</si>
  <si>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</si>
  <si>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</si>
  <si>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</si>
  <si>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</si>
  <si>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</si>
  <si>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</si>
  <si>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</si>
  <si>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</si>
  <si>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</si>
  <si>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</si>
  <si>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</si>
  <si>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</si>
  <si>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</si>
  <si>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</si>
  <si>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</si>
  <si>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</si>
  <si>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</si>
  <si>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</si>
  <si>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</si>
  <si>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</si>
  <si>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</si>
  <si>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</si>
  <si>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</si>
  <si>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</si>
  <si>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</si>
  <si>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</si>
  <si>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</si>
  <si>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</si>
  <si>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</si>
  <si>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</si>
  <si>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</si>
  <si>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</si>
  <si>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</si>
  <si>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</si>
  <si>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</si>
  <si>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</si>
  <si>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</si>
  <si>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</si>
  <si>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</si>
  <si>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</si>
  <si>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</si>
  <si>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</si>
  <si>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</si>
  <si>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</si>
  <si>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</si>
  <si>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</si>
  <si>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</si>
  <si>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</si>
  <si>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</si>
  <si>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</si>
  <si>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</si>
  <si>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</si>
  <si>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</si>
  <si>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</si>
  <si>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</si>
  <si>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</si>
  <si>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</si>
  <si>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</si>
  <si>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</si>
  <si>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</si>
  <si>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</si>
  <si>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</si>
  <si>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</si>
  <si>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</si>
  <si>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</si>
  <si>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</si>
  <si>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</si>
  <si>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</si>
  <si>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</si>
  <si>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</si>
  <si>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</si>
  <si>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</si>
  <si>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</si>
  <si>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</si>
  <si>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</si>
  <si>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</si>
  <si>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</si>
  <si>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</si>
  <si>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</si>
  <si>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</si>
  <si>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</si>
  <si>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</si>
  <si>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</si>
  <si>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</si>
  <si>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</si>
  <si>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</si>
  <si>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</si>
  <si>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</si>
  <si>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</si>
  <si>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</si>
  <si>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</si>
  <si>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</si>
  <si>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</si>
  <si>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</si>
  <si>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</si>
  <si>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</si>
  <si>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</si>
  <si>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</si>
  <si>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</si>
  <si>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</si>
  <si>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</si>
  <si>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</si>
  <si>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</si>
  <si>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</si>
  <si>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</si>
  <si>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</si>
  <si>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</si>
  <si>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</si>
  <si>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</si>
  <si>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</si>
  <si>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</si>
  <si>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</si>
  <si>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</si>
  <si>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</si>
  <si>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</si>
  <si>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</si>
  <si>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</si>
  <si>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</si>
  <si>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</si>
  <si>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</si>
  <si>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</si>
  <si>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</si>
  <si>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</si>
  <si>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</si>
  <si>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</si>
  <si>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</si>
  <si>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</si>
  <si>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</si>
  <si>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</si>
  <si>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</si>
  <si>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</si>
  <si>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</si>
  <si>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</si>
  <si>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</si>
  <si>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</si>
  <si>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</si>
  <si>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</si>
  <si>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</si>
  <si>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</si>
  <si>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</si>
  <si>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</si>
  <si>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</si>
  <si>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</si>
  <si>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</si>
  <si>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</si>
  <si>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</si>
  <si>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</si>
  <si>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</si>
  <si>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</si>
  <si>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</si>
  <si>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</si>
  <si>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</si>
  <si>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</si>
  <si>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</si>
  <si>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</si>
  <si>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</si>
  <si>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</si>
  <si>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</si>
  <si>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</si>
  <si>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</si>
  <si>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</si>
  <si>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</si>
  <si>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</si>
  <si>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</si>
  <si>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</si>
  <si>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</si>
  <si>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</si>
  <si>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</si>
  <si>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</si>
  <si>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</si>
  <si>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</si>
  <si>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</si>
  <si>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</si>
  <si>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</si>
  <si>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</si>
  <si>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</si>
  <si>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</si>
  <si>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</si>
  <si>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</si>
  <si>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</si>
  <si>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</si>
  <si>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</si>
  <si>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</si>
  <si>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</si>
  <si>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</si>
  <si>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</si>
  <si>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</si>
  <si>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</si>
  <si>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</si>
  <si>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</si>
  <si>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</si>
  <si>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</si>
  <si>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</si>
  <si>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</si>
  <si>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</si>
  <si>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</si>
  <si>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</si>
  <si>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</si>
  <si>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</si>
  <si>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</si>
  <si>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</si>
  <si>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</si>
  <si>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</si>
  <si>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</si>
  <si>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</si>
  <si>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</si>
  <si>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</si>
  <si>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</si>
  <si>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</si>
  <si>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</si>
  <si>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</si>
  <si>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</si>
  <si>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</si>
  <si>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</si>
  <si>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</si>
  <si>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</si>
  <si>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</si>
  <si>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</si>
  <si>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</si>
  <si>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</si>
  <si>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</si>
  <si>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</si>
  <si>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</si>
  <si>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</si>
  <si>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</si>
  <si>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</si>
  <si>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</si>
  <si>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</si>
  <si>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</si>
  <si>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</si>
  <si>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</si>
  <si>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</si>
  <si>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</si>
  <si>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</si>
  <si>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</si>
  <si>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</si>
  <si>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</si>
  <si>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</si>
  <si>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</si>
  <si>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</si>
  <si>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</si>
  <si>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</si>
  <si>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</si>
  <si>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</si>
  <si>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</si>
  <si>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</si>
  <si>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</si>
  <si>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</si>
  <si>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</si>
  <si>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</si>
  <si>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</si>
  <si>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</si>
  <si>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</si>
  <si>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</si>
  <si>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</si>
  <si>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</si>
  <si>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</si>
  <si>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</si>
  <si>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</si>
  <si>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</si>
  <si>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</si>
  <si>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</si>
  <si>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</si>
  <si>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</si>
  <si>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</si>
  <si>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</si>
  <si>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</si>
  <si>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</si>
  <si>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</si>
  <si>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</si>
  <si>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</si>
  <si>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</si>
  <si>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</si>
  <si>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</si>
  <si>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</si>
  <si>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</si>
  <si>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</si>
  <si>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</si>
  <si>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</si>
  <si>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</si>
  <si>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</si>
  <si>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</si>
  <si>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</si>
  <si>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</si>
  <si>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</si>
  <si>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</si>
  <si>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</si>
  <si>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</si>
  <si>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</si>
  <si>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</si>
  <si>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</si>
  <si>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</si>
  <si>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</si>
  <si>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</si>
  <si>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</si>
  <si>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</si>
  <si>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</si>
  <si>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KAROLIS KAVALENKA</t>
  </si>
  <si>
    <t>KAROLIS STIRBYS</t>
  </si>
  <si>
    <t>DOMANTAS TEVELIS</t>
  </si>
  <si>
    <t>OVIDIJUS SIDEIKIS</t>
  </si>
  <si>
    <t>GINTAUTAS PLATUKIS</t>
  </si>
  <si>
    <t>NEREA FRAILE</t>
  </si>
  <si>
    <t>07:25</t>
  </si>
  <si>
    <t>04:47</t>
  </si>
  <si>
    <t>04:24</t>
  </si>
  <si>
    <t>03:30</t>
  </si>
  <si>
    <t>01:26</t>
  </si>
  <si>
    <t>06:20</t>
  </si>
  <si>
    <t>04:31</t>
  </si>
  <si>
    <t>Off Rebound changed to Def Rebound + turnover + steal</t>
  </si>
  <si>
    <t>03:38</t>
  </si>
  <si>
    <t>It was a Missed Two Pointer</t>
  </si>
  <si>
    <t>You've done a good job. Keep it 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</si>
</sst>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16_154_KLA_JER_U2025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46050.791666666664</v>
      </c>
      <c r="C3" s="178"/>
      <c r="D3" s="39">
        <v>629</v>
      </c>
      <c r="E3" s="29"/>
      <c r="F3" s="26">
        <f>SUBTOTAL(3,I17:I106)</f>
        <v>8</v>
      </c>
      <c r="G3" s="27">
        <f>IF(OR(D3="",D3=0),"",F3/D3)</f>
        <v>1.2718600953895072E-2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742</v>
      </c>
      <c r="L4" s="5"/>
      <c r="M4" s="185" t="s">
        <v>843</v>
      </c>
      <c r="N4" s="186"/>
      <c r="O4" s="2"/>
      <c r="P4" s="2"/>
      <c r="Q4" s="84" t="s">
        <v>175</v>
      </c>
      <c r="R4" s="94">
        <f>(IF(G3="",0,G3))</f>
        <v>1.2718600953895072E-2</v>
      </c>
      <c r="S4" s="61">
        <f>SUM(I13:M13)</f>
        <v>0</v>
      </c>
      <c r="T4" s="78"/>
      <c r="U4" s="61">
        <f>AC18</f>
        <v>5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Bank Yahav Jerusalem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1.2718600953895072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7.7718600953895072</v>
      </c>
      <c r="N7" s="58"/>
      <c r="O7" s="2"/>
      <c r="P7" s="2"/>
      <c r="Q7" s="86">
        <f>SUM(R5,S5,AC16)</f>
        <v>7.7718600953895072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7.7718600953895072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154</v>
      </c>
      <c r="D17" s="32" t="s">
        <v>833</v>
      </c>
      <c r="E17" s="33">
        <v>1</v>
      </c>
      <c r="F17" s="36">
        <v>5</v>
      </c>
      <c r="G17" s="36">
        <v>7</v>
      </c>
      <c r="H17" s="38" t="str">
        <f>IF(I17="","",$I$14)</f>
        <v>SCOUTING</v>
      </c>
      <c r="I17" s="34">
        <v>27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154</v>
      </c>
      <c r="D18" s="32" t="s">
        <v>834</v>
      </c>
      <c r="E18" s="33">
        <v>1</v>
      </c>
      <c r="F18" s="36">
        <v>15</v>
      </c>
      <c r="G18" s="36">
        <v>16</v>
      </c>
      <c r="H18" s="38" t="str">
        <f t="shared" ref="H18:H81" si="8">IF(I18="","",$I$14)</f>
        <v>SCOUTING</v>
      </c>
      <c r="I18" s="34">
        <v>72</v>
      </c>
      <c r="J18" s="13" t="s">
        <v>4</v>
      </c>
      <c r="K18" s="13" t="s">
        <v>63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154</v>
      </c>
      <c r="D19" s="32" t="s">
        <v>835</v>
      </c>
      <c r="E19" s="33">
        <v>1</v>
      </c>
      <c r="F19" s="36">
        <v>18</v>
      </c>
      <c r="G19" s="36">
        <v>16</v>
      </c>
      <c r="H19" s="38" t="str">
        <f t="shared" si="8"/>
        <v>SCOUTING</v>
      </c>
      <c r="I19" s="34">
        <v>80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154</v>
      </c>
      <c r="D20" s="32" t="s">
        <v>836</v>
      </c>
      <c r="E20" s="33">
        <v>1</v>
      </c>
      <c r="F20" s="36">
        <v>21</v>
      </c>
      <c r="G20" s="36">
        <v>18</v>
      </c>
      <c r="H20" s="38" t="str">
        <f t="shared" si="8"/>
        <v>SCOUTING</v>
      </c>
      <c r="I20" s="34">
        <v>97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154</v>
      </c>
      <c r="D21" s="32" t="s">
        <v>837</v>
      </c>
      <c r="E21" s="33">
        <v>2</v>
      </c>
      <c r="F21" s="36">
        <v>52</v>
      </c>
      <c r="G21" s="36">
        <v>49</v>
      </c>
      <c r="H21" s="38" t="str">
        <f t="shared" si="8"/>
        <v>SCOUTING</v>
      </c>
      <c r="I21" s="34">
        <v>291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154</v>
      </c>
      <c r="D22" s="32" t="s">
        <v>838</v>
      </c>
      <c r="E22" s="33">
        <v>3</v>
      </c>
      <c r="F22" s="36">
        <v>65</v>
      </c>
      <c r="G22" s="36">
        <v>59</v>
      </c>
      <c r="H22" s="38" t="str">
        <f t="shared" si="8"/>
        <v>SCOUTING</v>
      </c>
      <c r="I22" s="34">
        <v>382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154</v>
      </c>
      <c r="D23" s="32" t="s">
        <v>839</v>
      </c>
      <c r="E23" s="33">
        <v>3</v>
      </c>
      <c r="F23" s="36">
        <v>67</v>
      </c>
      <c r="G23" s="36">
        <v>61</v>
      </c>
      <c r="H23" s="38" t="str">
        <f t="shared" si="8"/>
        <v>SCOUTING</v>
      </c>
      <c r="I23" s="34">
        <v>402</v>
      </c>
      <c r="J23" s="13" t="s">
        <v>4</v>
      </c>
      <c r="K23" s="13" t="s">
        <v>63</v>
      </c>
      <c r="L23" s="13" t="s">
        <v>5</v>
      </c>
      <c r="M23" s="13" t="s">
        <v>168</v>
      </c>
      <c r="N23" s="35" t="s">
        <v>840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154</v>
      </c>
      <c r="D24" s="32" t="s">
        <v>841</v>
      </c>
      <c r="E24" s="33">
        <v>3</v>
      </c>
      <c r="F24" s="36">
        <v>71</v>
      </c>
      <c r="G24" s="36">
        <v>64</v>
      </c>
      <c r="H24" s="38" t="str">
        <f t="shared" si="8"/>
        <v>SCOUTING</v>
      </c>
      <c r="I24" s="34">
        <v>415</v>
      </c>
      <c r="J24" s="13" t="s">
        <v>4</v>
      </c>
      <c r="K24" s="13" t="s">
        <v>63</v>
      </c>
      <c r="L24" s="13" t="s">
        <v>48</v>
      </c>
      <c r="M24" s="13" t="s">
        <v>26</v>
      </c>
      <c r="N24" s="35" t="s">
        <v>842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"U2025154"</v>
      </c>
      <c r="F3" s="45" t="str">
        <f t="shared" ref="F3:F16" si="0">""""&amp;B3&amp;"""" &amp; " : " &amp;C3&amp;","</f>
        <v>"name" : "U2025154",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"U154"</v>
      </c>
      <c r="F4" s="45" t="str">
        <f t="shared" si="0"/>
        <v>"cod" : "U154",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154</v>
      </c>
      <c r="F6" s="45" t="str">
        <f t="shared" si="0"/>
        <v>"number" : 154,</v>
      </c>
    </row>
    <row r="7" spans="2:6" x14ac:dyDescent="0.25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"KAROLIS KAVALENKA"</v>
      </c>
      <c r="F10" s="45" t="str">
        <f t="shared" si="0"/>
        <v>"Data_entry" : "KAROLIS KAVALENKA",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"KAROLIS STIRBYS"</v>
      </c>
      <c r="F11" s="45" t="str">
        <f t="shared" si="0"/>
        <v>"Caller_1" : "KAROLIS STIRBYS",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629</v>
      </c>
      <c r="F25" s="45" t="str">
        <f t="shared" ref="F25:F48" si="1">""""&amp;C25&amp;"""" &amp; " : " &amp;D25&amp;","</f>
        <v>"total_actions" : 629,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"You've done a good job. Keep it up."</v>
      </c>
      <c r="F51" s="45" t="str">
        <f>""""&amp;B51&amp;"""" &amp; " : " &amp;C51&amp;","</f>
        <v>"comments" : "You've done a good job. Keep it up.",</v>
      </c>
    </row>
    <row r="52" spans="2:6" x14ac:dyDescent="0.25">
      <c r="B52" s="43" t="s">
        <v>153</v>
      </c>
      <c r="C52" s="43" t="str">
        <f>TEXT('SCOUT &amp; LOGISTICS'!F1,"0,0")</f>
        <v>16_154_KLA_JER_U2025</v>
      </c>
      <c r="F52" s="45" t="str">
        <f>""""&amp;B52&amp;"""" &amp; " : " &amp;C52</f>
        <v>"result" : 16_154_KLA_JER_U2025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U154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Bank Yahav Jerusalem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KAROLIS KAVALENKA</v>
      </c>
      <c r="C8" s="201"/>
      <c r="D8" s="201"/>
      <c r="E8" s="201"/>
      <c r="F8" s="201"/>
      <c r="G8" s="201" t="str">
        <f>IF('SCOUT &amp; LOGISTICS'!D7="","",'SCOUT &amp; LOGISTICS'!D7)</f>
        <v>KAROLIS STIRBYS</v>
      </c>
      <c r="H8" s="201"/>
      <c r="I8" s="201"/>
      <c r="J8" s="201"/>
      <c r="K8" s="201"/>
      <c r="L8" s="201" t="str">
        <f>IF('SCOUT &amp; LOGISTICS'!D8="","",'SCOUT &amp; LOGISTICS'!D8)</f>
        <v>DOMANTAS TEVELIS</v>
      </c>
      <c r="M8" s="201"/>
      <c r="N8" s="201"/>
      <c r="O8" s="201"/>
      <c r="P8" s="201"/>
      <c r="Q8" s="201" t="str">
        <f>IF('SCOUT &amp; LOGISTICS'!D9="","",'SCOUT &amp; LOGISTICS'!D9)</f>
        <v>OVIDIJUS SIDEIKIS</v>
      </c>
      <c r="R8" s="201"/>
      <c r="S8" s="201"/>
      <c r="T8" s="201"/>
      <c r="U8" s="201"/>
      <c r="V8" s="201" t="str">
        <f>IF('SCOUT &amp; LOGISTICS'!D10="","",'SCOUT &amp; LOGISTICS'!D10)</f>
        <v>GINTAUTAS PLATUKIS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629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1.2718600953895072E-2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5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You've done a good job. Keep it up.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7.7718600953895072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73927BB-6D2B-4F3B-82C5-D6E61733D3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2026-01-28T19:46:08Z</cp:lastPrinted>
  <dcterms:created xsi:type="dcterms:W3CDTF">2023-09-19T19:50:35Z</dcterms:created>
  <dcterms:modified xsi:type="dcterms:W3CDTF">2026-01-28T19:46:11Z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