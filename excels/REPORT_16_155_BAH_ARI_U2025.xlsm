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06AB5EAF-D925-4402-B3CB-D38AD9E6B581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<sst xmlns="http://schemas.openxmlformats.org/spreadsheetml/2006/main" count="3337" uniqueCount="833">
  <si>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</si>
  <si>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</si>
  <si>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</si>
  <si>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</si>
  <si>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</si>
  <si>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</si>
  <si>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</si>
  <si>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</si>
  <si>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</si>
  <si>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</si>
  <si>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</si>
  <si>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</si>
  <si>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</si>
  <si>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</si>
  <si>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</si>
  <si>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</si>
  <si>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</si>
  <si>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</si>
  <si>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</si>
  <si>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</si>
  <si>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</si>
  <si>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</si>
  <si>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</si>
  <si>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</si>
  <si>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</si>
  <si>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</si>
  <si>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</si>
  <si>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</si>
  <si>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</si>
  <si>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</si>
  <si>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</si>
  <si>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</si>
  <si>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</si>
  <si>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</si>
  <si>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</si>
  <si>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</si>
  <si>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</si>
  <si>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</si>
  <si>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</si>
  <si>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</si>
  <si>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</si>
  <si>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</si>
  <si>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</si>
  <si>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</si>
  <si>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</si>
  <si>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</si>
  <si>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</si>
  <si>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</si>
  <si>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</si>
  <si>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</si>
  <si>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</si>
  <si>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</si>
  <si>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</si>
  <si>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</si>
  <si>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</si>
  <si>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</si>
  <si>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</si>
  <si>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</si>
  <si>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</si>
  <si>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</si>
  <si>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</si>
  <si>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</si>
  <si>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</si>
  <si>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</si>
  <si>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</si>
  <si>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</si>
  <si>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</si>
  <si>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</si>
  <si>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</si>
  <si>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</si>
  <si>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</si>
  <si>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</si>
  <si>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</si>
  <si>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</si>
  <si>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</si>
  <si>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</si>
  <si>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</si>
  <si>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</si>
  <si>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</si>
  <si>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</si>
  <si>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</si>
  <si>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</si>
  <si>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</si>
  <si>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</si>
  <si>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</si>
  <si>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</si>
  <si>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</si>
  <si>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</si>
  <si>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</si>
  <si>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</si>
  <si>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</si>
  <si>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</si>
  <si>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</si>
  <si>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</si>
  <si>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</si>
  <si>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</si>
  <si>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</si>
  <si>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</si>
  <si>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</si>
  <si>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</si>
  <si>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</si>
  <si>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</si>
  <si>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</si>
  <si>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</si>
  <si>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</si>
  <si>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</si>
  <si>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</si>
  <si>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</si>
  <si>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</si>
  <si>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</si>
  <si>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</si>
  <si>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</si>
  <si>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</si>
  <si>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</si>
  <si>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</si>
  <si>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</si>
  <si>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</si>
  <si>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</si>
  <si>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</si>
  <si>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</si>
  <si>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</si>
  <si>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</si>
  <si>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</si>
  <si>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</si>
  <si>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</si>
  <si>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</si>
  <si>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</si>
  <si>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</si>
  <si>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</si>
  <si>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</si>
  <si>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</si>
  <si>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</si>
  <si>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</si>
  <si>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</si>
  <si>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</si>
  <si>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</si>
  <si>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</si>
  <si>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</si>
  <si>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</si>
  <si>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</si>
  <si>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</si>
  <si>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</si>
  <si>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</si>
  <si>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</si>
  <si>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</si>
  <si>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</si>
  <si>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</si>
  <si>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</si>
  <si>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</si>
  <si>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</si>
  <si>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</si>
  <si>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</si>
  <si>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</si>
  <si>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</si>
  <si>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</si>
  <si>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</si>
  <si>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</si>
  <si>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</si>
  <si>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</si>
  <si>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</si>
  <si>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</si>
  <si>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</si>
  <si>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</si>
  <si>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</si>
  <si>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</si>
  <si>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</si>
  <si>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</si>
  <si>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</si>
  <si>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</si>
  <si>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</si>
  <si>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</si>
  <si>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</si>
  <si>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</si>
  <si>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</si>
  <si>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</si>
  <si>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</si>
  <si>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</si>
  <si>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</si>
  <si>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</si>
  <si>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</si>
  <si>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</si>
  <si>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</si>
  <si>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</si>
  <si>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</si>
  <si>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</si>
  <si>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</si>
  <si>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</si>
  <si>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</si>
  <si>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</si>
  <si>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</si>
  <si>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</si>
  <si>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</si>
  <si>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</si>
  <si>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</si>
  <si>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</si>
  <si>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</si>
  <si>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</si>
  <si>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</si>
  <si>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</si>
  <si>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</si>
  <si>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</si>
  <si>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</si>
  <si>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</si>
  <si>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</si>
  <si>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</si>
  <si>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</si>
  <si>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</si>
  <si>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</si>
  <si>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</si>
  <si>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</si>
  <si>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</si>
  <si>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</si>
  <si>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</si>
  <si>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</si>
  <si>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</si>
  <si>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</si>
  <si>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</si>
  <si>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</si>
  <si>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</si>
  <si>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</si>
  <si>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</si>
  <si>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</si>
  <si>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</si>
  <si>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</si>
  <si>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</si>
  <si>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</si>
  <si>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</si>
  <si>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</si>
  <si>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</si>
  <si>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</si>
  <si>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</si>
  <si>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</si>
  <si>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</si>
  <si>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</si>
  <si>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</si>
  <si>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</si>
  <si>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</si>
  <si>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</si>
  <si>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</si>
  <si>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</si>
  <si>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</si>
  <si>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</si>
  <si>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</si>
  <si>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</si>
  <si>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</si>
  <si>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</si>
  <si>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</si>
  <si>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</si>
  <si>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</si>
  <si>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</si>
  <si>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</si>
  <si>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</si>
  <si>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</si>
  <si>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</si>
  <si>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</si>
  <si>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</si>
  <si>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</si>
  <si>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</si>
  <si>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</si>
  <si>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</si>
  <si>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</si>
  <si>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</si>
  <si>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</si>
  <si>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</si>
  <si>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</si>
  <si>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</si>
  <si>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</si>
  <si>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</si>
  <si>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</si>
  <si>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</si>
  <si>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</si>
  <si>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</si>
  <si>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</si>
  <si>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</si>
  <si>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</si>
  <si>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</si>
  <si>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</si>
  <si>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</si>
  <si>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</si>
  <si>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</si>
  <si>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</si>
  <si>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</si>
  <si>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</si>
  <si>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</si>
  <si>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</si>
  <si>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</si>
  <si>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</si>
  <si>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</si>
  <si>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</si>
  <si>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</si>
  <si>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</si>
  <si>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</si>
  <si>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</si>
  <si>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</si>
  <si>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</si>
  <si>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</si>
  <si>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</si>
  <si>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</si>
  <si>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</si>
  <si>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</si>
  <si>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</si>
  <si>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</si>
  <si>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</si>
  <si>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</si>
  <si>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</si>
  <si>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</si>
  <si>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</si>
  <si>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</si>
  <si>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</si>
  <si>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</si>
  <si>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</si>
  <si>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</si>
  <si>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</si>
  <si>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</si>
  <si>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</si>
  <si>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</si>
  <si>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</si>
  <si>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</si>
  <si>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</si>
  <si>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</si>
  <si>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</si>
  <si>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</si>
  <si>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</si>
  <si>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</si>
  <si>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</si>
  <si>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</si>
  <si>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</si>
  <si>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</si>
  <si>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</si>
  <si>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</si>
  <si>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</si>
  <si>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</si>
  <si>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</si>
  <si>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</si>
  <si>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</si>
  <si>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</si>
  <si>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</si>
  <si>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</si>
  <si>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</si>
  <si>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</si>
  <si>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</si>
  <si>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</si>
  <si>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</si>
  <si>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</si>
  <si>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</si>
  <si>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</si>
  <si>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</si>
  <si>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</si>
  <si>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</si>
  <si>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</si>
  <si>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</si>
  <si>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</si>
  <si>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</si>
  <si>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</si>
  <si>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</si>
  <si>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</si>
  <si>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</si>
  <si>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</si>
  <si>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</si>
  <si>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</si>
  <si>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</si>
  <si>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</si>
  <si>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</si>
  <si>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</si>
  <si>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</si>
  <si>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</si>
  <si>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</si>
  <si>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</si>
  <si>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</si>
  <si>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</si>
  <si>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</si>
  <si>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</si>
  <si>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</si>
  <si>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</si>
  <si>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</si>
  <si>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</si>
  <si>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</si>
  <si>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</si>
  <si>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</si>
  <si>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</si>
  <si>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</si>
  <si>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</si>
  <si>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</si>
  <si>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</si>
  <si>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</si>
  <si>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</si>
  <si>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</si>
  <si>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</si>
  <si>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</si>
  <si>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</si>
  <si>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</si>
  <si>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</si>
  <si>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</si>
  <si>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</si>
  <si>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</si>
  <si>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</si>
  <si>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</si>
  <si>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</si>
  <si>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</si>
  <si>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</si>
  <si>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</si>
  <si>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</si>
  <si>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</si>
  <si>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</si>
  <si>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</si>
  <si>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</si>
  <si>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</si>
  <si>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</si>
  <si>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</si>
  <si>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</si>
  <si>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</si>
  <si>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</si>
  <si>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</si>
  <si>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</si>
  <si>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</si>
  <si>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</si>
  <si>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</si>
  <si>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</si>
  <si>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</si>
  <si>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</si>
  <si>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</si>
  <si>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</si>
  <si>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</si>
  <si>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</si>
  <si>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</si>
  <si>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</si>
  <si>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</si>
  <si>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</si>
  <si>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</si>
  <si>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</si>
  <si>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</si>
  <si>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</si>
  <si>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</si>
  <si>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</si>
  <si>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</si>
  <si>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</si>
  <si>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</si>
  <si>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</si>
  <si>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</si>
  <si>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</si>
  <si>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</si>
  <si>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</si>
  <si>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</si>
  <si>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</si>
  <si>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</si>
  <si>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</si>
  <si>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</si>
  <si>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</si>
  <si>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</si>
  <si>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</si>
  <si>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</si>
  <si>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</si>
  <si>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</si>
  <si>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</si>
  <si>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</si>
  <si>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</si>
  <si>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</si>
  <si>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</si>
  <si>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</si>
  <si>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</si>
  <si>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</si>
  <si>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</si>
  <si>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</si>
  <si>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</si>
  <si>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</si>
  <si>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</si>
  <si>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</si>
  <si>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</si>
  <si>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</si>
  <si>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</si>
  <si>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</si>
  <si>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</si>
  <si>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</si>
  <si>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</si>
  <si>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</si>
  <si>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</si>
  <si>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</si>
  <si>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</si>
  <si>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</si>
  <si>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</si>
  <si>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</si>
  <si>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</si>
  <si>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</si>
  <si>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</si>
  <si>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</si>
  <si>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</si>
  <si>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</si>
  <si>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</si>
  <si>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</si>
  <si>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</si>
  <si>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</si>
  <si>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</si>
  <si>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</si>
  <si>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</si>
  <si>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</si>
  <si>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</si>
  <si>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</si>
  <si>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</si>
  <si>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</si>
  <si>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</si>
  <si>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</si>
  <si>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</si>
  <si>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</si>
  <si>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</si>
  <si>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</si>
  <si>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</si>
  <si>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</si>
  <si>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</si>
  <si>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</si>
  <si>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</si>
  <si>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</si>
  <si>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</si>
  <si>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</si>
  <si>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</si>
  <si>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</si>
  <si>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</si>
  <si>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</si>
  <si>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</si>
  <si>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</si>
  <si>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</si>
  <si>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</si>
  <si>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</si>
  <si>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</si>
  <si>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</si>
  <si>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</si>
  <si>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</si>
  <si>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</si>
  <si>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</si>
  <si>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</si>
  <si>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</si>
  <si>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</si>
  <si>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</si>
  <si>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</si>
  <si>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</si>
  <si>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</si>
  <si>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</si>
  <si>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</si>
  <si>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</si>
  <si>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</si>
  <si>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</si>
  <si>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</si>
  <si>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</si>
  <si>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</si>
  <si>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</si>
  <si>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</si>
  <si>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</si>
  <si>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</si>
  <si>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</si>
  <si>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</si>
  <si>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</si>
  <si>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</si>
  <si>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</si>
  <si>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</si>
  <si>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</si>
  <si>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</si>
  <si>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</si>
  <si>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</si>
  <si>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</si>
  <si>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</si>
  <si>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</si>
  <si>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</si>
  <si>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</si>
  <si>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</si>
  <si>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</si>
  <si>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</si>
  <si>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</si>
  <si>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</si>
  <si>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</si>
  <si>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</si>
  <si>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</si>
  <si>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</si>
  <si>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</si>
  <si>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</si>
  <si>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</si>
  <si>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</si>
  <si>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</si>
  <si>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</si>
  <si>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</si>
  <si>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</si>
  <si>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</si>
  <si>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</si>
  <si>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</si>
  <si>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</si>
  <si>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</si>
  <si>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</si>
  <si>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</si>
  <si>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</si>
  <si>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</si>
  <si>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</si>
  <si>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</si>
  <si>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</si>
  <si>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</si>
  <si>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</si>
  <si>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</si>
  <si>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</si>
  <si>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</si>
  <si>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</si>
  <si>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</si>
  <si>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</si>
  <si>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</si>
  <si>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</si>
  <si>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</si>
  <si>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</si>
  <si>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</si>
  <si>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</si>
  <si>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</si>
  <si>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</si>
  <si>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</si>
  <si>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</si>
  <si>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</si>
  <si>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</si>
  <si>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</si>
  <si>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</si>
  <si>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</si>
  <si>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</si>
  <si>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</si>
  <si>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</si>
  <si>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</si>
  <si>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</si>
  <si>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</si>
  <si>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</si>
  <si>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</si>
  <si>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</si>
  <si>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</si>
  <si>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</si>
  <si>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</si>
  <si>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</si>
  <si>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</si>
  <si>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</si>
  <si>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</si>
  <si>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</si>
  <si>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</si>
  <si>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</si>
  <si>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</si>
  <si>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</si>
  <si>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</si>
  <si>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</si>
  <si>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</si>
  <si>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</si>
  <si>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</si>
  <si>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</si>
  <si>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</si>
  <si>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</si>
  <si>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</si>
  <si>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</si>
  <si>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</si>
  <si>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</si>
  <si>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</si>
  <si>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</si>
  <si>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</si>
  <si>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</si>
  <si>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</si>
  <si>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</si>
  <si>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</si>
  <si>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</si>
  <si>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</si>
  <si>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</si>
  <si>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</si>
  <si>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</si>
  <si>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</si>
  <si>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</si>
  <si>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</si>
  <si>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</si>
  <si>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</si>
  <si>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</si>
  <si>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</si>
  <si>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</si>
  <si>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</si>
  <si>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</si>
  <si>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</si>
  <si>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</si>
  <si>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</si>
  <si>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</si>
  <si>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</si>
  <si>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</si>
  <si>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</si>
  <si>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</si>
  <si>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</si>
  <si>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</si>
  <si>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</si>
  <si>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</si>
  <si>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</si>
  <si>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</si>
  <si>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</si>
  <si>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</si>
  <si>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</si>
  <si>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</si>
  <si>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</si>
  <si>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</si>
  <si>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</si>
  <si>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</si>
  <si>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</si>
  <si>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</si>
  <si>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</si>
  <si>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</si>
  <si>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</si>
  <si>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</si>
  <si>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</si>
  <si>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</si>
  <si>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</si>
  <si>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</si>
  <si>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</si>
  <si>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</si>
  <si>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</si>
  <si>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</si>
  <si>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</si>
  <si>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</si>
  <si>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</si>
  <si>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</si>
  <si>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</si>
  <si>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</si>
  <si>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</si>
  <si>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</si>
  <si>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</si>
  <si>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</si>
  <si>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</si>
  <si>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</si>
  <si>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</si>
  <si>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</si>
  <si>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</si>
  <si>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</si>
  <si>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</si>
  <si>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</si>
  <si>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</si>
  <si>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</si>
  <si>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</si>
  <si>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</si>
  <si>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</si>
  <si>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</si>
  <si>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</si>
  <si>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</si>
  <si>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</si>
  <si>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</si>
  <si>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</si>
  <si>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</si>
  <si>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</si>
  <si>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</si>
  <si>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</si>
  <si>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</si>
  <si>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</si>
  <si>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</si>
  <si>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</si>
  <si>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</si>
  <si>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</si>
  <si>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</si>
  <si>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</si>
  <si>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</si>
  <si>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</si>
  <si>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</si>
  <si>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</si>
  <si>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</si>
  <si>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</si>
  <si>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</si>
  <si>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</si>
  <si>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</si>
  <si>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</si>
  <si>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</si>
  <si>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</si>
  <si>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</si>
  <si>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</si>
  <si>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</si>
  <si>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</si>
  <si>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</si>
  <si>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</si>
  <si>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</si>
  <si>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</si>
  <si>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</si>
  <si>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</si>
  <si>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</si>
  <si>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</si>
  <si>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</si>
  <si>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</si>
  <si>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</si>
  <si>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</si>
  <si>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</si>
  <si>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</si>
  <si>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</si>
  <si>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</si>
  <si>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</si>
  <si>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</si>
  <si>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</si>
  <si>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</si>
  <si>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</si>
  <si>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</si>
  <si>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</si>
  <si>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</si>
  <si>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</si>
  <si>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</si>
  <si>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</si>
  <si>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</si>
  <si>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</si>
  <si>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</si>
  <si>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</si>
  <si>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</si>
  <si>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</si>
  <si>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</si>
  <si>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</si>
  <si>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</si>
  <si>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</si>
  <si>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</si>
  <si>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</si>
  <si>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</si>
  <si>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</si>
  <si>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</si>
  <si>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</si>
  <si>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</si>
  <si>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</si>
  <si>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</si>
  <si>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</si>
  <si>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</si>
  <si>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</si>
  <si>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</si>
  <si>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</si>
  <si>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</si>
  <si>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</si>
  <si>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</si>
  <si>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</si>
  <si>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</si>
  <si>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</si>
  <si>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</si>
  <si>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</si>
  <si>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</si>
  <si>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</si>
  <si>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</si>
  <si>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</si>
  <si>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</si>
  <si>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AHMET GEZINTI</t>
  </si>
  <si>
    <t>KIVULCIM KORKMAZ</t>
  </si>
  <si>
    <t>YUKSEL NAZLIGUL</t>
  </si>
  <si>
    <t>TUGCE KAYA</t>
  </si>
  <si>
    <t>Always a pleasure to work with you!</t>
  </si>
  <si>
    <t>OSCAR CUESTA</t>
  </si>
  <si>
    <t>7:11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</si>
</sst>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16_155_BAH_ARI_U2025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46050.791666666664</v>
      </c>
      <c r="C3" s="157"/>
      <c r="D3" s="39">
        <v>610</v>
      </c>
      <c r="E3" s="29"/>
      <c r="F3" s="26">
        <f>SUBTOTAL(3,I17:I106)</f>
        <v>1</v>
      </c>
      <c r="G3" s="27">
        <f>IF(OR(D3="",D3=0),"",F3/D3)</f>
        <v>1.639344262295082E-3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Bahcesehir College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743</v>
      </c>
      <c r="L4" s="5"/>
      <c r="M4" s="167" t="s">
        <v>830</v>
      </c>
      <c r="N4" s="168"/>
      <c r="O4" s="2"/>
      <c r="P4" s="2"/>
      <c r="Q4" s="84" t="s">
        <v>175</v>
      </c>
      <c r="R4" s="94">
        <f>(IF(G3="",0,G3))</f>
        <v>1.639344262295082E-3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Aris Thessaloniki Betsson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0.16393442622950818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826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0.66393442622950816</v>
      </c>
      <c r="N7" s="58"/>
      <c r="O7" s="2"/>
      <c r="P7" s="2"/>
      <c r="Q7" s="86">
        <f>SUM(R5,S5,AC16)</f>
        <v>0.66393442622950816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827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0.66393442622950816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828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829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155</v>
      </c>
      <c r="D17" s="32" t="s">
        <v>832</v>
      </c>
      <c r="E17" s="33">
        <v>2</v>
      </c>
      <c r="F17" s="36">
        <v>25</v>
      </c>
      <c r="G17" s="36">
        <v>31</v>
      </c>
      <c r="H17" s="38" t="str">
        <f>IF(I17="","",$I$14)</f>
        <v>SCOUTING</v>
      </c>
      <c r="I17" s="34">
        <v>182</v>
      </c>
      <c r="J17" s="13" t="s">
        <v>4</v>
      </c>
      <c r="K17" s="13" t="s">
        <v>62</v>
      </c>
      <c r="L17" s="13" t="s">
        <v>5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REPORT_U2025155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"U2025155"</v>
      </c>
      <c r="F3" s="45" t="str">
        <f t="shared" ref="F3:F16" si="0">""""&amp;B3&amp;"""" &amp; " : " &amp;C3&amp;","</f>
        <v>"name" : "U2025155",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"U155"</v>
      </c>
      <c r="F4" s="45" t="str">
        <f t="shared" si="0"/>
        <v>"cod" : "U155",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155</v>
      </c>
      <c r="F6" s="45" t="str">
        <f t="shared" si="0"/>
        <v>"number" : 155,</v>
      </c>
    </row>
    <row r="7" spans="2:6" x14ac:dyDescent="0.25">
      <c r="B7" s="43" t="s">
        <v>116</v>
      </c>
      <c r="C7" s="43" t="str">
        <f ca="1">""""&amp;TEXT('SCOUT &amp; LOGISTICS'!B3,"dd/mm/aaaa")&amp;""""</f>
        <v>"28/01/2026"</v>
      </c>
      <c r="F7" s="45" t="str">
        <f t="shared" ca="1" si="0"/>
        <v>"date" : "28/01/2026",</v>
      </c>
    </row>
    <row r="8" spans="2:6" x14ac:dyDescent="0.25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5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"AHMET GEZINTI"</v>
      </c>
      <c r="F11" s="45" t="str">
        <f t="shared" si="0"/>
        <v>"Caller_1" : "AHMET GEZINTI",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"KIVULCIM KORKMAZ"</v>
      </c>
      <c r="F12" s="45" t="str">
        <f t="shared" si="0"/>
        <v>"Caller_2" : "KIVULCIM KORKMAZ",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"YUKSEL NAZLIGUL"</v>
      </c>
      <c r="F13" s="45" t="str">
        <f t="shared" si="0"/>
        <v>"Timerkeeper" : "YUKSEL NAZLIGUL",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"TUGCE KAYA"</v>
      </c>
      <c r="F14" s="45" t="str">
        <f t="shared" si="0"/>
        <v>"Shotclock" : "TUGCE KAYA",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610</v>
      </c>
      <c r="F25" s="45" t="str">
        <f t="shared" ref="F25:F48" si="1">""""&amp;C25&amp;"""" &amp; " : " &amp;D25&amp;","</f>
        <v>"total_actions" : 610,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"Always a pleasure to work with you!"</v>
      </c>
      <c r="F51" s="45" t="str">
        <f>""""&amp;B51&amp;"""" &amp; " : " &amp;C51&amp;","</f>
        <v>"comments" : "Always a pleasure to work with you!",</v>
      </c>
    </row>
    <row r="52" spans="2:6" x14ac:dyDescent="0.25">
      <c r="B52" s="43" t="s">
        <v>153</v>
      </c>
      <c r="C52" s="43" t="str">
        <f>TEXT('SCOUT &amp; LOGISTICS'!F1,"0,0")</f>
        <v>16_155_BAH_ARI_U2025</v>
      </c>
      <c r="F52" s="45" t="str">
        <f>""""&amp;B52&amp;"""" &amp; " : " &amp;C52</f>
        <v>"result" : 16_155_BAH_ARI_U2025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U155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28/01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Bahcesehir College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Aris Thessaloniki Betsson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AHMET GEZINTI</v>
      </c>
      <c r="H8" s="206"/>
      <c r="I8" s="206"/>
      <c r="J8" s="206"/>
      <c r="K8" s="206"/>
      <c r="L8" s="206" t="str">
        <f>IF('SCOUT &amp; LOGISTICS'!D8="","",'SCOUT &amp; LOGISTICS'!D8)</f>
        <v>KIVULCIM KORKMAZ</v>
      </c>
      <c r="M8" s="206"/>
      <c r="N8" s="206"/>
      <c r="O8" s="206"/>
      <c r="P8" s="206"/>
      <c r="Q8" s="206" t="str">
        <f>IF('SCOUT &amp; LOGISTICS'!D9="","",'SCOUT &amp; LOGISTICS'!D9)</f>
        <v>YUKSEL NAZLIGUL</v>
      </c>
      <c r="R8" s="206"/>
      <c r="S8" s="206"/>
      <c r="T8" s="206"/>
      <c r="U8" s="206"/>
      <c r="V8" s="206" t="str">
        <f>IF('SCOUT &amp; LOGISTICS'!D10="","",'SCOUT &amp; LOGISTICS'!D10)</f>
        <v>TUGCE KAYA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610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1.639344262295082E-3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Always a pleasure to work with you!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0.66393442622950816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5C4F53-EEDC-4B6B-BDE6-447BB032B9EC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2026-01-28T18:34:54Z</cp:lastPrinted>
  <dcterms:created xsi:type="dcterms:W3CDTF">2023-09-19T19:50:35Z</dcterms:created>
  <dcterms:modified xsi:type="dcterms:W3CDTF">2026-01-28T18:35:10Z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