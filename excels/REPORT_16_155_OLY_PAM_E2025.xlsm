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F91F4A17-D600-4250-8DF3-692604F60424}" xr6:coauthVersionLast="47" xr6:coauthVersionMax="47" xr10:uidLastSave="{5CF9D94E-8D6A-4842-8B4C-827E0B0E9A9B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<sst xmlns="http://schemas.openxmlformats.org/spreadsheetml/2006/main" count="3245" uniqueCount="759">
  <si>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</si>
  <si>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</si>
  <si>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</si>
  <si>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</si>
  <si>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</si>
  <si>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</si>
  <si>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</si>
  <si>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</si>
  <si>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</si>
  <si>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</si>
  <si>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</si>
  <si>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</si>
  <si>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</si>
  <si>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</si>
  <si>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</si>
  <si>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</si>
  <si>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</si>
  <si>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</si>
  <si>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</si>
  <si>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</si>
  <si>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</si>
  <si>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</si>
  <si>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</si>
  <si>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</si>
  <si>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</si>
  <si>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</si>
  <si>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</si>
  <si>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</si>
  <si>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</si>
  <si>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</si>
  <si>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</si>
  <si>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</si>
  <si>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</si>
  <si>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</si>
  <si>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</si>
  <si>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</si>
  <si>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</si>
  <si>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</si>
  <si>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</si>
  <si>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</si>
  <si>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</si>
  <si>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</si>
  <si>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</si>
  <si>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</si>
  <si>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</si>
  <si>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</si>
  <si>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</si>
  <si>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</si>
  <si>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</si>
  <si>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</si>
  <si>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</si>
  <si>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</si>
  <si>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</si>
  <si>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</si>
  <si>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</si>
  <si>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</si>
  <si>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</si>
  <si>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</si>
  <si>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</si>
  <si>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</si>
  <si>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</si>
  <si>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</si>
  <si>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</si>
  <si>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</si>
  <si>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</si>
  <si>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</si>
  <si>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</si>
  <si>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</si>
  <si>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</si>
  <si>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</si>
  <si>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</si>
  <si>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</si>
  <si>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</si>
  <si>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</si>
  <si>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</si>
  <si>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</si>
  <si>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</si>
  <si>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</si>
  <si>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</si>
  <si>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</si>
  <si>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</si>
  <si>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</si>
  <si>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</si>
  <si>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</si>
  <si>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</si>
  <si>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</si>
  <si>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</si>
  <si>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</si>
  <si>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</si>
  <si>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</si>
  <si>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</si>
  <si>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</si>
  <si>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</si>
  <si>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</si>
  <si>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</si>
  <si>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</si>
  <si>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</si>
  <si>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</si>
  <si>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</si>
  <si>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</si>
  <si>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</si>
  <si>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</si>
  <si>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</si>
  <si>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</si>
  <si>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</si>
  <si>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</si>
  <si>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</si>
  <si>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</si>
  <si>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</si>
  <si>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</si>
  <si>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</si>
  <si>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</si>
  <si>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</si>
  <si>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</si>
  <si>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</si>
  <si>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</si>
  <si>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</si>
  <si>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</si>
  <si>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</si>
  <si>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</si>
  <si>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</si>
  <si>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</si>
  <si>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</si>
  <si>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</si>
  <si>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</si>
  <si>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</si>
  <si>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</si>
  <si>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</si>
  <si>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</si>
  <si>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</si>
  <si>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</si>
  <si>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</si>
  <si>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</si>
  <si>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</si>
  <si>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</si>
  <si>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</si>
  <si>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</si>
  <si>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</si>
  <si>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</si>
  <si>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</si>
  <si>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</si>
  <si>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</si>
  <si>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</si>
  <si>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</si>
  <si>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</si>
  <si>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</si>
  <si>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</si>
  <si>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</si>
  <si>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</si>
  <si>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</si>
  <si>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</si>
  <si>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</si>
  <si>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</si>
  <si>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</si>
  <si>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</si>
  <si>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</si>
  <si>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</si>
  <si>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</si>
  <si>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</si>
  <si>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</si>
  <si>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</si>
  <si>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</si>
  <si>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</si>
  <si>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</si>
  <si>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</si>
  <si>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</si>
  <si>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</si>
  <si>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</si>
  <si>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</si>
  <si>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</si>
  <si>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</si>
  <si>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</si>
  <si>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</si>
  <si>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</si>
  <si>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</si>
  <si>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</si>
  <si>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</si>
  <si>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</si>
  <si>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</si>
  <si>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</si>
  <si>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</si>
  <si>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</si>
  <si>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</si>
  <si>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</si>
  <si>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</si>
  <si>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</si>
  <si>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</si>
  <si>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</si>
  <si>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</si>
  <si>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</si>
  <si>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</si>
  <si>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</si>
  <si>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</si>
  <si>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</si>
  <si>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</si>
  <si>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</si>
  <si>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</si>
  <si>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</si>
  <si>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</si>
  <si>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</si>
  <si>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</si>
  <si>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</si>
  <si>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</si>
  <si>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</si>
  <si>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</si>
  <si>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</si>
  <si>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</si>
  <si>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</si>
  <si>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</si>
  <si>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</si>
  <si>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</si>
  <si>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</si>
  <si>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</si>
  <si>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</si>
  <si>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</si>
  <si>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</si>
  <si>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</si>
  <si>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</si>
  <si>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</si>
  <si>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</si>
  <si>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</si>
  <si>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</si>
  <si>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</si>
  <si>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</si>
  <si>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</si>
  <si>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</si>
  <si>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</si>
  <si>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</si>
  <si>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</si>
  <si>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</si>
  <si>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</si>
  <si>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</si>
  <si>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</si>
  <si>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</si>
  <si>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</si>
  <si>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</si>
  <si>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</si>
  <si>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</si>
  <si>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</si>
  <si>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</si>
  <si>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</si>
  <si>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</si>
  <si>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</si>
  <si>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</si>
  <si>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</si>
  <si>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</si>
  <si>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</si>
  <si>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</si>
  <si>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</si>
  <si>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</si>
  <si>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</si>
  <si>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</si>
  <si>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</si>
  <si>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</si>
  <si>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</si>
  <si>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</si>
  <si>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</si>
  <si>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</si>
  <si>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</si>
  <si>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</si>
  <si>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</si>
  <si>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</si>
  <si>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</si>
  <si>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</si>
  <si>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</si>
  <si>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</si>
  <si>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</si>
  <si>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</si>
  <si>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</si>
  <si>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</si>
  <si>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</si>
  <si>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</si>
  <si>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</si>
  <si>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</si>
  <si>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</si>
  <si>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</si>
  <si>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</si>
  <si>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</si>
  <si>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</si>
  <si>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</si>
  <si>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</si>
  <si>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</si>
  <si>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</si>
  <si>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</si>
  <si>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</si>
  <si>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</si>
  <si>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</si>
  <si>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</si>
  <si>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</si>
  <si>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</si>
  <si>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</si>
  <si>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</si>
  <si>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</si>
  <si>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</si>
  <si>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</si>
  <si>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</si>
  <si>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</si>
  <si>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</si>
  <si>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</si>
  <si>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</si>
  <si>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</si>
  <si>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</si>
  <si>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</si>
  <si>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</si>
  <si>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</si>
  <si>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</si>
  <si>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</si>
  <si>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</si>
  <si>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</si>
  <si>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</si>
  <si>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</si>
  <si>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</si>
  <si>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</si>
  <si>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</si>
  <si>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</si>
  <si>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</si>
  <si>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</si>
  <si>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</si>
  <si>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</si>
  <si>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</si>
  <si>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</si>
  <si>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</si>
  <si>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</si>
  <si>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</si>
  <si>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</si>
  <si>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</si>
  <si>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</si>
  <si>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</si>
  <si>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</si>
  <si>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</si>
  <si>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</si>
  <si>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</si>
  <si>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</si>
  <si>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</si>
  <si>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</si>
  <si>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</si>
  <si>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</si>
  <si>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</si>
  <si>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</si>
  <si>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</si>
  <si>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</si>
  <si>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</si>
  <si>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</si>
  <si>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</si>
  <si>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</si>
  <si>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</si>
  <si>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</si>
  <si>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</si>
  <si>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</si>
  <si>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</si>
  <si>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</si>
  <si>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</si>
  <si>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</si>
  <si>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</si>
  <si>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</si>
  <si>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</si>
  <si>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</si>
  <si>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</si>
  <si>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</si>
  <si>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</si>
  <si>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</si>
  <si>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</si>
  <si>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</si>
  <si>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</si>
  <si>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</si>
  <si>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</si>
  <si>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</si>
  <si>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</si>
  <si>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</si>
  <si>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</si>
  <si>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</si>
  <si>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</si>
  <si>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</si>
  <si>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</si>
  <si>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</si>
  <si>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</si>
  <si>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</si>
  <si>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</si>
  <si>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</si>
  <si>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</si>
  <si>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</si>
  <si>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</si>
  <si>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</si>
  <si>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</si>
  <si>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</si>
  <si>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</si>
  <si>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</si>
  <si>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</si>
  <si>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</si>
  <si>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</si>
  <si>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</si>
  <si>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</si>
  <si>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</si>
  <si>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</si>
  <si>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</si>
  <si>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</si>
  <si>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</si>
  <si>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</si>
  <si>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</si>
  <si>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</si>
  <si>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</si>
  <si>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</si>
  <si>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</si>
  <si>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</si>
  <si>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</si>
  <si>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</si>
  <si>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</si>
  <si>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</si>
  <si>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</si>
  <si>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</si>
  <si>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</si>
  <si>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</si>
  <si>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</si>
  <si>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</si>
  <si>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</si>
  <si>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</si>
  <si>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</si>
  <si>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</si>
  <si>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</si>
  <si>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</si>
  <si>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</si>
  <si>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</si>
  <si>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</si>
  <si>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</si>
  <si>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</si>
  <si>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</si>
  <si>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</si>
  <si>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</si>
  <si>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</si>
  <si>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</si>
  <si>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</si>
  <si>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</si>
  <si>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</si>
  <si>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</si>
  <si>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</si>
  <si>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</si>
  <si>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</si>
  <si>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</si>
  <si>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</si>
  <si>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</si>
  <si>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</si>
  <si>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</si>
  <si>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</si>
  <si>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</si>
  <si>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</si>
  <si>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</si>
  <si>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</si>
  <si>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</si>
  <si>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</si>
  <si>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</si>
  <si>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</si>
  <si>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</si>
  <si>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</si>
  <si>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</si>
  <si>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</si>
  <si>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</si>
  <si>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</si>
  <si>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</si>
  <si>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</si>
  <si>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</si>
  <si>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</si>
  <si>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</si>
  <si>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</si>
  <si>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</si>
  <si>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</si>
  <si>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</si>
  <si>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</si>
  <si>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</si>
  <si>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</si>
  <si>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</si>
  <si>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</si>
  <si>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</si>
  <si>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</si>
  <si>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</si>
  <si>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</si>
  <si>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</si>
  <si>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</si>
  <si>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</si>
  <si>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</si>
  <si>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</si>
  <si>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</si>
  <si>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</si>
  <si>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</si>
  <si>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</si>
  <si>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</si>
  <si>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</si>
  <si>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</si>
  <si>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</si>
  <si>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</si>
  <si>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</si>
  <si>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</si>
  <si>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</si>
  <si>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</si>
  <si>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</si>
  <si>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</si>
  <si>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</si>
  <si>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</si>
  <si>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</si>
  <si>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</si>
  <si>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</si>
  <si>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</si>
  <si>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</si>
  <si>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</si>
  <si>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</si>
  <si>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</si>
  <si>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</si>
  <si>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</si>
  <si>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</si>
  <si>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</si>
  <si>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</si>
  <si>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</si>
  <si>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</si>
  <si>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</si>
  <si>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</si>
  <si>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</si>
  <si>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</si>
  <si>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</si>
  <si>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</si>
  <si>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</si>
  <si>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</si>
  <si>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</si>
  <si>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</si>
  <si>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</si>
  <si>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</si>
  <si>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</si>
  <si>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</si>
  <si>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</si>
  <si>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</si>
  <si>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</si>
  <si>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</si>
  <si>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</si>
  <si>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</si>
  <si>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</si>
  <si>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</si>
  <si>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</si>
  <si>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</si>
  <si>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</si>
  <si>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</si>
  <si>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</si>
  <si>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</si>
  <si>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</si>
  <si>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</si>
  <si>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</si>
  <si>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</si>
  <si>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</si>
  <si>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</si>
  <si>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</si>
  <si>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</si>
  <si>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</si>
  <si>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</si>
  <si>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</si>
  <si>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</si>
  <si>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</si>
  <si>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</si>
  <si>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</si>
  <si>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</si>
  <si>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</si>
  <si>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</si>
  <si>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</si>
  <si>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</si>
  <si>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</si>
  <si>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</si>
  <si>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</si>
  <si>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</si>
  <si>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</si>
  <si>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</si>
  <si>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</si>
  <si>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</si>
  <si>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</si>
  <si>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</si>
  <si>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</si>
  <si>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</si>
  <si>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</si>
  <si>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</si>
  <si>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</si>
  <si>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</si>
  <si>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</si>
  <si>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</si>
  <si>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</si>
  <si>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</si>
  <si>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</si>
  <si>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</si>
  <si>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</si>
  <si>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</si>
  <si>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</si>
  <si>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</si>
  <si>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</si>
  <si>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</si>
  <si>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</si>
  <si>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</si>
  <si>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</si>
  <si>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</si>
  <si>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</si>
  <si>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</si>
  <si>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</si>
  <si>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</si>
  <si>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</si>
  <si>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</si>
  <si>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</si>
  <si>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</si>
  <si>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</si>
  <si>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</si>
  <si>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</si>
  <si>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</si>
  <si>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</si>
  <si>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</si>
  <si>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</si>
  <si>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</si>
  <si>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</si>
  <si>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</si>
  <si>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</si>
  <si>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</si>
  <si>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</si>
  <si>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</si>
  <si>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</si>
  <si>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</si>
  <si>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</si>
  <si>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</si>
  <si>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</si>
  <si>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</si>
  <si>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</si>
  <si>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</si>
  <si>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</si>
  <si>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</si>
  <si>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</si>
  <si>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</si>
  <si>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</si>
  <si>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</si>
  <si>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</si>
  <si>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</si>
  <si>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</si>
  <si>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</si>
  <si>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</si>
  <si>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</si>
  <si>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</si>
  <si>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</si>
  <si>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</si>
  <si>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</si>
  <si>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</si>
  <si>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</si>
  <si>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</si>
  <si>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</si>
  <si>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</si>
  <si>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</si>
  <si>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</si>
  <si>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</si>
  <si>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</si>
  <si>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</si>
  <si>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</si>
  <si>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</si>
  <si>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</si>
  <si>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</si>
  <si>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</si>
  <si>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</si>
  <si>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</si>
  <si>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</si>
  <si>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</si>
  <si>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</si>
  <si>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</si>
  <si>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</si>
  <si>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</si>
  <si>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</si>
  <si>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</si>
  <si>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</si>
  <si>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</si>
  <si>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</si>
  <si>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</si>
  <si>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</si>
  <si>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</si>
  <si>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</si>
  <si>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</si>
  <si>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</si>
  <si>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</si>
  <si>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</si>
  <si>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</si>
  <si>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</si>
  <si>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</si>
  <si>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</si>
  <si>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</si>
  <si>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</si>
  <si>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</si>
  <si>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</si>
  <si>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</si>
  <si>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</si>
  <si>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</si>
  <si>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</si>
  <si>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</si>
  <si>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</si>
  <si>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</si>
  <si>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</si>
  <si>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</si>
  <si>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</si>
  <si>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</si>
  <si>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</si>
  <si>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</si>
  <si>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</si>
  <si>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</si>
  <si>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</si>
  <si>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</si>
  <si>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</si>
  <si>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</si>
  <si>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</si>
  <si>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</si>
  <si>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</si>
  <si>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</si>
  <si>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</si>
  <si>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</si>
  <si>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</si>
  <si>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</si>
  <si>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</si>
  <si>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</si>
  <si>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</si>
  <si>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</si>
  <si>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</si>
  <si>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</si>
  <si>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</si>
  <si>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</si>
  <si>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</si>
  <si>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</si>
  <si>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</si>
  <si>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</si>
  <si>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</si>
  <si>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</si>
  <si>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</si>
  <si>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</si>
  <si>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</si>
  <si>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</si>
  <si>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</si>
  <si>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</si>
  <si>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</si>
  <si>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</si>
  <si>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</si>
  <si>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</si>
  <si>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</si>
  <si>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</si>
  <si>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</si>
  <si>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</si>
  <si>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</si>
  <si>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</si>
  <si>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</si>
  <si>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</si>
  <si>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</si>
  <si>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</si>
  <si>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</si>
  <si>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</si>
  <si>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</si>
  <si>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</si>
  <si>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</si>
  <si>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</si>
  <si>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</si>
  <si>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ANASTASIOS KARIOFYLIS</t>
  </si>
  <si>
    <t>ATHINA KAROUMPALOU</t>
  </si>
  <si>
    <t>VASILEIOS KARAGKIOULES</t>
  </si>
  <si>
    <t>EVGENIA MALLOUCHOU</t>
  </si>
  <si>
    <t>ANASTASIS KALESIORIS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</si>
  <si>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</si>
  <si>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</si>
  <si>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</si>
  <si>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Perfect game!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</si>
</sst>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16_155_OLY_PAM_E2025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155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46007.885416666664</v>
      </c>
      <c r="C3" s="157"/>
      <c r="D3" s="39">
        <v>602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742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Valencia Basket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155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REPORT_E2025155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"E2025155"</v>
      </c>
      <c r="F3" s="45" t="str">
        <f t="shared" ref="F3:F16" si="0">""""&amp;B3&amp;"""" &amp; " : " &amp;C3&amp;","</f>
        <v>"name" : "E2025155",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"E155"</v>
      </c>
      <c r="F4" s="45" t="str">
        <f t="shared" si="0"/>
        <v>"cod" : "E155",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155</v>
      </c>
      <c r="F6" s="45" t="str">
        <f t="shared" si="0"/>
        <v>"number" : 155,</v>
      </c>
    </row>
    <row r="7" spans="2:6" x14ac:dyDescent="0.25">
      <c r="B7" s="43" t="s">
        <v>116</v>
      </c>
      <c r="C7" s="43" t="str">
        <f ca="1">""""&amp;TEXT('SCOUT &amp; LOGISTICS'!B3,"dd/mm/aaaa")&amp;""""</f>
        <v>"16/12/Tuesday"</v>
      </c>
      <c r="F7" s="45" t="str">
        <f t="shared" ca="1" si="0"/>
        <v>"date" : "16/12/Tuesday",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"ANASTASIOS KARIOFYLIS"</v>
      </c>
      <c r="F11" s="45" t="str">
        <f t="shared" si="0"/>
        <v>"Caller_1" : "ANASTASIOS KARIOFYLIS",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"VASILEIOS KARAGKIOULES"</v>
      </c>
      <c r="F13" s="45" t="str">
        <f t="shared" si="0"/>
        <v>"Timerkeeper" : "VASILEIOS KARAGKIOULES",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"EVGENIA MALLOUCHOU"</v>
      </c>
      <c r="F14" s="45" t="str">
        <f t="shared" si="0"/>
        <v>"Shotclock" : "EVGENIA MALLOUCHOU",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"ANASTASIS KALESIORIS"</v>
      </c>
      <c r="F15" s="45" t="str">
        <f t="shared" si="0"/>
        <v>"IRS" : "ANASTASIS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602</v>
      </c>
      <c r="F25" s="45" t="str">
        <f t="shared" ref="F25:F48" si="1">""""&amp;C25&amp;"""" &amp; " : " &amp;D25&amp;","</f>
        <v>"total_actions" : 602,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"Perfect game! Keep it up!"</v>
      </c>
      <c r="F51" s="45" t="str">
        <f>""""&amp;B51&amp;"""" &amp; " : " &amp;C51&amp;","</f>
        <v>"comments" : "Perfect game! Keep it up!",</v>
      </c>
    </row>
    <row r="52" spans="2:6" x14ac:dyDescent="0.25">
      <c r="B52" s="43" t="s">
        <v>153</v>
      </c>
      <c r="C52" s="43" t="str">
        <f>TEXT('SCOUT &amp; LOGISTICS'!F1,"0,0")</f>
        <v>16_155_OLY_PAM_E2025</v>
      </c>
      <c r="F52" s="45" t="str">
        <f>""""&amp;B52&amp;"""" &amp; " : " &amp;C52</f>
        <v>"result" : 16_155_OLY_PAM_E2025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E155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16/12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Valencia Basket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ANASTASIOS KARIOFYLIS</v>
      </c>
      <c r="H8" s="206"/>
      <c r="I8" s="206"/>
      <c r="J8" s="206"/>
      <c r="K8" s="206"/>
      <c r="L8" s="206" t="str">
        <f>IF('SCOUT &amp; LOGISTICS'!D8="","",'SCOUT &amp; LOGISTICS'!D8)</f>
        <v>ATHINA KAROUMPALOU</v>
      </c>
      <c r="M8" s="206"/>
      <c r="N8" s="206"/>
      <c r="O8" s="206"/>
      <c r="P8" s="206"/>
      <c r="Q8" s="206" t="str">
        <f>IF('SCOUT &amp; LOGISTICS'!D9="","",'SCOUT &amp; LOGISTICS'!D9)</f>
        <v>VASILEIOS KARAGKIOULES</v>
      </c>
      <c r="R8" s="206"/>
      <c r="S8" s="206"/>
      <c r="T8" s="206"/>
      <c r="U8" s="206"/>
      <c r="V8" s="206" t="str">
        <f>IF('SCOUT &amp; LOGISTICS'!D10="","",'SCOUT &amp; LOGISTICS'!D10)</f>
        <v>EVGENIA MALLOUCHOU</v>
      </c>
      <c r="W8" s="206"/>
      <c r="X8" s="206"/>
      <c r="Y8" s="206"/>
      <c r="Z8" s="206"/>
      <c r="AA8" s="206" t="str">
        <f>IF('SCOUT &amp; LOGISTICS'!D11="","",'SCOUT &amp; LOGISTICS'!D11)</f>
        <v>ANASTASIS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602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Perfect game!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ED5D0B1-C42B-45B2-B488-2DA7EBAB5573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2025-12-23T16:29:21Z</cp:lastPrinted>
  <dcterms:created xsi:type="dcterms:W3CDTF">2023-09-19T19:50:35Z</dcterms:created>
  <dcterms:modified xsi:type="dcterms:W3CDTF">2025-12-23T16:29:24Z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