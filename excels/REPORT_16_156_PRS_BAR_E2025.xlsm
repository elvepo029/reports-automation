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91" documentId="8_{A9132C3B-96BB-491F-9248-8FAA5DCD5DDE}" xr6:coauthVersionLast="47" xr6:coauthVersionMax="47" xr10:uidLastSave="{20517C41-B8F1-4FD1-AB61-9963EE1D340E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<sst xmlns="http://schemas.openxmlformats.org/spreadsheetml/2006/main" count="3285" uniqueCount="765">
  <si>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</si>
  <si>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</si>
  <si>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</si>
  <si>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</si>
  <si>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</si>
  <si>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</si>
  <si>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</si>
  <si>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</si>
  <si>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</si>
  <si>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</si>
  <si>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</si>
  <si>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</si>
  <si>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</si>
  <si>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</si>
  <si>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</si>
  <si>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</si>
  <si>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</si>
  <si>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</si>
  <si>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</si>
  <si>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</si>
  <si>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</si>
  <si>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</si>
  <si>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</si>
  <si>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</si>
  <si>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</si>
  <si>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</si>
  <si>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</si>
  <si>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</si>
  <si>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</si>
  <si>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</si>
  <si>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</si>
  <si>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</si>
  <si>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</si>
  <si>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</si>
  <si>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</si>
  <si>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</si>
  <si>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</si>
  <si>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</si>
  <si>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</si>
  <si>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</si>
  <si>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</si>
  <si>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</si>
  <si>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</si>
  <si>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</si>
  <si>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</si>
  <si>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</si>
  <si>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</si>
  <si>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</si>
  <si>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</si>
  <si>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</si>
  <si>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</si>
  <si>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</si>
  <si>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</si>
  <si>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</si>
  <si>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</si>
  <si>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</si>
  <si>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</si>
  <si>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</si>
  <si>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</si>
  <si>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</si>
  <si>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</si>
  <si>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</si>
  <si>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</si>
  <si>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</si>
  <si>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</si>
  <si>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</si>
  <si>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</si>
  <si>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</si>
  <si>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</si>
  <si>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</si>
  <si>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</si>
  <si>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</si>
  <si>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</si>
  <si>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</si>
  <si>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</si>
  <si>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</si>
  <si>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</si>
  <si>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</si>
  <si>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</si>
  <si>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</si>
  <si>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</si>
  <si>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</si>
  <si>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</si>
  <si>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</si>
  <si>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</si>
  <si>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</si>
  <si>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</si>
  <si>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</si>
  <si>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</si>
  <si>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</si>
  <si>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</si>
  <si>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</si>
  <si>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</si>
  <si>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</si>
  <si>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</si>
  <si>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</si>
  <si>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</si>
  <si>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</si>
  <si>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</si>
  <si>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</si>
  <si>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</si>
  <si>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</si>
  <si>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</si>
  <si>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</si>
  <si>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</si>
  <si>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</si>
  <si>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</si>
  <si>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</si>
  <si>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</si>
  <si>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</si>
  <si>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</si>
  <si>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</si>
  <si>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</si>
  <si>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</si>
  <si>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</si>
  <si>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</si>
  <si>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</si>
  <si>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</si>
  <si>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</si>
  <si>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</si>
  <si>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</si>
  <si>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</si>
  <si>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</si>
  <si>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</si>
  <si>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</si>
  <si>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</si>
  <si>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</si>
  <si>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</si>
  <si>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</si>
  <si>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</si>
  <si>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</si>
  <si>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</si>
  <si>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</si>
  <si>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</si>
  <si>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</si>
  <si>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</si>
  <si>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</si>
  <si>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</si>
  <si>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</si>
  <si>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</si>
  <si>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</si>
  <si>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</si>
  <si>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</si>
  <si>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</si>
  <si>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</si>
  <si>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</si>
  <si>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</si>
  <si>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</si>
  <si>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</si>
  <si>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</si>
  <si>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</si>
  <si>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</si>
  <si>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</si>
  <si>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</si>
  <si>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</si>
  <si>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</si>
  <si>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</si>
  <si>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</si>
  <si>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</si>
  <si>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</si>
  <si>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</si>
  <si>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</si>
  <si>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</si>
  <si>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</si>
  <si>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</si>
  <si>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</si>
  <si>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</si>
  <si>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</si>
  <si>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</si>
  <si>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</si>
  <si>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</si>
  <si>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</si>
  <si>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</si>
  <si>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</si>
  <si>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</si>
  <si>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</si>
  <si>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</si>
  <si>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</si>
  <si>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</si>
  <si>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</si>
  <si>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</si>
  <si>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</si>
  <si>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</si>
  <si>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</si>
  <si>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</si>
  <si>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</si>
  <si>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</si>
  <si>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</si>
  <si>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</si>
  <si>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</si>
  <si>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</si>
  <si>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</si>
  <si>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</si>
  <si>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</si>
  <si>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</si>
  <si>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</si>
  <si>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</si>
  <si>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</si>
  <si>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</si>
  <si>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</si>
  <si>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</si>
  <si>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</si>
  <si>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</si>
  <si>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</si>
  <si>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</si>
  <si>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</si>
  <si>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</si>
  <si>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</si>
  <si>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</si>
  <si>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</si>
  <si>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</si>
  <si>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</si>
  <si>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</si>
  <si>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</si>
  <si>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</si>
  <si>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</si>
  <si>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</si>
  <si>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</si>
  <si>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</si>
  <si>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</si>
  <si>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</si>
  <si>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</si>
  <si>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</si>
  <si>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</si>
  <si>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</si>
  <si>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</si>
  <si>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</si>
  <si>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</si>
  <si>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</si>
  <si>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</si>
  <si>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</si>
  <si>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</si>
  <si>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</si>
  <si>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</si>
  <si>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</si>
  <si>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</si>
  <si>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</si>
  <si>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</si>
  <si>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</si>
  <si>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</si>
  <si>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</si>
  <si>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</si>
  <si>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</si>
  <si>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</si>
  <si>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</si>
  <si>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</si>
  <si>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</si>
  <si>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</si>
  <si>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</si>
  <si>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</si>
  <si>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</si>
  <si>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</si>
  <si>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</si>
  <si>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</si>
  <si>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</si>
  <si>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</si>
  <si>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</si>
  <si>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</si>
  <si>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</si>
  <si>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</si>
  <si>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</si>
  <si>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</si>
  <si>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</si>
  <si>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</si>
  <si>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</si>
  <si>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</si>
  <si>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</si>
  <si>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</si>
  <si>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</si>
  <si>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</si>
  <si>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</si>
  <si>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</si>
  <si>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</si>
  <si>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</si>
  <si>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</si>
  <si>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</si>
  <si>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</si>
  <si>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</si>
  <si>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</si>
  <si>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</si>
  <si>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</si>
  <si>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</si>
  <si>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</si>
  <si>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</si>
  <si>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</si>
  <si>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</si>
  <si>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</si>
  <si>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</si>
  <si>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</si>
  <si>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</si>
  <si>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</si>
  <si>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</si>
  <si>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</si>
  <si>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</si>
  <si>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</si>
  <si>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</si>
  <si>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</si>
  <si>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</si>
  <si>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</si>
  <si>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</si>
  <si>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</si>
  <si>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</si>
  <si>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</si>
  <si>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</si>
  <si>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</si>
  <si>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</si>
  <si>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</si>
  <si>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</si>
  <si>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</si>
  <si>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</si>
  <si>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</si>
  <si>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</si>
  <si>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</si>
  <si>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</si>
  <si>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</si>
  <si>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</si>
  <si>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</si>
  <si>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</si>
  <si>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</si>
  <si>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</si>
  <si>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</si>
  <si>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</si>
  <si>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</si>
  <si>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</si>
  <si>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</si>
  <si>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</si>
  <si>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</si>
  <si>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</si>
  <si>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</si>
  <si>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</si>
  <si>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</si>
  <si>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</si>
  <si>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</si>
  <si>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</si>
  <si>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</si>
  <si>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</si>
  <si>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</si>
  <si>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</si>
  <si>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</si>
  <si>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</si>
  <si>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</si>
  <si>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</si>
  <si>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</si>
  <si>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</si>
  <si>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</si>
  <si>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</si>
  <si>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</si>
  <si>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</si>
  <si>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</si>
  <si>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</si>
  <si>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</si>
  <si>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</si>
  <si>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</si>
  <si>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</si>
  <si>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</si>
  <si>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</si>
  <si>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</si>
  <si>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</si>
  <si>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</si>
  <si>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</si>
  <si>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</si>
  <si>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</si>
  <si>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</si>
  <si>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</si>
  <si>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</si>
  <si>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</si>
  <si>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</si>
  <si>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</si>
  <si>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</si>
  <si>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</si>
  <si>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</si>
  <si>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</si>
  <si>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</si>
  <si>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</si>
  <si>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</si>
  <si>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</si>
  <si>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</si>
  <si>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</si>
  <si>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</si>
  <si>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</si>
  <si>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</si>
  <si>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</si>
  <si>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</si>
  <si>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</si>
  <si>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</si>
  <si>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</si>
  <si>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</si>
  <si>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</si>
  <si>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</si>
  <si>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</si>
  <si>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</si>
  <si>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</si>
  <si>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</si>
  <si>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</si>
  <si>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</si>
  <si>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</si>
  <si>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</si>
  <si>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</si>
  <si>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</si>
  <si>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</si>
  <si>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</si>
  <si>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</si>
  <si>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</si>
  <si>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</si>
  <si>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</si>
  <si>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</si>
  <si>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</si>
  <si>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</si>
  <si>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</si>
  <si>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</si>
  <si>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</si>
  <si>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</si>
  <si>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</si>
  <si>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</si>
  <si>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</si>
  <si>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</si>
  <si>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</si>
  <si>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</si>
  <si>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</si>
  <si>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</si>
  <si>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</si>
  <si>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</si>
  <si>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</si>
  <si>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</si>
  <si>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</si>
  <si>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</si>
  <si>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</si>
  <si>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</si>
  <si>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</si>
  <si>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</si>
  <si>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</si>
  <si>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</si>
  <si>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</si>
  <si>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</si>
  <si>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</si>
  <si>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</si>
  <si>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</si>
  <si>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</si>
  <si>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</si>
  <si>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</si>
  <si>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</si>
  <si>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</si>
  <si>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</si>
  <si>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</si>
  <si>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</si>
  <si>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</si>
  <si>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</si>
  <si>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</si>
  <si>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</si>
  <si>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</si>
  <si>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</si>
  <si>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</si>
  <si>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</si>
  <si>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</si>
  <si>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</si>
  <si>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</si>
  <si>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</si>
  <si>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</si>
  <si>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</si>
  <si>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</si>
  <si>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</si>
  <si>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</si>
  <si>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</si>
  <si>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</si>
  <si>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</si>
  <si>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</si>
  <si>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</si>
  <si>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</si>
  <si>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</si>
  <si>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</si>
  <si>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</si>
  <si>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</si>
  <si>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</si>
  <si>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</si>
  <si>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</si>
  <si>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</si>
  <si>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</si>
  <si>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</si>
  <si>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</si>
  <si>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</si>
  <si>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</si>
  <si>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</si>
  <si>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</si>
  <si>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</si>
  <si>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</si>
  <si>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</si>
  <si>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</si>
  <si>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</si>
  <si>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</si>
  <si>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</si>
  <si>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</si>
  <si>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</si>
  <si>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</si>
  <si>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</si>
  <si>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</si>
  <si>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</si>
  <si>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</si>
  <si>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</si>
  <si>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</si>
  <si>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</si>
  <si>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</si>
  <si>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</si>
  <si>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</si>
  <si>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</si>
  <si>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</si>
  <si>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</si>
  <si>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</si>
  <si>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</si>
  <si>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</si>
  <si>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</si>
  <si>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</si>
  <si>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</si>
  <si>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</si>
  <si>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</si>
  <si>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</si>
  <si>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</si>
  <si>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</si>
  <si>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</si>
  <si>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</si>
  <si>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</si>
  <si>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</si>
  <si>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</si>
  <si>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</si>
  <si>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</si>
  <si>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</si>
  <si>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</si>
  <si>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</si>
  <si>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</si>
  <si>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</si>
  <si>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</si>
  <si>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</si>
  <si>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</si>
  <si>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</si>
  <si>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</si>
  <si>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</si>
  <si>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</si>
  <si>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</si>
  <si>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</si>
  <si>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</si>
  <si>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</si>
  <si>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</si>
  <si>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</si>
  <si>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</si>
  <si>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</si>
  <si>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</si>
  <si>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</si>
  <si>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</si>
  <si>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</si>
  <si>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</si>
  <si>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</si>
  <si>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</si>
  <si>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</si>
  <si>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</si>
  <si>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</si>
  <si>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</si>
  <si>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</si>
  <si>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</si>
  <si>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</si>
  <si>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</si>
  <si>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</si>
  <si>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</si>
  <si>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</si>
  <si>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</si>
  <si>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</si>
  <si>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</si>
  <si>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</si>
  <si>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</si>
  <si>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</si>
  <si>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</si>
  <si>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</si>
  <si>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</si>
  <si>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</si>
  <si>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</si>
  <si>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</si>
  <si>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</si>
  <si>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</si>
  <si>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</si>
  <si>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</si>
  <si>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</si>
  <si>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</si>
  <si>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</si>
  <si>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</si>
  <si>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</si>
  <si>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</si>
  <si>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</si>
  <si>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</si>
  <si>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</si>
  <si>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</si>
  <si>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</si>
  <si>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</si>
  <si>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</si>
  <si>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</si>
  <si>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</si>
  <si>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</si>
  <si>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</si>
  <si>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</si>
  <si>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</si>
  <si>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</si>
  <si>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</si>
  <si>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</si>
  <si>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</si>
  <si>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</si>
  <si>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</si>
  <si>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</si>
  <si>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</si>
  <si>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</si>
  <si>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</si>
  <si>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</si>
  <si>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</si>
  <si>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</si>
  <si>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</si>
  <si>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</si>
  <si>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</si>
  <si>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</si>
  <si>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</si>
  <si>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</si>
  <si>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</si>
  <si>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</si>
  <si>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</si>
  <si>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</si>
  <si>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</si>
  <si>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</si>
  <si>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</si>
  <si>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</si>
  <si>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</si>
  <si>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</si>
  <si>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</si>
  <si>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</si>
  <si>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</si>
  <si>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</si>
  <si>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</si>
  <si>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</si>
  <si>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</si>
  <si>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</si>
  <si>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</si>
  <si>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</si>
  <si>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</si>
  <si>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</si>
  <si>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</si>
  <si>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</si>
  <si>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</si>
  <si>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</si>
  <si>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</si>
  <si>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</si>
  <si>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</si>
  <si>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</si>
  <si>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</si>
  <si>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</si>
  <si>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</si>
  <si>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</si>
  <si>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</si>
  <si>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</si>
  <si>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</si>
  <si>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</si>
  <si>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</si>
  <si>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</si>
  <si>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</si>
  <si>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</si>
  <si>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</si>
  <si>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</si>
  <si>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</si>
  <si>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</si>
  <si>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</si>
  <si>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</si>
  <si>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</si>
  <si>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</si>
  <si>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</si>
  <si>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</si>
  <si>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</si>
  <si>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</si>
  <si>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</si>
  <si>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</si>
  <si>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</si>
  <si>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</si>
  <si>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</si>
  <si>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</si>
  <si>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</si>
  <si>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</si>
  <si>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</si>
  <si>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</si>
  <si>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</si>
  <si>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</si>
  <si>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</si>
  <si>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</si>
  <si>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</si>
  <si>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</si>
  <si>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</si>
  <si>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</si>
  <si>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</si>
  <si>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</si>
  <si>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</si>
  <si>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</si>
  <si>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</si>
  <si>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</si>
  <si>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</si>
  <si>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</si>
  <si>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</si>
  <si>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</si>
  <si>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</si>
  <si>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</si>
  <si>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</si>
  <si>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</si>
  <si>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</si>
  <si>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</si>
  <si>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</si>
  <si>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</si>
  <si>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</si>
  <si>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</si>
  <si>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</si>
  <si>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</si>
  <si>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</si>
  <si>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</si>
  <si>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</si>
  <si>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</si>
  <si>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</si>
  <si>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</si>
  <si>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</si>
  <si>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</si>
  <si>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</si>
  <si>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</si>
  <si>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</si>
  <si>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</si>
  <si>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</si>
  <si>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</si>
  <si>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</si>
  <si>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</si>
  <si>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</si>
  <si>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</si>
  <si>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</si>
  <si>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</si>
  <si>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</si>
  <si>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</si>
  <si>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</si>
  <si>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</si>
  <si>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</si>
  <si>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</si>
  <si>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</si>
  <si>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</si>
  <si>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</si>
  <si>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</si>
  <si>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</si>
  <si>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</si>
  <si>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</si>
  <si>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</si>
  <si>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</si>
  <si>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</si>
  <si>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</si>
  <si>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</si>
  <si>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</si>
  <si>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C:\Users\eloi.verge\OneDrive - EUROLEAGUE\Desktop\GAME REPORTS\25-26</t>
  </si>
  <si>
    <t>DJAMEL SOUDANI</t>
  </si>
  <si>
    <t>CHRISTIAN MOLLET</t>
  </si>
  <si>
    <t>BASTIEN BONNETON</t>
  </si>
  <si>
    <t>MAGALI CARTIER</t>
  </si>
  <si>
    <t>PATRICK JOLIVET</t>
  </si>
  <si>
    <t>BRIAN PETER</t>
  </si>
  <si>
    <t>ELOI VERGE</t>
  </si>
  <si>
    <t>08:52</t>
  </si>
  <si>
    <t>06:39</t>
  </si>
  <si>
    <t>02:15</t>
  </si>
  <si>
    <t>06:01</t>
  </si>
  <si>
    <t>04:17</t>
  </si>
  <si>
    <t>07:36</t>
  </si>
  <si>
    <t>01:08</t>
  </si>
  <si>
    <t>Realy good job and don't worry too much about the criteria corrections related to assists, most of them were hard to appreciate live.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</si>
</sst>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16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16_156_PRS_BAR_E2025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156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46007.864583333336</v>
      </c>
      <c r="C3" s="157"/>
      <c r="D3" s="39">
        <v>618</v>
      </c>
      <c r="E3" s="29"/>
      <c r="F3" s="26">
        <f>SUBTOTAL(3,I17:I106)</f>
        <v>8</v>
      </c>
      <c r="G3" s="27">
        <f>IF(OR(D3="",D3=0),"",F3/D3)</f>
        <v>1.2944983818770227E-2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Paris Basketball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742</v>
      </c>
      <c r="L4" s="5"/>
      <c r="M4" s="167" t="s">
        <v>764</v>
      </c>
      <c r="N4" s="168"/>
      <c r="O4" s="2"/>
      <c r="P4" s="2"/>
      <c r="Q4" s="84" t="s">
        <v>175</v>
      </c>
      <c r="R4" s="94">
        <f>(IF(G3="",0,G3))</f>
        <v>1.2944983818770227E-2</v>
      </c>
      <c r="S4" s="61">
        <f>SUM(I13:M13)</f>
        <v>0</v>
      </c>
      <c r="T4" s="78"/>
      <c r="U4" s="61">
        <f>AC18</f>
        <v>7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FC Barcelona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1.2944983818770228</v>
      </c>
      <c r="S5" s="70">
        <f t="shared" ref="S5" si="0">S4*S3</f>
        <v>0</v>
      </c>
      <c r="T5" s="92"/>
      <c r="U5" s="70">
        <f t="shared" ref="U5:AG5" si="1">U4*U3</f>
        <v>3.5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5.7944983818770233</v>
      </c>
      <c r="N7" s="58"/>
      <c r="O7" s="2"/>
      <c r="P7" s="2"/>
      <c r="Q7" s="86">
        <f>SUM(R5,S5,AC16)</f>
        <v>5.7944983818770233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5.7944983818770233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156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8</v>
      </c>
      <c r="J15" s="24">
        <f>SUBTOTAL(3,J17:J106)</f>
        <v>8</v>
      </c>
      <c r="K15" s="24">
        <f>SUBTOTAL(3,K17:K106)</f>
        <v>8</v>
      </c>
      <c r="L15" s="24">
        <f>SUBTOTAL(3,L17:L106)</f>
        <v>8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8</v>
      </c>
      <c r="Z16" s="90" t="s">
        <v>110</v>
      </c>
      <c r="AA16" s="75">
        <f>SUM(AA17:AA24)</f>
        <v>8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4.5</v>
      </c>
      <c r="AD16" s="75">
        <f>SUM(AD17:AD24)</f>
        <v>45</v>
      </c>
      <c r="AE16" s="76" t="s">
        <v>42</v>
      </c>
      <c r="AF16" s="75">
        <f>SUM(AF17:AF24)</f>
        <v>7</v>
      </c>
      <c r="AG16" s="75">
        <f>SUM(AG17:AG21)</f>
        <v>8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156</v>
      </c>
      <c r="D17" s="32" t="s">
        <v>757</v>
      </c>
      <c r="E17" s="33">
        <v>1</v>
      </c>
      <c r="F17" s="36">
        <v>0</v>
      </c>
      <c r="G17" s="36">
        <v>2</v>
      </c>
      <c r="H17" s="38" t="str">
        <f>IF(I17="","",$I$14)</f>
        <v>SCOUTING</v>
      </c>
      <c r="I17" s="34">
        <v>18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8</v>
      </c>
      <c r="Z17" s="105" t="s">
        <v>63</v>
      </c>
      <c r="AA17" s="62">
        <f>COUNTIF($K$17:$K$106,Z17)</f>
        <v>6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7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156</v>
      </c>
      <c r="D18" s="32" t="s">
        <v>758</v>
      </c>
      <c r="E18" s="33">
        <v>1</v>
      </c>
      <c r="F18" s="36">
        <v>8</v>
      </c>
      <c r="G18" s="36">
        <v>6</v>
      </c>
      <c r="H18" s="38" t="str">
        <f t="shared" ref="H18:H81" si="8">IF(I18="","",$I$14)</f>
        <v>SCOUTING</v>
      </c>
      <c r="I18" s="34">
        <v>55</v>
      </c>
      <c r="J18" s="13" t="s">
        <v>4</v>
      </c>
      <c r="K18" s="13" t="s">
        <v>62</v>
      </c>
      <c r="L18" s="13" t="s">
        <v>6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7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156</v>
      </c>
      <c r="D19" s="32" t="s">
        <v>759</v>
      </c>
      <c r="E19" s="33">
        <v>1</v>
      </c>
      <c r="F19" s="36">
        <v>11</v>
      </c>
      <c r="G19" s="36">
        <v>21</v>
      </c>
      <c r="H19" s="38" t="str">
        <f t="shared" si="8"/>
        <v>SCOUTING</v>
      </c>
      <c r="I19" s="34">
        <v>118</v>
      </c>
      <c r="J19" s="13" t="s">
        <v>4</v>
      </c>
      <c r="K19" s="13" t="s">
        <v>63</v>
      </c>
      <c r="L19" s="13" t="s">
        <v>5</v>
      </c>
      <c r="M19" s="13" t="s">
        <v>9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156</v>
      </c>
      <c r="D20" s="32" t="s">
        <v>759</v>
      </c>
      <c r="E20" s="33">
        <v>2</v>
      </c>
      <c r="F20" s="36">
        <v>27</v>
      </c>
      <c r="G20" s="36">
        <v>46</v>
      </c>
      <c r="H20" s="38" t="str">
        <f t="shared" si="8"/>
        <v>SCOUTING</v>
      </c>
      <c r="I20" s="34">
        <v>262</v>
      </c>
      <c r="J20" s="13" t="s">
        <v>4</v>
      </c>
      <c r="K20" s="13" t="s">
        <v>63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156</v>
      </c>
      <c r="D21" s="32" t="s">
        <v>760</v>
      </c>
      <c r="E21" s="33">
        <v>3</v>
      </c>
      <c r="F21" s="36">
        <v>38</v>
      </c>
      <c r="G21" s="36">
        <v>54</v>
      </c>
      <c r="H21" s="38" t="str">
        <f t="shared" si="8"/>
        <v>SCOUTING</v>
      </c>
      <c r="I21" s="34">
        <v>375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156</v>
      </c>
      <c r="D22" s="32" t="s">
        <v>761</v>
      </c>
      <c r="E22" s="33">
        <v>3</v>
      </c>
      <c r="F22" s="36">
        <v>42</v>
      </c>
      <c r="G22" s="36">
        <v>59</v>
      </c>
      <c r="H22" s="38" t="str">
        <f t="shared" si="8"/>
        <v>SCOUTING</v>
      </c>
      <c r="I22" s="34">
        <v>402</v>
      </c>
      <c r="J22" s="13" t="s">
        <v>4</v>
      </c>
      <c r="K22" s="13" t="s">
        <v>63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156</v>
      </c>
      <c r="D23" s="32" t="s">
        <v>762</v>
      </c>
      <c r="E23" s="33">
        <v>4</v>
      </c>
      <c r="F23" s="36">
        <v>54</v>
      </c>
      <c r="G23" s="36">
        <v>73</v>
      </c>
      <c r="H23" s="38" t="str">
        <f t="shared" si="8"/>
        <v>SCOUTING</v>
      </c>
      <c r="I23" s="34">
        <v>516</v>
      </c>
      <c r="J23" s="13" t="s">
        <v>4</v>
      </c>
      <c r="K23" s="13" t="s">
        <v>63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156</v>
      </c>
      <c r="D24" s="32" t="s">
        <v>763</v>
      </c>
      <c r="E24" s="33">
        <v>4</v>
      </c>
      <c r="F24" s="36">
        <v>65</v>
      </c>
      <c r="G24" s="36">
        <v>85</v>
      </c>
      <c r="H24" s="38" t="str">
        <f t="shared" si="8"/>
        <v>SCOUTING</v>
      </c>
      <c r="I24" s="34">
        <v>600</v>
      </c>
      <c r="J24" s="13" t="s">
        <v>4</v>
      </c>
      <c r="K24" s="13" t="s">
        <v>63</v>
      </c>
      <c r="L24" s="13" t="s">
        <v>5</v>
      </c>
      <c r="M24" s="13" t="s">
        <v>11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REPORT_E2025156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"E2025156"</v>
      </c>
      <c r="F3" s="45" t="str">
        <f t="shared" ref="F3:F16" si="0">""""&amp;B3&amp;"""" &amp; " : " &amp;C3&amp;","</f>
        <v>"name" : "E2025156",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"E156"</v>
      </c>
      <c r="F4" s="45" t="str">
        <f t="shared" si="0"/>
        <v>"cod" : "E156",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156</v>
      </c>
      <c r="F6" s="45" t="str">
        <f t="shared" si="0"/>
        <v>"number" : 156,</v>
      </c>
    </row>
    <row r="7" spans="2:6" x14ac:dyDescent="0.25">
      <c r="B7" s="43" t="s">
        <v>116</v>
      </c>
      <c r="C7" s="43" t="str">
        <f ca="1">""""&amp;TEXT('SCOUT &amp; LOGISTICS'!B3,"dd/mm/aaaa")&amp;""""</f>
        <v>"16/12/2025"</v>
      </c>
      <c r="F7" s="45" t="str">
        <f t="shared" ca="1" si="0"/>
        <v>"date" : "16/12/2025",</v>
      </c>
    </row>
    <row r="8" spans="2:6" x14ac:dyDescent="0.25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5">
      <c r="B9" s="43" t="s">
        <v>126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"DJAMEL SOUDANI"</v>
      </c>
      <c r="F10" s="45" t="str">
        <f t="shared" si="0"/>
        <v>"Data_entry" : "DJAMEL SOUDANI",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"CHRISTIAN MOLLET"</v>
      </c>
      <c r="F11" s="45" t="str">
        <f t="shared" si="0"/>
        <v>"Caller_1" : "CHRISTIAN MOLLET",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"BASTIEN BONNETON"</v>
      </c>
      <c r="F12" s="45" t="str">
        <f t="shared" si="0"/>
        <v>"Caller_2" : "BASTIEN BONNETON",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"MAGALI CARTIER"</v>
      </c>
      <c r="F13" s="45" t="str">
        <f t="shared" si="0"/>
        <v>"Timerkeeper" : "MAGALI CARTIER",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"PATRICK JOLIVET"</v>
      </c>
      <c r="F14" s="45" t="str">
        <f t="shared" si="0"/>
        <v>"Shotclock" : "PATRICK JOLIVET",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"BRIAN PETER"</v>
      </c>
      <c r="F15" s="45" t="str">
        <f t="shared" si="0"/>
        <v>"IRS" : "BRIAN PETER",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VERGE"</v>
      </c>
      <c r="F16" s="45" t="str">
        <f t="shared" si="0"/>
        <v>"Live_Game_Manager" : "ELOI VERGE",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618</v>
      </c>
      <c r="F25" s="45" t="str">
        <f t="shared" ref="F25:F48" si="1">""""&amp;C25&amp;"""" &amp; " : " &amp;D25&amp;","</f>
        <v>"total_actions" : 618,</v>
      </c>
    </row>
    <row r="26" spans="2:6" x14ac:dyDescent="0.25">
      <c r="C26" s="43" t="s">
        <v>132</v>
      </c>
      <c r="D26" s="43">
        <f>'SCOUT &amp; LOGISTICS'!F3</f>
        <v>8</v>
      </c>
      <c r="F26" s="45" t="str">
        <f t="shared" si="1"/>
        <v>"total_correcions" : 8,</v>
      </c>
    </row>
    <row r="27" spans="2:6" x14ac:dyDescent="0.25">
      <c r="C27" s="43" t="s">
        <v>133</v>
      </c>
      <c r="D27" s="43" t="str">
        <f>""""&amp;IF(OR(D25="",D25=0),"",TEXT(D26/D25,"0,0%"))&amp;""""</f>
        <v>"1,3%"</v>
      </c>
      <c r="F27" s="45" t="str">
        <f t="shared" si="1"/>
        <v>"%_corrections" : "1,3%",</v>
      </c>
    </row>
    <row r="28" spans="2:6" x14ac:dyDescent="0.25">
      <c r="C28" s="43" t="s">
        <v>125</v>
      </c>
      <c r="D28" s="43">
        <f>IF('SCOUT &amp; LOGISTICS'!AA17="","",'SCOUT &amp; LOGISTICS'!AA17)</f>
        <v>6</v>
      </c>
      <c r="F28" s="45" t="str">
        <f t="shared" si="1"/>
        <v>"home_team" : 6,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8</v>
      </c>
      <c r="F37" s="45" t="str">
        <f t="shared" si="1"/>
        <v>"scoresheet_corrections" : 8,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7</v>
      </c>
      <c r="F39" s="45" t="str">
        <f t="shared" si="1"/>
        <v>"missidentity" : 7,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"Realy good job and don't worry too much about the criteria corrections related to assists, most of them were hard to appreciate live. Keep it up!"</v>
      </c>
      <c r="F51" s="45" t="str">
        <f>""""&amp;B51&amp;"""" &amp; " : " &amp;C51&amp;","</f>
        <v>"comments" : "Realy good job and don't worry too much about the criteria corrections related to assists, most of them were hard to appreciate live. Keep it up!",</v>
      </c>
    </row>
    <row r="52" spans="2:6" x14ac:dyDescent="0.25">
      <c r="B52" s="43" t="s">
        <v>153</v>
      </c>
      <c r="C52" s="43" t="str">
        <f>TEXT('SCOUT &amp; LOGISTICS'!F1,"0,0")</f>
        <v>16_156_PRS_BAR_E2025</v>
      </c>
      <c r="F52" s="45" t="str">
        <f>""""&amp;B52&amp;"""" &amp; " : " &amp;C52</f>
        <v>"result" : 16_156_PRS_BAR_E2025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E156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16/12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Paris Basketball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Fc Barcelona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DJAMEL SOUDANI</v>
      </c>
      <c r="C8" s="206"/>
      <c r="D8" s="206"/>
      <c r="E8" s="206"/>
      <c r="F8" s="206"/>
      <c r="G8" s="206" t="str">
        <f>IF('SCOUT &amp; LOGISTICS'!D7="","",'SCOUT &amp; LOGISTICS'!D7)</f>
        <v>CHRISTIAN MOLLET</v>
      </c>
      <c r="H8" s="206"/>
      <c r="I8" s="206"/>
      <c r="J8" s="206"/>
      <c r="K8" s="206"/>
      <c r="L8" s="206" t="str">
        <f>IF('SCOUT &amp; LOGISTICS'!D8="","",'SCOUT &amp; LOGISTICS'!D8)</f>
        <v>BASTIEN BONNETON</v>
      </c>
      <c r="M8" s="206"/>
      <c r="N8" s="206"/>
      <c r="O8" s="206"/>
      <c r="P8" s="206"/>
      <c r="Q8" s="206" t="str">
        <f>IF('SCOUT &amp; LOGISTICS'!D9="","",'SCOUT &amp; LOGISTICS'!D9)</f>
        <v>MAGALI CARTIER</v>
      </c>
      <c r="R8" s="206"/>
      <c r="S8" s="206"/>
      <c r="T8" s="206"/>
      <c r="U8" s="206"/>
      <c r="V8" s="206" t="str">
        <f>IF('SCOUT &amp; LOGISTICS'!D10="","",'SCOUT &amp; LOGISTICS'!D10)</f>
        <v>PATRICK JOLIVET</v>
      </c>
      <c r="W8" s="206"/>
      <c r="X8" s="206"/>
      <c r="Y8" s="206"/>
      <c r="Z8" s="206"/>
      <c r="AA8" s="206" t="str">
        <f>IF('SCOUT &amp; LOGISTICS'!D11="","",'SCOUT &amp; LOGISTICS'!D11)</f>
        <v>BRIAN PETER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618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8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1.2944983818770227E-2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6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3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8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7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Realy good job and don't worry too much about the criteria corrections related to assists, most of them were hard to appreciate live.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5.7944983818770233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F8832BE-5DDB-4F7B-BD32-8C321480983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2025-12-17T14:59:57Z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