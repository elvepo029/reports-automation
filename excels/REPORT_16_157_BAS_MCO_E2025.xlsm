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7" documentId="8_{860E2441-5F8C-4BBB-8648-1FD5DC73871D}" xr6:coauthVersionLast="47" xr6:coauthVersionMax="47" xr10:uidLastSave="{ADA1CCF2-7DA1-4228-8AD0-4FFD5832ACA4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<sst xmlns="http://schemas.openxmlformats.org/spreadsheetml/2006/main" count="3255" uniqueCount="761">
  <si>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</si>
  <si>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</si>
  <si>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</si>
  <si>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</si>
  <si>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</si>
  <si>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</si>
  <si>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</si>
  <si>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</si>
  <si>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</si>
  <si>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</si>
  <si>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</si>
  <si>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</si>
  <si>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</si>
  <si>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</si>
  <si>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</si>
  <si>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</si>
  <si>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</si>
  <si>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</si>
  <si>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</si>
  <si>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</si>
  <si>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</si>
  <si>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</si>
  <si>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</si>
  <si>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</si>
  <si>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</si>
  <si>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</si>
  <si>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</si>
  <si>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</si>
  <si>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</si>
  <si>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</si>
  <si>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</si>
  <si>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</si>
  <si>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</si>
  <si>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</si>
  <si>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</si>
  <si>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</si>
  <si>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</si>
  <si>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</si>
  <si>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</si>
  <si>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</si>
  <si>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</si>
  <si>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</si>
  <si>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</si>
  <si>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</si>
  <si>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</si>
  <si>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</si>
  <si>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</si>
  <si>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</si>
  <si>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</si>
  <si>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</si>
  <si>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</si>
  <si>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</si>
  <si>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</si>
  <si>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</si>
  <si>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</si>
  <si>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</si>
  <si>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</si>
  <si>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</si>
  <si>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</si>
  <si>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</si>
  <si>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</si>
  <si>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</si>
  <si>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</si>
  <si>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</si>
  <si>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</si>
  <si>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</si>
  <si>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</si>
  <si>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</si>
  <si>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</si>
  <si>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</si>
  <si>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</si>
  <si>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</si>
  <si>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</si>
  <si>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</si>
  <si>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</si>
  <si>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</si>
  <si>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</si>
  <si>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</si>
  <si>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</si>
  <si>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</si>
  <si>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</si>
  <si>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</si>
  <si>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</si>
  <si>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</si>
  <si>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</si>
  <si>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</si>
  <si>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</si>
  <si>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</si>
  <si>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</si>
  <si>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</si>
  <si>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</si>
  <si>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</si>
  <si>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</si>
  <si>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</si>
  <si>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</si>
  <si>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</si>
  <si>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</si>
  <si>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</si>
  <si>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</si>
  <si>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</si>
  <si>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</si>
  <si>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</si>
  <si>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</si>
  <si>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</si>
  <si>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</si>
  <si>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</si>
  <si>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</si>
  <si>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</si>
  <si>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</si>
  <si>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</si>
  <si>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</si>
  <si>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</si>
  <si>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</si>
  <si>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</si>
  <si>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</si>
  <si>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</si>
  <si>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</si>
  <si>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</si>
  <si>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</si>
  <si>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</si>
  <si>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</si>
  <si>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</si>
  <si>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</si>
  <si>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</si>
  <si>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</si>
  <si>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</si>
  <si>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</si>
  <si>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</si>
  <si>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</si>
  <si>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</si>
  <si>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</si>
  <si>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</si>
  <si>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</si>
  <si>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</si>
  <si>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</si>
  <si>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</si>
  <si>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</si>
  <si>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</si>
  <si>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</si>
  <si>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</si>
  <si>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</si>
  <si>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</si>
  <si>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</si>
  <si>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</si>
  <si>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</si>
  <si>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</si>
  <si>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</si>
  <si>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</si>
  <si>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</si>
  <si>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</si>
  <si>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</si>
  <si>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</si>
  <si>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</si>
  <si>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</si>
  <si>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</si>
  <si>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</si>
  <si>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</si>
  <si>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</si>
  <si>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</si>
  <si>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</si>
  <si>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</si>
  <si>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</si>
  <si>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</si>
  <si>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</si>
  <si>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</si>
  <si>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</si>
  <si>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</si>
  <si>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</si>
  <si>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</si>
  <si>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</si>
  <si>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</si>
  <si>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</si>
  <si>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</si>
  <si>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</si>
  <si>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</si>
  <si>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</si>
  <si>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</si>
  <si>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</si>
  <si>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</si>
  <si>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</si>
  <si>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</si>
  <si>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</si>
  <si>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</si>
  <si>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</si>
  <si>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</si>
  <si>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</si>
  <si>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</si>
  <si>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</si>
  <si>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</si>
  <si>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</si>
  <si>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</si>
  <si>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</si>
  <si>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</si>
  <si>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</si>
  <si>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</si>
  <si>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</si>
  <si>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</si>
  <si>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</si>
  <si>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</si>
  <si>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</si>
  <si>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</si>
  <si>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</si>
  <si>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</si>
  <si>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</si>
  <si>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</si>
  <si>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</si>
  <si>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</si>
  <si>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</si>
  <si>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</si>
  <si>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</si>
  <si>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</si>
  <si>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</si>
  <si>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</si>
  <si>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</si>
  <si>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</si>
  <si>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</si>
  <si>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</si>
  <si>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</si>
  <si>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</si>
  <si>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</si>
  <si>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</si>
  <si>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</si>
  <si>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</si>
  <si>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</si>
  <si>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</si>
  <si>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</si>
  <si>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</si>
  <si>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</si>
  <si>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</si>
  <si>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</si>
  <si>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</si>
  <si>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</si>
  <si>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</si>
  <si>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</si>
  <si>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</si>
  <si>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</si>
  <si>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</si>
  <si>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</si>
  <si>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</si>
  <si>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</si>
  <si>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</si>
  <si>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</si>
  <si>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</si>
  <si>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</si>
  <si>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</si>
  <si>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</si>
  <si>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</si>
  <si>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</si>
  <si>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</si>
  <si>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</si>
  <si>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</si>
  <si>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</si>
  <si>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</si>
  <si>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</si>
  <si>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</si>
  <si>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</si>
  <si>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</si>
  <si>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</si>
  <si>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</si>
  <si>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</si>
  <si>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</si>
  <si>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</si>
  <si>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</si>
  <si>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</si>
  <si>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</si>
  <si>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</si>
  <si>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</si>
  <si>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</si>
  <si>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</si>
  <si>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</si>
  <si>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</si>
  <si>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</si>
  <si>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</si>
  <si>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</si>
  <si>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</si>
  <si>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</si>
  <si>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</si>
  <si>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</si>
  <si>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</si>
  <si>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</si>
  <si>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</si>
  <si>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</si>
  <si>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</si>
  <si>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</si>
  <si>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</si>
  <si>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</si>
  <si>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</si>
  <si>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</si>
  <si>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</si>
  <si>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</si>
  <si>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</si>
  <si>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</si>
  <si>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</si>
  <si>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</si>
  <si>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</si>
  <si>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</si>
  <si>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</si>
  <si>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</si>
  <si>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</si>
  <si>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</si>
  <si>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</si>
  <si>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</si>
  <si>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</si>
  <si>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</si>
  <si>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</si>
  <si>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</si>
  <si>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</si>
  <si>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</si>
  <si>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</si>
  <si>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</si>
  <si>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</si>
  <si>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</si>
  <si>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</si>
  <si>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</si>
  <si>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</si>
  <si>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</si>
  <si>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</si>
  <si>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</si>
  <si>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</si>
  <si>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</si>
  <si>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</si>
  <si>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</si>
  <si>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</si>
  <si>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</si>
  <si>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</si>
  <si>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</si>
  <si>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</si>
  <si>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</si>
  <si>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</si>
  <si>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</si>
  <si>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</si>
  <si>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</si>
  <si>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</si>
  <si>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</si>
  <si>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</si>
  <si>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</si>
  <si>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</si>
  <si>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</si>
  <si>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</si>
  <si>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</si>
  <si>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</si>
  <si>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</si>
  <si>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</si>
  <si>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</si>
  <si>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</si>
  <si>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</si>
  <si>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</si>
  <si>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</si>
  <si>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</si>
  <si>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</si>
  <si>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</si>
  <si>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</si>
  <si>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</si>
  <si>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</si>
  <si>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</si>
  <si>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</si>
  <si>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</si>
  <si>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</si>
  <si>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</si>
  <si>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</si>
  <si>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</si>
  <si>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</si>
  <si>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</si>
  <si>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</si>
  <si>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</si>
  <si>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</si>
  <si>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</si>
  <si>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</si>
  <si>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</si>
  <si>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</si>
  <si>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</si>
  <si>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</si>
  <si>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</si>
  <si>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</si>
  <si>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</si>
  <si>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</si>
  <si>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</si>
  <si>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</si>
  <si>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</si>
  <si>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</si>
  <si>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</si>
  <si>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</si>
  <si>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</si>
  <si>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</si>
  <si>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</si>
  <si>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</si>
  <si>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</si>
  <si>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</si>
  <si>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</si>
  <si>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</si>
  <si>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</si>
  <si>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</si>
  <si>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</si>
  <si>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</si>
  <si>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</si>
  <si>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</si>
  <si>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</si>
  <si>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</si>
  <si>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</si>
  <si>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</si>
  <si>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</si>
  <si>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</si>
  <si>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</si>
  <si>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</si>
  <si>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</si>
  <si>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</si>
  <si>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</si>
  <si>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</si>
  <si>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</si>
  <si>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</si>
  <si>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</si>
  <si>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</si>
  <si>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</si>
  <si>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</si>
  <si>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</si>
  <si>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</si>
  <si>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</si>
  <si>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</si>
  <si>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</si>
  <si>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</si>
  <si>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</si>
  <si>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</si>
  <si>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</si>
  <si>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</si>
  <si>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</si>
  <si>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</si>
  <si>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</si>
  <si>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</si>
  <si>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</si>
  <si>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</si>
  <si>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</si>
  <si>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</si>
  <si>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</si>
  <si>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</si>
  <si>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</si>
  <si>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</si>
  <si>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</si>
  <si>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</si>
  <si>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</si>
  <si>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</si>
  <si>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</si>
  <si>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</si>
  <si>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</si>
  <si>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</si>
  <si>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</si>
  <si>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</si>
  <si>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</si>
  <si>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</si>
  <si>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</si>
  <si>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</si>
  <si>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</si>
  <si>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</si>
  <si>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</si>
  <si>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</si>
  <si>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</si>
  <si>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</si>
  <si>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</si>
  <si>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</si>
  <si>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</si>
  <si>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</si>
  <si>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</si>
  <si>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</si>
  <si>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</si>
  <si>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</si>
  <si>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</si>
  <si>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</si>
  <si>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</si>
  <si>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</si>
  <si>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</si>
  <si>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</si>
  <si>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</si>
  <si>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</si>
  <si>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</si>
  <si>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</si>
  <si>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</si>
  <si>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</si>
  <si>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</si>
  <si>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</si>
  <si>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</si>
  <si>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</si>
  <si>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</si>
  <si>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</si>
  <si>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</si>
  <si>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</si>
  <si>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</si>
  <si>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</si>
  <si>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</si>
  <si>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</si>
  <si>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</si>
  <si>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</si>
  <si>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</si>
  <si>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</si>
  <si>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</si>
  <si>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</si>
  <si>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</si>
  <si>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</si>
  <si>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</si>
  <si>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</si>
  <si>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</si>
  <si>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</si>
  <si>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</si>
  <si>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</si>
  <si>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</si>
  <si>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</si>
  <si>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</si>
  <si>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</si>
  <si>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</si>
  <si>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</si>
  <si>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</si>
  <si>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</si>
  <si>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</si>
  <si>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</si>
  <si>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</si>
  <si>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</si>
  <si>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</si>
  <si>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</si>
  <si>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</si>
  <si>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</si>
  <si>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</si>
  <si>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</si>
  <si>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</si>
  <si>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</si>
  <si>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</si>
  <si>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</si>
  <si>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</si>
  <si>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</si>
  <si>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</si>
  <si>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</si>
  <si>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</si>
  <si>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</si>
  <si>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</si>
  <si>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</si>
  <si>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</si>
  <si>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</si>
  <si>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</si>
  <si>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</si>
  <si>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</si>
  <si>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</si>
  <si>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</si>
  <si>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</si>
  <si>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</si>
  <si>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</si>
  <si>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</si>
  <si>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</si>
  <si>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</si>
  <si>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</si>
  <si>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</si>
  <si>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</si>
  <si>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</si>
  <si>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</si>
  <si>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</si>
  <si>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</si>
  <si>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</si>
  <si>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</si>
  <si>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</si>
  <si>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</si>
  <si>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</si>
  <si>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</si>
  <si>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</si>
  <si>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</si>
  <si>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</si>
  <si>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</si>
  <si>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</si>
  <si>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</si>
  <si>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</si>
  <si>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</si>
  <si>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</si>
  <si>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</si>
  <si>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</si>
  <si>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</si>
  <si>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</si>
  <si>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</si>
  <si>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</si>
  <si>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</si>
  <si>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</si>
  <si>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</si>
  <si>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</si>
  <si>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</si>
  <si>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</si>
  <si>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</si>
  <si>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</si>
  <si>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</si>
  <si>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</si>
  <si>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</si>
  <si>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</si>
  <si>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</si>
  <si>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</si>
  <si>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</si>
  <si>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</si>
  <si>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</si>
  <si>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</si>
  <si>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</si>
  <si>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</si>
  <si>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</si>
  <si>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</si>
  <si>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</si>
  <si>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</si>
  <si>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</si>
  <si>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</si>
  <si>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</si>
  <si>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</si>
  <si>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</si>
  <si>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</si>
  <si>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</si>
  <si>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</si>
  <si>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</si>
  <si>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</si>
  <si>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</si>
  <si>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</si>
  <si>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</si>
  <si>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</si>
  <si>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</si>
  <si>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</si>
  <si>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</si>
  <si>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</si>
  <si>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</si>
  <si>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</si>
  <si>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</si>
  <si>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</si>
  <si>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</si>
  <si>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</si>
  <si>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</si>
  <si>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</si>
  <si>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</si>
  <si>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</si>
  <si>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</si>
  <si>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</si>
  <si>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</si>
  <si>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</si>
  <si>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</si>
  <si>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</si>
  <si>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</si>
  <si>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</si>
  <si>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</si>
  <si>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</si>
  <si>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</si>
  <si>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</si>
  <si>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</si>
  <si>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</si>
  <si>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</si>
  <si>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</si>
  <si>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</si>
  <si>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</si>
  <si>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</si>
  <si>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</si>
  <si>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</si>
  <si>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</si>
  <si>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</si>
  <si>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</si>
  <si>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</si>
  <si>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</si>
  <si>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</si>
  <si>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</si>
  <si>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</si>
  <si>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</si>
  <si>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</si>
  <si>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</si>
  <si>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</si>
  <si>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</si>
  <si>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</si>
  <si>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</si>
  <si>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</si>
  <si>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</si>
  <si>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</si>
  <si>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</si>
  <si>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</si>
  <si>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</si>
  <si>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</si>
  <si>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</si>
  <si>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</si>
  <si>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</si>
  <si>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</si>
  <si>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</si>
  <si>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</si>
  <si>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</si>
  <si>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</si>
  <si>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</si>
  <si>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</si>
  <si>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</si>
  <si>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</si>
  <si>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</si>
  <si>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</si>
  <si>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</si>
  <si>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</si>
  <si>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</si>
  <si>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</si>
  <si>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</si>
  <si>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</si>
  <si>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</si>
  <si>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</si>
  <si>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</si>
  <si>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</si>
  <si>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</si>
  <si>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</si>
  <si>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</si>
  <si>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</si>
  <si>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</si>
  <si>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</si>
  <si>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</si>
  <si>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</si>
  <si>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</si>
  <si>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</si>
  <si>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</si>
  <si>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</si>
  <si>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</si>
  <si>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</si>
  <si>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</si>
  <si>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</si>
  <si>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</si>
  <si>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</si>
  <si>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</si>
  <si>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</si>
  <si>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</si>
  <si>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</si>
  <si>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</si>
  <si>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</si>
  <si>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</si>
  <si>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</si>
  <si>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</si>
  <si>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</si>
  <si>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</si>
  <si>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</si>
  <si>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</si>
  <si>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</si>
  <si>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</si>
  <si>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</si>
  <si>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</si>
  <si>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</si>
  <si>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</si>
  <si>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</si>
  <si>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</si>
  <si>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</si>
  <si>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</si>
  <si>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</si>
  <si>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</si>
  <si>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</si>
  <si>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</si>
  <si>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</si>
  <si>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</si>
  <si>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</si>
  <si>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</si>
  <si>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</si>
  <si>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</si>
  <si>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</si>
  <si>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</si>
  <si>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</si>
  <si>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</si>
  <si>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</si>
  <si>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</si>
  <si>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</si>
  <si>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</si>
  <si>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LUIS MOULIAA</t>
  </si>
  <si>
    <t>IKER BASCONES</t>
  </si>
  <si>
    <t>ORIOL GARCIA</t>
  </si>
  <si>
    <t>INAKI GARCIA</t>
  </si>
  <si>
    <t>SERGIO CASTRO</t>
  </si>
  <si>
    <t>FERNANDO ESTARRONA</t>
  </si>
  <si>
    <t>00:42</t>
  </si>
  <si>
    <t>02:10</t>
  </si>
  <si>
    <t>Great game with only 2 close corrections. Perfect communication checking self correction and warning of all editions. Great job!!</t>
  </si>
  <si>
    <t>C:\Users\oriol.garcia\OneDrive - EUROLEAGUE\Documents\Season 25-26\Reports\Euroleague\Baskonia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</si>
</sst>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8" sqref="N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16_157_BAS_MCO_E2025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46008.854166666664</v>
      </c>
      <c r="C3" s="157"/>
      <c r="D3" s="39">
        <v>622</v>
      </c>
      <c r="E3" s="29"/>
      <c r="F3" s="26">
        <f>SUBTOTAL(3,I17:I106)</f>
        <v>2</v>
      </c>
      <c r="G3" s="27">
        <f>IF(OR(D3="",D3=0),"",F3/D3)</f>
        <v>3.2154340836012861E-3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3.2154340836012861E-3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0.32154340836012862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1.3215434083601285</v>
      </c>
      <c r="N7" s="58"/>
      <c r="O7" s="2"/>
      <c r="P7" s="2"/>
      <c r="Q7" s="86">
        <f>SUM(R5,S5,AC16)</f>
        <v>1.3215434083601285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1.3215434083601285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157</v>
      </c>
      <c r="D17" s="32" t="s">
        <v>757</v>
      </c>
      <c r="E17" s="33">
        <v>2</v>
      </c>
      <c r="F17" s="36">
        <v>40</v>
      </c>
      <c r="G17" s="36">
        <v>32</v>
      </c>
      <c r="H17" s="38" t="str">
        <f>IF(I17="","",$I$14)</f>
        <v>SCOUTING</v>
      </c>
      <c r="I17" s="34">
        <v>321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157</v>
      </c>
      <c r="D18" s="32" t="s">
        <v>758</v>
      </c>
      <c r="E18" s="33">
        <v>3</v>
      </c>
      <c r="F18" s="36">
        <v>59</v>
      </c>
      <c r="G18" s="36">
        <v>52</v>
      </c>
      <c r="H18" s="38" t="str">
        <f t="shared" ref="H18:H81" si="8">IF(I18="","",$I$14)</f>
        <v>SCOUTING</v>
      </c>
      <c r="I18" s="34">
        <v>456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REPORT_E2025157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"E2025157"</v>
      </c>
      <c r="F3" s="45" t="str">
        <f t="shared" ref="F3:F16" si="0">""""&amp;B3&amp;"""" &amp; " : " &amp;C3&amp;","</f>
        <v>"name" : "E2025157",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"E157"</v>
      </c>
      <c r="F4" s="45" t="str">
        <f t="shared" si="0"/>
        <v>"cod" : "E157",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157</v>
      </c>
      <c r="F6" s="45" t="str">
        <f t="shared" si="0"/>
        <v>"number" : 157,</v>
      </c>
    </row>
    <row r="7" spans="2:6" x14ac:dyDescent="0.2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"INAKI GARCIA"</v>
      </c>
      <c r="F11" s="45" t="str">
        <f t="shared" si="0"/>
        <v>"Caller_1" : "INAKI GARCIA",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"SERGIO CASTRO"</v>
      </c>
      <c r="F13" s="45" t="str">
        <f t="shared" si="0"/>
        <v>"Timerkeeper" : "SERGIO CASTRO",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"FERNANDO ESTARRONA"</v>
      </c>
      <c r="F14" s="45" t="str">
        <f t="shared" si="0"/>
        <v>"Shotclock" : "FERNANDO ESTARRONA",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622</v>
      </c>
      <c r="F25" s="45" t="str">
        <f t="shared" ref="F25:F48" si="1">""""&amp;C25&amp;"""" &amp; " : " &amp;D25&amp;","</f>
        <v>"total_actions" : 622,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"Great game with only 2 close corrections. Perfect communication checking self correction and warning of all editions. Great job!!"</v>
      </c>
      <c r="F51" s="45" t="str">
        <f>""""&amp;B51&amp;"""" &amp; " : " &amp;C51&amp;","</f>
        <v>"comments" : "Great game with only 2 close corrections. Perfect communication checking self correction and warning of all editions. Great job!!",</v>
      </c>
    </row>
    <row r="52" spans="2:6" x14ac:dyDescent="0.2">
      <c r="B52" s="43" t="s">
        <v>153</v>
      </c>
      <c r="C52" s="43" t="str">
        <f>TEXT('SCOUT &amp; LOGISTICS'!F1,"0,0")</f>
        <v>16_157_BAS_MCO_E2025</v>
      </c>
      <c r="F52" s="45" t="str">
        <f>""""&amp;B52&amp;"""" &amp; " : " &amp;C52</f>
        <v>"result" : 16_157_BAS_MCO_E2025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E157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17/12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INAKI GARCIA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SERGIO CASTRO</v>
      </c>
      <c r="R8" s="206"/>
      <c r="S8" s="206"/>
      <c r="T8" s="206"/>
      <c r="U8" s="206"/>
      <c r="V8" s="206" t="str">
        <f>IF('SCOUT &amp; LOGISTICS'!D10="","",'SCOUT &amp; LOGISTICS'!D10)</f>
        <v>FERNANDO ESTARRONA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622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3.2154340836012861E-3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Great game with only 2 close corrections. Perfect communication checking self correction and warning of all editions. Great job!!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1.3215434083601285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3F2D78-8D7E-42E2-99A9-31A7A0B74FD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2025-12-26T17:21:30Z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