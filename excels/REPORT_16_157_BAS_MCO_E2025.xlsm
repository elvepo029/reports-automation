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57" documentId="8_{860E2441-5F8C-4BBB-8648-1FD5DC73871D}" xr6:coauthVersionLast="47" xr6:coauthVersionMax="47" xr10:uidLastSave="{ADA1CCF2-7DA1-4228-8AD0-4FFD5832ACA4}"/>
  <bookViews>
    <workbookView xWindow="-12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<sst xmlns="http://schemas.openxmlformats.org/spreadsheetml/2006/main" count="3255" uniqueCount="761">
  <si>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</si>
  <si>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</si>
  <si>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</si>
  <si>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</si>
  <si>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</si>
  <si>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</si>
  <si>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</si>
  <si>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</si>
  <si>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</si>
  <si>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</si>
  <si>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</si>
  <si>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</si>
  <si>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</si>
  <si>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</si>
  <si>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</si>
  <si>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</si>
  <si>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</si>
  <si>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</si>
  <si>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</si>
  <si>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</si>
  <si>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</si>
  <si>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</si>
  <si>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</si>
  <si>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</si>
  <si>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</si>
  <si>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</si>
  <si>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</si>
  <si>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</si>
  <si>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</si>
  <si>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</si>
  <si>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</si>
  <si>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</si>
  <si>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</si>
  <si>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</si>
  <si>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</si>
  <si>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</si>
  <si>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</si>
  <si>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</si>
  <si>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</si>
  <si>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</si>
  <si>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</si>
  <si>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</si>
  <si>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</si>
  <si>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</si>
  <si>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</si>
  <si>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</si>
  <si>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</si>
  <si>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</si>
  <si>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</si>
  <si>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</si>
  <si>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</si>
  <si>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</si>
  <si>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</si>
  <si>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</si>
  <si>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</si>
  <si>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</si>
  <si>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</si>
  <si>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</si>
  <si>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</si>
  <si>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</si>
  <si>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</si>
  <si>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</si>
  <si>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</si>
  <si>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</si>
  <si>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</si>
  <si>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</si>
  <si>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</si>
  <si>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</si>
  <si>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</si>
  <si>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</si>
  <si>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</si>
  <si>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</si>
  <si>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</si>
  <si>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</si>
  <si>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</si>
  <si>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</si>
  <si>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</si>
  <si>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</si>
  <si>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</si>
  <si>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</si>
  <si>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</si>
  <si>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</si>
  <si>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</si>
  <si>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</si>
  <si>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</si>
  <si>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</si>
  <si>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</si>
  <si>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</si>
  <si>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</si>
  <si>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</si>
  <si>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</si>
  <si>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</si>
  <si>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</si>
  <si>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</si>
  <si>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</si>
  <si>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</si>
  <si>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</si>
  <si>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</si>
  <si>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</si>
  <si>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</si>
  <si>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</si>
  <si>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</si>
  <si>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</si>
  <si>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</si>
  <si>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</si>
  <si>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</si>
  <si>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</si>
  <si>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</si>
  <si>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</si>
  <si>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</si>
  <si>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</si>
  <si>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</si>
  <si>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</si>
  <si>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</si>
  <si>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</si>
  <si>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</si>
  <si>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</si>
  <si>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</si>
  <si>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</si>
  <si>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</si>
  <si>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</si>
  <si>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</si>
  <si>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</si>
  <si>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</si>
  <si>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</si>
  <si>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</si>
  <si>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</si>
  <si>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</si>
  <si>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</si>
  <si>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</si>
  <si>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</si>
  <si>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</si>
  <si>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</si>
  <si>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</si>
  <si>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</si>
  <si>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</si>
  <si>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</si>
  <si>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</si>
  <si>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</si>
  <si>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</si>
  <si>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</si>
  <si>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</si>
  <si>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</si>
  <si>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</si>
  <si>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</si>
  <si>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</si>
  <si>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</si>
  <si>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</si>
  <si>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</si>
  <si>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</si>
  <si>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</si>
  <si>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</si>
  <si>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</si>
  <si>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</si>
  <si>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</si>
  <si>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</si>
  <si>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</si>
  <si>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</si>
  <si>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</si>
  <si>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</si>
  <si>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</si>
  <si>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</si>
  <si>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</si>
  <si>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</si>
  <si>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</si>
  <si>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</si>
  <si>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</si>
  <si>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</si>
  <si>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</si>
  <si>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</si>
  <si>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</si>
  <si>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</si>
  <si>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</si>
  <si>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</si>
  <si>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</si>
  <si>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</si>
  <si>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</si>
  <si>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</si>
  <si>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</si>
  <si>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</si>
  <si>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</si>
  <si>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</si>
  <si>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</si>
  <si>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</si>
  <si>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</si>
  <si>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</si>
  <si>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</si>
  <si>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</si>
  <si>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</si>
  <si>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</si>
  <si>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</si>
  <si>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</si>
  <si>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</si>
  <si>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</si>
  <si>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</si>
  <si>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</si>
  <si>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</si>
  <si>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</si>
  <si>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</si>
  <si>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</si>
  <si>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</si>
  <si>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</si>
  <si>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</si>
  <si>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</si>
  <si>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</si>
  <si>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</si>
  <si>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</si>
  <si>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</si>
  <si>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</si>
  <si>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</si>
  <si>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</si>
  <si>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</si>
  <si>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</si>
  <si>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</si>
  <si>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</si>
  <si>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</si>
  <si>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</si>
  <si>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</si>
  <si>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</si>
  <si>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</si>
  <si>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</si>
  <si>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</si>
  <si>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</si>
  <si>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</si>
  <si>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</si>
  <si>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</si>
  <si>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</si>
  <si>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</si>
  <si>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</si>
  <si>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</si>
  <si>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</si>
  <si>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</si>
  <si>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</si>
  <si>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</si>
  <si>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</si>
  <si>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</si>
  <si>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</si>
  <si>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</si>
  <si>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</si>
  <si>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</si>
  <si>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</si>
  <si>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</si>
  <si>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</si>
  <si>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</si>
  <si>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</si>
  <si>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</si>
  <si>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</si>
  <si>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</si>
  <si>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</si>
  <si>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</si>
  <si>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</si>
  <si>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</si>
  <si>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</si>
  <si>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</si>
  <si>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</si>
  <si>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</si>
  <si>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</si>
  <si>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</si>
  <si>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</si>
  <si>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</si>
  <si>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</si>
  <si>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</si>
  <si>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</si>
  <si>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</si>
  <si>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</si>
  <si>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</si>
  <si>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</si>
  <si>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</si>
  <si>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</si>
  <si>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</si>
  <si>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</si>
  <si>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</si>
  <si>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</si>
  <si>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</si>
  <si>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</si>
  <si>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</si>
  <si>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</si>
  <si>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</si>
  <si>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</si>
  <si>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</si>
  <si>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</si>
  <si>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</si>
  <si>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</si>
  <si>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</si>
  <si>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</si>
  <si>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</si>
  <si>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</si>
  <si>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</si>
  <si>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</si>
  <si>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</si>
  <si>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</si>
  <si>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</si>
  <si>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</si>
  <si>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</si>
  <si>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</si>
  <si>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</si>
  <si>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</si>
  <si>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</si>
  <si>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</si>
  <si>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</si>
  <si>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</si>
  <si>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</si>
  <si>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</si>
  <si>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</si>
  <si>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</si>
  <si>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</si>
  <si>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</si>
  <si>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</si>
  <si>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</si>
  <si>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</si>
  <si>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</si>
  <si>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</si>
  <si>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</si>
  <si>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</si>
  <si>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</si>
  <si>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</si>
  <si>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</si>
  <si>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</si>
  <si>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</si>
  <si>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</si>
  <si>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</si>
  <si>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</si>
  <si>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</si>
  <si>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</si>
  <si>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</si>
  <si>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</si>
  <si>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</si>
  <si>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</si>
  <si>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</si>
  <si>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</si>
  <si>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</si>
  <si>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</si>
  <si>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</si>
  <si>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</si>
  <si>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</si>
  <si>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</si>
  <si>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</si>
  <si>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</si>
  <si>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</si>
  <si>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</si>
  <si>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</si>
  <si>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</si>
  <si>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</si>
  <si>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</si>
  <si>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</si>
  <si>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</si>
  <si>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</si>
  <si>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</si>
  <si>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</si>
  <si>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</si>
  <si>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</si>
  <si>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</si>
  <si>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</si>
  <si>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</si>
  <si>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</si>
  <si>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</si>
  <si>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</si>
  <si>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</si>
  <si>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</si>
  <si>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</si>
  <si>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</si>
  <si>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</si>
  <si>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</si>
  <si>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</si>
  <si>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</si>
  <si>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</si>
  <si>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</si>
  <si>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</si>
  <si>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</si>
  <si>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</si>
  <si>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</si>
  <si>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</si>
  <si>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</si>
  <si>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</si>
  <si>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</si>
  <si>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</si>
  <si>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</si>
  <si>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</si>
  <si>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</si>
  <si>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</si>
  <si>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</si>
  <si>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</si>
  <si>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</si>
  <si>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</si>
  <si>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</si>
  <si>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</si>
  <si>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</si>
  <si>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</si>
  <si>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</si>
  <si>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</si>
  <si>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</si>
  <si>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</si>
  <si>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</si>
  <si>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</si>
  <si>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</si>
  <si>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</si>
  <si>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</si>
  <si>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</si>
  <si>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</si>
  <si>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</si>
  <si>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</si>
  <si>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</si>
  <si>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</si>
  <si>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</si>
  <si>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</si>
  <si>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</si>
  <si>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</si>
  <si>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</si>
  <si>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</si>
  <si>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</si>
  <si>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</si>
  <si>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</si>
  <si>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</si>
  <si>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</si>
  <si>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</si>
  <si>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</si>
  <si>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</si>
  <si>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</si>
  <si>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</si>
  <si>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</si>
  <si>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</si>
  <si>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</si>
  <si>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</si>
  <si>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</si>
  <si>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</si>
  <si>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</si>
  <si>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</si>
  <si>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</si>
  <si>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</si>
  <si>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</si>
  <si>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</si>
  <si>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</si>
  <si>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</si>
  <si>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</si>
  <si>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</si>
  <si>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</si>
  <si>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</si>
  <si>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</si>
  <si>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</si>
  <si>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</si>
  <si>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</si>
  <si>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</si>
  <si>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</si>
  <si>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</si>
  <si>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</si>
  <si>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</si>
  <si>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</si>
  <si>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</si>
  <si>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</si>
  <si>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</si>
  <si>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</si>
  <si>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</si>
  <si>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</si>
  <si>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</si>
  <si>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</si>
  <si>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</si>
  <si>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</si>
  <si>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</si>
  <si>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</si>
  <si>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</si>
  <si>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</si>
  <si>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</si>
  <si>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</si>
  <si>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</si>
  <si>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</si>
  <si>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</si>
  <si>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</si>
  <si>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</si>
  <si>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</si>
  <si>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</si>
  <si>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</si>
  <si>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</si>
  <si>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</si>
  <si>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</si>
  <si>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</si>
  <si>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</si>
  <si>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</si>
  <si>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</si>
  <si>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</si>
  <si>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</si>
  <si>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</si>
  <si>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</si>
  <si>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</si>
  <si>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</si>
  <si>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</si>
  <si>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</si>
  <si>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</si>
  <si>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</si>
  <si>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</si>
  <si>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</si>
  <si>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</si>
  <si>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</si>
  <si>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</si>
  <si>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</si>
  <si>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</si>
  <si>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</si>
  <si>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</si>
  <si>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</si>
  <si>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</si>
  <si>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</si>
  <si>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</si>
  <si>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</si>
  <si>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</si>
  <si>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</si>
  <si>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</si>
  <si>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</si>
  <si>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</si>
  <si>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</si>
  <si>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</si>
  <si>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</si>
  <si>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</si>
  <si>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</si>
  <si>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</si>
  <si>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</si>
  <si>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</si>
  <si>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</si>
  <si>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</si>
  <si>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</si>
  <si>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</si>
  <si>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</si>
  <si>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</si>
  <si>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</si>
  <si>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</si>
  <si>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</si>
  <si>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</si>
  <si>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</si>
  <si>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</si>
  <si>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</si>
  <si>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</si>
  <si>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</si>
  <si>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</si>
  <si>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</si>
  <si>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</si>
  <si>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</si>
  <si>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</si>
  <si>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</si>
  <si>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</si>
  <si>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</si>
  <si>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</si>
  <si>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</si>
  <si>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</si>
  <si>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</si>
  <si>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</si>
  <si>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</si>
  <si>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</si>
  <si>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</si>
  <si>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</si>
  <si>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</si>
  <si>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</si>
  <si>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</si>
  <si>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</si>
  <si>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</si>
  <si>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</si>
  <si>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</si>
  <si>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</si>
  <si>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</si>
  <si>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</si>
  <si>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</si>
  <si>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</si>
  <si>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</si>
  <si>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</si>
  <si>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</si>
  <si>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</si>
  <si>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</si>
  <si>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</si>
  <si>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</si>
  <si>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</si>
  <si>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</si>
  <si>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</si>
  <si>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</si>
  <si>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</si>
  <si>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</si>
  <si>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</si>
  <si>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</si>
  <si>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</si>
  <si>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</si>
  <si>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</si>
  <si>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</si>
  <si>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</si>
  <si>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</si>
  <si>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</si>
  <si>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</si>
  <si>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</si>
  <si>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</si>
  <si>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</si>
  <si>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</si>
  <si>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</si>
  <si>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</si>
  <si>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</si>
  <si>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</si>
  <si>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</si>
  <si>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</si>
  <si>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</si>
  <si>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</si>
  <si>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</si>
  <si>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</si>
  <si>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</si>
  <si>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</si>
  <si>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</si>
  <si>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</si>
  <si>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</si>
  <si>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</si>
  <si>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</si>
  <si>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</si>
  <si>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</si>
  <si>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</si>
  <si>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</si>
  <si>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</si>
  <si>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</si>
  <si>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</si>
  <si>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</si>
  <si>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</si>
  <si>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</si>
  <si>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</si>
  <si>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</si>
  <si>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</si>
  <si>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</si>
  <si>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</si>
  <si>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</si>
  <si>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</si>
  <si>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</si>
  <si>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</si>
  <si>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</si>
  <si>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</si>
  <si>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</si>
  <si>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</si>
  <si>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</si>
  <si>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</si>
  <si>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</si>
  <si>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</si>
  <si>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</si>
  <si>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</si>
  <si>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</si>
  <si>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</si>
  <si>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</si>
  <si>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</si>
  <si>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</si>
  <si>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</si>
  <si>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</si>
  <si>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</si>
  <si>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</si>
  <si>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</si>
  <si>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</si>
  <si>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</si>
  <si>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</si>
  <si>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</si>
  <si>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</si>
  <si>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</si>
  <si>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</si>
  <si>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</si>
  <si>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</si>
  <si>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</si>
  <si>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</si>
  <si>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</si>
  <si>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</si>
  <si>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</si>
  <si>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</si>
  <si>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</si>
  <si>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</si>
  <si>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</si>
  <si>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</si>
  <si>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</si>
  <si>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</si>
  <si>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</si>
  <si>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</si>
  <si>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</si>
  <si>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</si>
  <si>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</si>
  <si>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</si>
  <si>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</si>
  <si>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</si>
  <si>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</si>
  <si>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</si>
  <si>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</si>
  <si>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</si>
  <si>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</si>
  <si>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</si>
  <si>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</si>
  <si>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</si>
  <si>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</si>
  <si>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</si>
  <si>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</si>
  <si>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</si>
  <si>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</si>
  <si>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</si>
  <si>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</si>
  <si>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</si>
  <si>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</si>
  <si>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</si>
  <si>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</si>
  <si>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</si>
  <si>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</si>
  <si>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</si>
  <si>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</si>
  <si>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</si>
  <si>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</si>
  <si>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</si>
  <si>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</si>
  <si>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</si>
  <si>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</si>
  <si>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</si>
  <si>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</si>
  <si>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</si>
  <si>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</si>
  <si>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</si>
  <si>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</si>
  <si>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</si>
  <si>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</si>
  <si>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</si>
  <si>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</si>
  <si>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</si>
  <si>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</si>
  <si>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</si>
  <si>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</si>
  <si>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</si>
  <si>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</si>
  <si>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</si>
  <si>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</si>
  <si>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</si>
  <si>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</si>
  <si>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</si>
  <si>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</si>
  <si>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</si>
  <si>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</si>
  <si>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</si>
  <si>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</si>
  <si>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</si>
  <si>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</si>
  <si>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</si>
  <si>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</si>
  <si>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</si>
  <si>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</si>
  <si>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</si>
  <si>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</si>
  <si>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</si>
  <si>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</si>
  <si>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</si>
  <si>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</si>
  <si>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</si>
  <si>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</si>
  <si>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</si>
  <si>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</si>
  <si>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</si>
  <si>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</si>
  <si>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</si>
  <si>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</si>
  <si>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</si>
  <si>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</si>
  <si>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</si>
  <si>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</si>
  <si>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ANDONI COLMENERO</t>
  </si>
  <si>
    <t>LUIS MOULIAA</t>
  </si>
  <si>
    <t>IKER BASCONES</t>
  </si>
  <si>
    <t>ORIOL GARCIA</t>
  </si>
  <si>
    <t>INAKI GARCIA</t>
  </si>
  <si>
    <t>SERGIO CASTRO</t>
  </si>
  <si>
    <t>FERNANDO ESTARRONA</t>
  </si>
  <si>
    <t>00:42</t>
  </si>
  <si>
    <t>02:10</t>
  </si>
  <si>
    <t>Great game with only 2 close corrections. Perfect communication checking self correction and warning of all editions. Great job!!</t>
  </si>
  <si>
    <t>C:\Users\oriol.garcia\OneDrive - EUROLEAGUE\Documents\Season 25-26\Reports\Euroleague\Baskonia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</si>
</sst>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N28" sqref="N28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16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16_157_BAS_MCO_E2025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760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157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56">
        <f ca="1">IF(ISERROR(VLOOKUP($B$2&amp;TEXT($C$2,"000"),GAMES!$A$3:$I$562,8,FALSE)),NOW(),VLOOKUP($B$2&amp;TEXT($C$2,"000"),GAMES!$A$3:$I$562,8,FALSE))</f>
        <v>46008.854166666664</v>
      </c>
      <c r="C3" s="157"/>
      <c r="D3" s="39">
        <v>622</v>
      </c>
      <c r="E3" s="29"/>
      <c r="F3" s="26">
        <f>SUBTOTAL(3,I17:I106)</f>
        <v>2</v>
      </c>
      <c r="G3" s="27">
        <f>IF(OR(D3="",D3=0),"",F3/D3)</f>
        <v>3.2154340836012861E-3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3" t="s">
        <v>86</v>
      </c>
      <c r="C4" s="164"/>
      <c r="D4" s="160" t="str">
        <f>IF(ISERROR(VLOOKUP(H4,Teams!$B$2:$C$44,2,FALSE)),"Local Team",VLOOKUP(H4,Teams!$B$2:$C$44,2,FALSE))</f>
        <v>Baskonia Vitoria-Gasteiz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BAS</v>
      </c>
      <c r="I4" s="5"/>
      <c r="J4" s="119" t="s">
        <v>714</v>
      </c>
      <c r="K4" s="54" t="s">
        <v>743</v>
      </c>
      <c r="L4" s="5"/>
      <c r="M4" s="167" t="s">
        <v>759</v>
      </c>
      <c r="N4" s="168"/>
      <c r="O4" s="2"/>
      <c r="P4" s="2"/>
      <c r="Q4" s="84" t="s">
        <v>175</v>
      </c>
      <c r="R4" s="94">
        <f>(IF(G3="",0,G3))</f>
        <v>3.2154340836012861E-3</v>
      </c>
      <c r="S4" s="61">
        <f>SUM(I13:M13)</f>
        <v>0</v>
      </c>
      <c r="T4" s="78"/>
      <c r="U4" s="61">
        <f>AC18</f>
        <v>2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65" t="s">
        <v>87</v>
      </c>
      <c r="C5" s="166"/>
      <c r="D5" s="173" t="str">
        <f>IF(ISERROR(VLOOKUP(H5,Teams!$B$2:$C$44,2,FALSE)),"Visitor Team",VLOOKUP(H5,Teams!$B$2:$C$44,2,FALSE))</f>
        <v>AS Monaco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MCO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0.32154340836012862</v>
      </c>
      <c r="S5" s="70">
        <f t="shared" ref="S5" si="0">S4*S3</f>
        <v>0</v>
      </c>
      <c r="T5" s="92"/>
      <c r="U5" s="70">
        <f t="shared" ref="U5:AG5" si="1">U4*U3</f>
        <v>1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3" t="s">
        <v>95</v>
      </c>
      <c r="C6" s="164"/>
      <c r="D6" s="178" t="s">
        <v>750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87" t="s">
        <v>96</v>
      </c>
      <c r="C7" s="188"/>
      <c r="D7" s="178" t="s">
        <v>754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1.3215434083601285</v>
      </c>
      <c r="N7" s="58"/>
      <c r="O7" s="2"/>
      <c r="P7" s="2"/>
      <c r="Q7" s="86">
        <f>SUM(R5,S5,AC16)</f>
        <v>1.3215434083601285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65" t="s">
        <v>97</v>
      </c>
      <c r="C8" s="189"/>
      <c r="D8" s="181" t="s">
        <v>751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1.3215434083601285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3" t="s">
        <v>98</v>
      </c>
      <c r="C9" s="190"/>
      <c r="D9" s="178" t="s">
        <v>755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65" t="s">
        <v>99</v>
      </c>
      <c r="C10" s="189"/>
      <c r="D10" s="181" t="s">
        <v>756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76" t="s">
        <v>108</v>
      </c>
      <c r="C11" s="177"/>
      <c r="D11" s="191" t="s">
        <v>752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157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76" t="s">
        <v>162</v>
      </c>
      <c r="C14" s="177"/>
      <c r="D14" s="184" t="s">
        <v>753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2</v>
      </c>
      <c r="Z16" s="90" t="s">
        <v>110</v>
      </c>
      <c r="AA16" s="75">
        <f>SUM(AA17:AA24)</f>
        <v>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157</v>
      </c>
      <c r="D17" s="32" t="s">
        <v>757</v>
      </c>
      <c r="E17" s="33">
        <v>2</v>
      </c>
      <c r="F17" s="36">
        <v>40</v>
      </c>
      <c r="G17" s="36">
        <v>32</v>
      </c>
      <c r="H17" s="38" t="str">
        <f>IF(I17="","",$I$14)</f>
        <v>SCOUTING</v>
      </c>
      <c r="I17" s="34">
        <v>321</v>
      </c>
      <c r="J17" s="13" t="s">
        <v>4</v>
      </c>
      <c r="K17" s="13" t="s">
        <v>62</v>
      </c>
      <c r="L17" s="13" t="s">
        <v>5</v>
      </c>
      <c r="M17" s="13" t="s">
        <v>168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>E2025</v>
      </c>
      <c r="C18" s="31">
        <f t="shared" si="3"/>
        <v>157</v>
      </c>
      <c r="D18" s="32" t="s">
        <v>758</v>
      </c>
      <c r="E18" s="33">
        <v>3</v>
      </c>
      <c r="F18" s="36">
        <v>59</v>
      </c>
      <c r="G18" s="36">
        <v>52</v>
      </c>
      <c r="H18" s="38" t="str">
        <f t="shared" ref="H18:H81" si="8">IF(I18="","",$I$14)</f>
        <v>SCOUTING</v>
      </c>
      <c r="I18" s="34">
        <v>456</v>
      </c>
      <c r="J18" s="13" t="s">
        <v>4</v>
      </c>
      <c r="K18" s="13" t="s">
        <v>62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2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.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REPORT_E2025157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"E2025157"</v>
      </c>
      <c r="F3" s="45" t="str">
        <f t="shared" ref="F3:F16" si="0">""""&amp;B3&amp;"""" &amp; " : " &amp;C3&amp;","</f>
        <v>"name" : "E2025157",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"E157"</v>
      </c>
      <c r="F4" s="45" t="str">
        <f t="shared" si="0"/>
        <v>"cod" : "E157",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157</v>
      </c>
      <c r="F6" s="45" t="str">
        <f t="shared" si="0"/>
        <v>"number" : 157,</v>
      </c>
    </row>
    <row r="7" spans="2:6" x14ac:dyDescent="0.2">
      <c r="B7" s="43" t="s">
        <v>116</v>
      </c>
      <c r="C7" s="43" t="str">
        <f ca="1">""""&amp;TEXT('SCOUT &amp; LOGISTICS'!B3,"dd/mm/aaaa")&amp;""""</f>
        <v>"17/12/Wednesday"</v>
      </c>
      <c r="F7" s="45" t="str">
        <f t="shared" ca="1" si="0"/>
        <v>"date" : "17/12/Wednesday",</v>
      </c>
    </row>
    <row r="8" spans="2:6" x14ac:dyDescent="0.2">
      <c r="B8" s="43" t="s">
        <v>125</v>
      </c>
      <c r="C8" s="43" t="str">
        <f>""""&amp;'SCOUT &amp; LOGISTICS'!D4 &amp;""""</f>
        <v>"Baskonia Vitoria-Gasteiz"</v>
      </c>
      <c r="F8" s="45" t="str">
        <f t="shared" si="0"/>
        <v>"home_team" : "Baskonia Vitoria-Gasteiz",</v>
      </c>
    </row>
    <row r="9" spans="2:6" x14ac:dyDescent="0.2">
      <c r="B9" s="43" t="s">
        <v>126</v>
      </c>
      <c r="C9" s="43" t="str">
        <f>""""&amp;'SCOUT &amp; LOGISTICS'!D5&amp;""""</f>
        <v>"AS Monaco"</v>
      </c>
      <c r="F9" s="45" t="str">
        <f t="shared" si="0"/>
        <v>"away_team" : "AS Monaco",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"ANDONI COLMENERO"</v>
      </c>
      <c r="F10" s="45" t="str">
        <f t="shared" si="0"/>
        <v>"Data_entry" : "ANDONI COLMENERO",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"INAKI GARCIA"</v>
      </c>
      <c r="F11" s="45" t="str">
        <f t="shared" si="0"/>
        <v>"Caller_1" : "INAKI GARCIA",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"LUIS MOULIAA"</v>
      </c>
      <c r="F12" s="45" t="str">
        <f t="shared" si="0"/>
        <v>"Caller_2" : "LUIS MOULIAA",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"SERGIO CASTRO"</v>
      </c>
      <c r="F13" s="45" t="str">
        <f t="shared" si="0"/>
        <v>"Timerkeeper" : "SERGIO CASTRO",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"FERNANDO ESTARRONA"</v>
      </c>
      <c r="F14" s="45" t="str">
        <f t="shared" si="0"/>
        <v>"Shotclock" : "FERNANDO ESTARRONA",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"IKER BASCONES"</v>
      </c>
      <c r="F15" s="45" t="str">
        <f t="shared" si="0"/>
        <v>"IRS" : "IKER BASCONES",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"ORIOL GARCIA"</v>
      </c>
      <c r="F16" s="45" t="str">
        <f t="shared" si="0"/>
        <v>"Live_Game_Manager" : "ORIOL GARCIA",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622</v>
      </c>
      <c r="F25" s="45" t="str">
        <f t="shared" ref="F25:F48" si="1">""""&amp;C25&amp;"""" &amp; " : " &amp;D25&amp;","</f>
        <v>"total_actions" : 622,</v>
      </c>
    </row>
    <row r="26" spans="2:6" x14ac:dyDescent="0.2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2</v>
      </c>
      <c r="F37" s="45" t="str">
        <f t="shared" si="1"/>
        <v>"scoresheet_corrections" : 2,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2</v>
      </c>
      <c r="F39" s="45" t="str">
        <f t="shared" si="1"/>
        <v>"missidentity" : 2,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"Great game with only 2 close corrections. Perfect communication checking self correction and warning of all editions. Great job!!"</v>
      </c>
      <c r="F51" s="45" t="str">
        <f>""""&amp;B51&amp;"""" &amp; " : " &amp;C51&amp;","</f>
        <v>"comments" : "Great game with only 2 close corrections. Perfect communication checking self correction and warning of all editions. Great job!!",</v>
      </c>
    </row>
    <row r="52" spans="2:6" x14ac:dyDescent="0.2">
      <c r="B52" s="43" t="s">
        <v>153</v>
      </c>
      <c r="C52" s="43" t="str">
        <f>TEXT('SCOUT &amp; LOGISTICS'!F1,"0,0")</f>
        <v>16_157_BAS_MCO_E2025</v>
      </c>
      <c r="F52" s="45" t="str">
        <f>""""&amp;B52&amp;"""" &amp; " : " &amp;C52</f>
        <v>"result" : 16_157_BAS_MCO_E2025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75" zeroHeight="1" x14ac:dyDescent="0.2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2"/>
    <row r="2" spans="1:33" ht="42.6" customHeight="1" thickBot="1" x14ac:dyDescent="0.2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25">
      <c r="A3" s="48"/>
      <c r="B3" s="208" t="str">
        <f>"GAME: "&amp; LEFT('SCOUT &amp; LOGISTICS'!B2,1) &amp; TEXT('SCOUT &amp; LOGISTICS'!C2,"000") &amp; " " &amp; IF(LEFT('SCOUT &amp; LOGISTICS'!B2,1)="U","(EUROCUP)","(EUROLEAGUE)")</f>
        <v>GAME: E157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25">
      <c r="A4" s="48"/>
      <c r="B4" s="194" t="str">
        <f ca="1">"DATE: " &amp; TEXT('SCOUT &amp; LOGISTICS'!B3,"dd/mm")</f>
        <v>DATE: 17/12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2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25">
      <c r="A6" s="48"/>
      <c r="B6" s="212" t="str">
        <f>PROPER('SCOUT &amp; LOGISTICS'!D4)</f>
        <v>Baskonia Vitoria-Gasteiz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As Monaco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2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25">
      <c r="A8" s="48"/>
      <c r="B8" s="206" t="str">
        <f>IF('SCOUT &amp; LOGISTICS'!D6="","",'SCOUT &amp; LOGISTICS'!D6)</f>
        <v>ANDONI COLMENERO</v>
      </c>
      <c r="C8" s="206"/>
      <c r="D8" s="206"/>
      <c r="E8" s="206"/>
      <c r="F8" s="206"/>
      <c r="G8" s="206" t="str">
        <f>IF('SCOUT &amp; LOGISTICS'!D7="","",'SCOUT &amp; LOGISTICS'!D7)</f>
        <v>INAKI GARCIA</v>
      </c>
      <c r="H8" s="206"/>
      <c r="I8" s="206"/>
      <c r="J8" s="206"/>
      <c r="K8" s="206"/>
      <c r="L8" s="206" t="str">
        <f>IF('SCOUT &amp; LOGISTICS'!D8="","",'SCOUT &amp; LOGISTICS'!D8)</f>
        <v>LUIS MOULIAA</v>
      </c>
      <c r="M8" s="206"/>
      <c r="N8" s="206"/>
      <c r="O8" s="206"/>
      <c r="P8" s="206"/>
      <c r="Q8" s="206" t="str">
        <f>IF('SCOUT &amp; LOGISTICS'!D9="","",'SCOUT &amp; LOGISTICS'!D9)</f>
        <v>SERGIO CASTRO</v>
      </c>
      <c r="R8" s="206"/>
      <c r="S8" s="206"/>
      <c r="T8" s="206"/>
      <c r="U8" s="206"/>
      <c r="V8" s="206" t="str">
        <f>IF('SCOUT &amp; LOGISTICS'!D10="","",'SCOUT &amp; LOGISTICS'!D10)</f>
        <v>FERNANDO ESTARRONA</v>
      </c>
      <c r="W8" s="206"/>
      <c r="X8" s="206"/>
      <c r="Y8" s="206"/>
      <c r="Z8" s="206"/>
      <c r="AA8" s="206" t="str">
        <f>IF('SCOUT &amp; LOGISTICS'!D11="","",'SCOUT &amp; LOGISTICS'!D11)</f>
        <v>IKER BASCONES</v>
      </c>
      <c r="AB8" s="206"/>
      <c r="AC8" s="206"/>
      <c r="AD8" s="206"/>
      <c r="AE8" s="206"/>
      <c r="AF8" s="48"/>
    </row>
    <row r="9" spans="1:33" ht="13.5" thickBot="1" x14ac:dyDescent="0.25">
      <c r="A9" s="48"/>
      <c r="B9" s="200" t="str">
        <f>IF(OR('SCOUT &amp; LOGISTICS'!D14="",'SCOUT &amp; LOGISTICS'!D14=0),"",'SCOUT &amp; LOGISTICS'!B14 &amp; ": " &amp; 'SCOUT &amp; LOGISTICS'!D14) &amp; "     "</f>
        <v xml:space="preserve">L G M: : ORIOL GARCIA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.5" thickBot="1" x14ac:dyDescent="0.2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2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2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2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.5" thickBot="1" x14ac:dyDescent="0.2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2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2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25">
      <c r="A17" s="48"/>
      <c r="B17" s="204">
        <f>'SCOUT &amp; LOGISTICS'!D3</f>
        <v>622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2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3.2154340836012861E-3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.5" thickBot="1" x14ac:dyDescent="0.2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2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25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2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2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25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1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.5" thickBot="1" x14ac:dyDescent="0.2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2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25">
      <c r="A25" s="48"/>
      <c r="B25" s="197">
        <f>'SCOUT &amp; LOGISTICS'!Y17</f>
        <v>2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2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25">
      <c r="A27" s="48"/>
      <c r="B27" s="197">
        <f>'SCOUT &amp; LOGISTICS'!AC18</f>
        <v>2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2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25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.5" thickBot="1" x14ac:dyDescent="0.2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2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25">
      <c r="A32" s="48"/>
      <c r="B32" s="195" t="str">
        <f>IF('SCOUT &amp; LOGISTICS'!M4="","",'SCOUT &amp; LOGISTICS'!M4)</f>
        <v>Great game with only 2 close corrections. Perfect communication checking self correction and warning of all editions. Great job!!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2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2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25">
      <c r="A35" s="48"/>
      <c r="B35" s="196">
        <f>'SCOUT &amp; LOGISTICS'!M7</f>
        <v>1.3215434083601285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4F37635-B110-42A9-BBB9-FC9EB2B51DFA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Oriol Garcia</cp:lastModifiedBy>
  <cp:lastPrinted>2025-10-09T17:11:09Z</cp:lastPrinted>
  <dcterms:created xsi:type="dcterms:W3CDTF">2023-09-19T19:50:35Z</dcterms:created>
  <dcterms:modified xsi:type="dcterms:W3CDTF">2025-12-26T17:21:30Z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