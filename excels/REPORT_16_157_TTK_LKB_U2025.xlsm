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9" documentId="8_{10BBC6EC-2A35-444F-9001-25EAE26A20C2}" xr6:coauthVersionLast="47" xr6:coauthVersionMax="47" xr10:uidLastSave="{31377606-C62D-4D95-8694-F41037C489B4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<sst xmlns="http://schemas.openxmlformats.org/spreadsheetml/2006/main" count="3342" uniqueCount="835">
  <si>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</si>
  <si>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</si>
  <si>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</si>
  <si>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</si>
  <si>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</si>
  <si>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</si>
  <si>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</si>
  <si>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</si>
  <si>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</si>
  <si>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</si>
  <si>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</si>
  <si>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</si>
  <si>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</si>
  <si>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</si>
  <si>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</si>
  <si>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</si>
  <si>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</si>
  <si>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</si>
  <si>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</si>
  <si>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</si>
  <si>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</si>
  <si>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</si>
  <si>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</si>
  <si>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</si>
  <si>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</si>
  <si>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</si>
  <si>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</si>
  <si>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</si>
  <si>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</si>
  <si>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</si>
  <si>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</si>
  <si>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</si>
  <si>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</si>
  <si>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</si>
  <si>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</si>
  <si>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</si>
  <si>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</si>
  <si>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</si>
  <si>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</si>
  <si>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</si>
  <si>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</si>
  <si>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</si>
  <si>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</si>
  <si>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</si>
  <si>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</si>
  <si>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</si>
  <si>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</si>
  <si>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</si>
  <si>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</si>
  <si>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</si>
  <si>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</si>
  <si>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</si>
  <si>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</si>
  <si>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</si>
  <si>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</si>
  <si>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</si>
  <si>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</si>
  <si>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</si>
  <si>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</si>
  <si>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</si>
  <si>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</si>
  <si>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</si>
  <si>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</si>
  <si>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</si>
  <si>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</si>
  <si>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</si>
  <si>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</si>
  <si>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</si>
  <si>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</si>
  <si>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</si>
  <si>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</si>
  <si>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</si>
  <si>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</si>
  <si>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</si>
  <si>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</si>
  <si>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</si>
  <si>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</si>
  <si>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</si>
  <si>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</si>
  <si>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</si>
  <si>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</si>
  <si>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</si>
  <si>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</si>
  <si>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</si>
  <si>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</si>
  <si>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</si>
  <si>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</si>
  <si>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</si>
  <si>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</si>
  <si>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</si>
  <si>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</si>
  <si>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</si>
  <si>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</si>
  <si>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</si>
  <si>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</si>
  <si>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</si>
  <si>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</si>
  <si>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</si>
  <si>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</si>
  <si>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</si>
  <si>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</si>
  <si>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</si>
  <si>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</si>
  <si>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</si>
  <si>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</si>
  <si>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</si>
  <si>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</si>
  <si>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</si>
  <si>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</si>
  <si>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</si>
  <si>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</si>
  <si>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</si>
  <si>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</si>
  <si>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</si>
  <si>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</si>
  <si>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</si>
  <si>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</si>
  <si>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</si>
  <si>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</si>
  <si>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</si>
  <si>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</si>
  <si>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</si>
  <si>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</si>
  <si>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</si>
  <si>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</si>
  <si>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</si>
  <si>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</si>
  <si>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</si>
  <si>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</si>
  <si>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</si>
  <si>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</si>
  <si>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</si>
  <si>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</si>
  <si>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</si>
  <si>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</si>
  <si>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</si>
  <si>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</si>
  <si>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</si>
  <si>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</si>
  <si>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</si>
  <si>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</si>
  <si>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</si>
  <si>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</si>
  <si>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</si>
  <si>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</si>
  <si>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</si>
  <si>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</si>
  <si>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</si>
  <si>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</si>
  <si>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</si>
  <si>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</si>
  <si>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</si>
  <si>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</si>
  <si>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</si>
  <si>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</si>
  <si>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</si>
  <si>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</si>
  <si>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</si>
  <si>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</si>
  <si>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</si>
  <si>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</si>
  <si>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</si>
  <si>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</si>
  <si>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</si>
  <si>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</si>
  <si>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</si>
  <si>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</si>
  <si>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</si>
  <si>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</si>
  <si>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</si>
  <si>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</si>
  <si>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</si>
  <si>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</si>
  <si>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</si>
  <si>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</si>
  <si>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</si>
  <si>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</si>
  <si>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</si>
  <si>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</si>
  <si>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</si>
  <si>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</si>
  <si>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</si>
  <si>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</si>
  <si>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</si>
  <si>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</si>
  <si>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</si>
  <si>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</si>
  <si>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</si>
  <si>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</si>
  <si>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</si>
  <si>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</si>
  <si>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</si>
  <si>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</si>
  <si>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</si>
  <si>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</si>
  <si>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</si>
  <si>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</si>
  <si>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</si>
  <si>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</si>
  <si>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</si>
  <si>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</si>
  <si>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</si>
  <si>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</si>
  <si>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</si>
  <si>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</si>
  <si>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</si>
  <si>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</si>
  <si>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</si>
  <si>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</si>
  <si>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</si>
  <si>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</si>
  <si>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</si>
  <si>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</si>
  <si>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</si>
  <si>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</si>
  <si>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</si>
  <si>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</si>
  <si>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</si>
  <si>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</si>
  <si>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</si>
  <si>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</si>
  <si>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</si>
  <si>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</si>
  <si>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</si>
  <si>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</si>
  <si>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</si>
  <si>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</si>
  <si>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</si>
  <si>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</si>
  <si>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</si>
  <si>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</si>
  <si>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</si>
  <si>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</si>
  <si>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</si>
  <si>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</si>
  <si>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</si>
  <si>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</si>
  <si>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</si>
  <si>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</si>
  <si>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</si>
  <si>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</si>
  <si>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</si>
  <si>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</si>
  <si>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</si>
  <si>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</si>
  <si>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</si>
  <si>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</si>
  <si>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</si>
  <si>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</si>
  <si>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</si>
  <si>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</si>
  <si>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</si>
  <si>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</si>
  <si>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</si>
  <si>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</si>
  <si>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</si>
  <si>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</si>
  <si>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</si>
  <si>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</si>
  <si>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</si>
  <si>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</si>
  <si>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</si>
  <si>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</si>
  <si>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</si>
  <si>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</si>
  <si>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</si>
  <si>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</si>
  <si>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</si>
  <si>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</si>
  <si>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</si>
  <si>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</si>
  <si>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</si>
  <si>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</si>
  <si>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</si>
  <si>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</si>
  <si>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</si>
  <si>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</si>
  <si>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</si>
  <si>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</si>
  <si>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</si>
  <si>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</si>
  <si>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</si>
  <si>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</si>
  <si>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</si>
  <si>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</si>
  <si>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</si>
  <si>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</si>
  <si>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</si>
  <si>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</si>
  <si>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</si>
  <si>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</si>
  <si>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</si>
  <si>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</si>
  <si>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</si>
  <si>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</si>
  <si>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</si>
  <si>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</si>
  <si>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</si>
  <si>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</si>
  <si>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</si>
  <si>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</si>
  <si>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</si>
  <si>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</si>
  <si>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</si>
  <si>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</si>
  <si>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</si>
  <si>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</si>
  <si>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</si>
  <si>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</si>
  <si>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</si>
  <si>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</si>
  <si>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</si>
  <si>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</si>
  <si>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</si>
  <si>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</si>
  <si>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</si>
  <si>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</si>
  <si>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</si>
  <si>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</si>
  <si>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</si>
  <si>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</si>
  <si>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</si>
  <si>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</si>
  <si>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</si>
  <si>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</si>
  <si>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</si>
  <si>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</si>
  <si>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</si>
  <si>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</si>
  <si>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</si>
  <si>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</si>
  <si>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</si>
  <si>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</si>
  <si>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</si>
  <si>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</si>
  <si>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</si>
  <si>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</si>
  <si>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</si>
  <si>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</si>
  <si>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</si>
  <si>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</si>
  <si>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</si>
  <si>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</si>
  <si>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</si>
  <si>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</si>
  <si>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</si>
  <si>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</si>
  <si>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</si>
  <si>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</si>
  <si>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</si>
  <si>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</si>
  <si>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</si>
  <si>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</si>
  <si>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</si>
  <si>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</si>
  <si>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</si>
  <si>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</si>
  <si>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</si>
  <si>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</si>
  <si>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</si>
  <si>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</si>
  <si>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</si>
  <si>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</si>
  <si>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</si>
  <si>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</si>
  <si>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</si>
  <si>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</si>
  <si>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</si>
  <si>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</si>
  <si>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</si>
  <si>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</si>
  <si>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</si>
  <si>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</si>
  <si>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</si>
  <si>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</si>
  <si>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</si>
  <si>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</si>
  <si>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</si>
  <si>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</si>
  <si>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</si>
  <si>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</si>
  <si>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</si>
  <si>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</si>
  <si>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</si>
  <si>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</si>
  <si>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</si>
  <si>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</si>
  <si>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</si>
  <si>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</si>
  <si>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</si>
  <si>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</si>
  <si>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</si>
  <si>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</si>
  <si>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</si>
  <si>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</si>
  <si>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</si>
  <si>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</si>
  <si>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</si>
  <si>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</si>
  <si>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</si>
  <si>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</si>
  <si>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</si>
  <si>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</si>
  <si>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</si>
  <si>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</si>
  <si>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</si>
  <si>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</si>
  <si>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</si>
  <si>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</si>
  <si>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</si>
  <si>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</si>
  <si>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</si>
  <si>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</si>
  <si>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</si>
  <si>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</si>
  <si>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</si>
  <si>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</si>
  <si>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</si>
  <si>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</si>
  <si>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</si>
  <si>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</si>
  <si>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</si>
  <si>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</si>
  <si>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</si>
  <si>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</si>
  <si>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</si>
  <si>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</si>
  <si>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</si>
  <si>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</si>
  <si>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</si>
  <si>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</si>
  <si>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</si>
  <si>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</si>
  <si>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</si>
  <si>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</si>
  <si>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</si>
  <si>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</si>
  <si>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</si>
  <si>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</si>
  <si>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</si>
  <si>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</si>
  <si>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</si>
  <si>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</si>
  <si>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</si>
  <si>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</si>
  <si>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</si>
  <si>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</si>
  <si>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</si>
  <si>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</si>
  <si>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</si>
  <si>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</si>
  <si>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</si>
  <si>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</si>
  <si>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</si>
  <si>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</si>
  <si>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</si>
  <si>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</si>
  <si>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</si>
  <si>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</si>
  <si>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</si>
  <si>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</si>
  <si>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</si>
  <si>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</si>
  <si>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</si>
  <si>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</si>
  <si>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</si>
  <si>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</si>
  <si>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</si>
  <si>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</si>
  <si>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</si>
  <si>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</si>
  <si>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</si>
  <si>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</si>
  <si>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</si>
  <si>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</si>
  <si>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</si>
  <si>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</si>
  <si>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</si>
  <si>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</si>
  <si>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</si>
  <si>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</si>
  <si>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</si>
  <si>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</si>
  <si>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</si>
  <si>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</si>
  <si>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</si>
  <si>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</si>
  <si>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</si>
  <si>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</si>
  <si>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</si>
  <si>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</si>
  <si>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</si>
  <si>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</si>
  <si>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</si>
  <si>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</si>
  <si>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</si>
  <si>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</si>
  <si>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</si>
  <si>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</si>
  <si>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</si>
  <si>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</si>
  <si>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</si>
  <si>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</si>
  <si>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</si>
  <si>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</si>
  <si>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</si>
  <si>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</si>
  <si>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</si>
  <si>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</si>
  <si>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</si>
  <si>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</si>
  <si>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</si>
  <si>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</si>
  <si>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</si>
  <si>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</si>
  <si>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</si>
  <si>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</si>
  <si>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</si>
  <si>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</si>
  <si>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</si>
  <si>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</si>
  <si>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</si>
  <si>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</si>
  <si>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</si>
  <si>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</si>
  <si>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</si>
  <si>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</si>
  <si>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</si>
  <si>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</si>
  <si>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</si>
  <si>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</si>
  <si>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</si>
  <si>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</si>
  <si>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</si>
  <si>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</si>
  <si>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</si>
  <si>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</si>
  <si>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</si>
  <si>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</si>
  <si>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</si>
  <si>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</si>
  <si>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</si>
  <si>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</si>
  <si>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</si>
  <si>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</si>
  <si>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</si>
  <si>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</si>
  <si>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</si>
  <si>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</si>
  <si>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</si>
  <si>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</si>
  <si>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</si>
  <si>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</si>
  <si>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</si>
  <si>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</si>
  <si>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</si>
  <si>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</si>
  <si>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</si>
  <si>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</si>
  <si>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</si>
  <si>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</si>
  <si>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</si>
  <si>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</si>
  <si>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</si>
  <si>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</si>
  <si>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</si>
  <si>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</si>
  <si>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</si>
  <si>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</si>
  <si>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</si>
  <si>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</si>
  <si>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</si>
  <si>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</si>
  <si>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</si>
  <si>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</si>
  <si>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</si>
  <si>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</si>
  <si>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</si>
  <si>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</si>
  <si>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</si>
  <si>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</si>
  <si>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</si>
  <si>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</si>
  <si>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</si>
  <si>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</si>
  <si>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</si>
  <si>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</si>
  <si>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</si>
  <si>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</si>
  <si>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</si>
  <si>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</si>
  <si>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</si>
  <si>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</si>
  <si>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</si>
  <si>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</si>
  <si>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</si>
  <si>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</si>
  <si>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</si>
  <si>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</si>
  <si>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</si>
  <si>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</si>
  <si>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</si>
  <si>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</si>
  <si>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</si>
  <si>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</si>
  <si>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</si>
  <si>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</si>
  <si>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</si>
  <si>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</si>
  <si>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</si>
  <si>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</si>
  <si>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</si>
  <si>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</si>
  <si>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</si>
  <si>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</si>
  <si>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</si>
  <si>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</si>
  <si>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</si>
  <si>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</si>
  <si>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</si>
  <si>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</si>
  <si>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</si>
  <si>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</si>
  <si>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</si>
  <si>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</si>
  <si>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</si>
  <si>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</si>
  <si>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</si>
  <si>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</si>
  <si>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</si>
  <si>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</si>
  <si>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</si>
  <si>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</si>
  <si>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</si>
  <si>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</si>
  <si>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</si>
  <si>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</si>
  <si>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</si>
  <si>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</si>
  <si>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</si>
  <si>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</si>
  <si>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</si>
  <si>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</si>
  <si>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</si>
  <si>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</si>
  <si>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</si>
  <si>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</si>
  <si>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</si>
  <si>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</si>
  <si>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</si>
  <si>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</si>
  <si>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</si>
  <si>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</si>
  <si>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</si>
  <si>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</si>
  <si>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</si>
  <si>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</si>
  <si>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</si>
  <si>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</si>
  <si>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</si>
  <si>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</si>
  <si>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</si>
  <si>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</si>
  <si>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</si>
  <si>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</si>
  <si>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</si>
  <si>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</si>
  <si>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</si>
  <si>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</si>
  <si>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</si>
  <si>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</si>
  <si>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</si>
  <si>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</si>
  <si>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</si>
  <si>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</si>
  <si>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</si>
  <si>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</si>
  <si>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</si>
  <si>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</si>
  <si>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</si>
  <si>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</si>
  <si>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</si>
  <si>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</si>
  <si>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</si>
  <si>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</si>
  <si>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</si>
  <si>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</si>
  <si>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</si>
  <si>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</si>
  <si>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</si>
  <si>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</si>
  <si>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</si>
  <si>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</si>
  <si>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</si>
  <si>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</si>
  <si>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</si>
  <si>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</si>
  <si>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</si>
  <si>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</si>
  <si>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</si>
  <si>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</si>
  <si>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</si>
  <si>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</si>
  <si>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</si>
  <si>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</si>
  <si>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</si>
  <si>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</si>
  <si>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</si>
  <si>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</si>
  <si>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</si>
  <si>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</si>
  <si>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</si>
  <si>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</si>
  <si>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</si>
  <si>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</si>
  <si>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</si>
  <si>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</si>
  <si>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</si>
  <si>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</si>
  <si>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</si>
  <si>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</si>
  <si>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</si>
  <si>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</si>
  <si>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</si>
  <si>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</si>
  <si>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</si>
  <si>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</si>
  <si>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</si>
  <si>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</si>
  <si>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</si>
  <si>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</si>
  <si>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</si>
  <si>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</si>
  <si>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</si>
  <si>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</si>
  <si>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</si>
  <si>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</si>
  <si>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</si>
  <si>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</si>
  <si>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</si>
  <si>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</si>
  <si>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</si>
  <si>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</si>
  <si>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</si>
  <si>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</si>
  <si>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</si>
  <si>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</si>
  <si>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</si>
  <si>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</si>
  <si>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</si>
  <si>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</si>
  <si>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</si>
  <si>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</si>
  <si>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</si>
  <si>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</si>
  <si>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</si>
  <si>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</si>
  <si>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</si>
  <si>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</si>
  <si>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</si>
  <si>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</si>
  <si>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</si>
  <si>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</si>
  <si>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</si>
  <si>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</si>
  <si>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</si>
  <si>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</si>
  <si>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</si>
  <si>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</si>
  <si>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</si>
  <si>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</si>
  <si>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</si>
  <si>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</si>
  <si>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</si>
  <si>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</si>
  <si>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</si>
  <si>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</si>
  <si>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</si>
  <si>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</si>
  <si>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</si>
  <si>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</si>
  <si>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</si>
  <si>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</si>
  <si>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</si>
  <si>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</si>
  <si>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</si>
  <si>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</si>
  <si>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</si>
  <si>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</si>
  <si>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</si>
  <si>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</si>
  <si>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</si>
  <si>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</si>
  <si>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</si>
  <si>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</si>
  <si>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</si>
  <si>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</si>
  <si>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</si>
  <si>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</si>
  <si>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</si>
  <si>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</si>
  <si>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</si>
  <si>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</si>
  <si>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</si>
  <si>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</si>
  <si>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</si>
  <si>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</si>
  <si>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</si>
  <si>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</si>
  <si>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</si>
  <si>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</si>
  <si>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</si>
  <si>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</si>
  <si>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</si>
  <si>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</si>
  <si>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</si>
  <si>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</si>
  <si>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</si>
  <si>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</si>
  <si>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</si>
  <si>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</si>
  <si>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</si>
  <si>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</si>
  <si>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</si>
  <si>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</si>
  <si>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MERIC AKAR</t>
  </si>
  <si>
    <t>FATIH ASLAN</t>
  </si>
  <si>
    <t>NIHAN UNSAL</t>
  </si>
  <si>
    <t>FATIH SEN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</si>
  <si>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</si>
  <si>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</si>
  <si>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</si>
  <si>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2:30</t>
  </si>
  <si>
    <t>4:01</t>
  </si>
  <si>
    <t>Vgood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</si>
</sst>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16_157_TTK_LKB_U2025</v>
      </c>
      <c r="G1" s="5"/>
      <c r="H1" s="5"/>
      <c r="I1" s="5"/>
      <c r="J1" s="8" t="s">
        <v>707</v>
      </c>
      <c r="K1" s="121" t="s">
        <v>830</v>
      </c>
      <c r="L1" s="121"/>
      <c r="M1" s="122" t="s">
        <v>239</v>
      </c>
      <c r="N1" s="121" t="s">
        <v>831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157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46049.791666666664</v>
      </c>
      <c r="C3" s="157"/>
      <c r="D3" s="39">
        <v>622</v>
      </c>
      <c r="E3" s="29"/>
      <c r="F3" s="26">
        <f>SUBTOTAL(3,I17:I106)</f>
        <v>2</v>
      </c>
      <c r="G3" s="27">
        <f>IF(OR(D3="",D3=0),"",F3/D3)</f>
        <v>3.2154340836012861E-3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Turk Telekom Ankara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TTK</v>
      </c>
      <c r="I4" s="5"/>
      <c r="J4" s="119" t="s">
        <v>714</v>
      </c>
      <c r="K4" s="54" t="s">
        <v>742</v>
      </c>
      <c r="L4" s="5"/>
      <c r="M4" s="167" t="s">
        <v>834</v>
      </c>
      <c r="N4" s="168"/>
      <c r="O4" s="2"/>
      <c r="P4" s="2"/>
      <c r="Q4" s="84" t="s">
        <v>175</v>
      </c>
      <c r="R4" s="94">
        <f>(IF(G3="",0,G3))</f>
        <v>3.2154340836012861E-3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Lietkabelis Panevezys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LKB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0.32154340836012862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4.821543408360129</v>
      </c>
      <c r="N7" s="58"/>
      <c r="O7" s="2"/>
      <c r="P7" s="2"/>
      <c r="Q7" s="86">
        <f>SUM(R5,S5,AC16)</f>
        <v>4.821543408360129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826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4.8215434083601281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828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157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157</v>
      </c>
      <c r="D17" s="32" t="s">
        <v>832</v>
      </c>
      <c r="E17" s="33">
        <v>1</v>
      </c>
      <c r="F17" s="36">
        <v>19</v>
      </c>
      <c r="G17" s="36">
        <v>14</v>
      </c>
      <c r="H17" s="38" t="str">
        <f>IF(I17="","",$I$14)</f>
        <v>SCOUTING</v>
      </c>
      <c r="I17" s="34">
        <v>115</v>
      </c>
      <c r="J17" s="13" t="s">
        <v>4</v>
      </c>
      <c r="K17" s="13" t="s">
        <v>62</v>
      </c>
      <c r="L17" s="13" t="s">
        <v>7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157</v>
      </c>
      <c r="D18" s="32" t="s">
        <v>833</v>
      </c>
      <c r="E18" s="33">
        <v>4</v>
      </c>
      <c r="F18" s="36">
        <v>76</v>
      </c>
      <c r="G18" s="36">
        <v>64</v>
      </c>
      <c r="H18" s="38" t="str">
        <f t="shared" ref="H18:H81" si="8">IF(I18="","",$I$14)</f>
        <v>SCOUTING</v>
      </c>
      <c r="I18" s="34">
        <v>566</v>
      </c>
      <c r="J18" s="13" t="s">
        <v>4</v>
      </c>
      <c r="K18" s="13" t="s">
        <v>62</v>
      </c>
      <c r="L18" s="13" t="s">
        <v>48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REPORT_U2025157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"U2025157"</v>
      </c>
      <c r="F3" s="45" t="str">
        <f t="shared" ref="F3:F16" si="0">""""&amp;B3&amp;"""" &amp; " : " &amp;C3&amp;","</f>
        <v>"name" : "U2025157",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"U157"</v>
      </c>
      <c r="F4" s="45" t="str">
        <f t="shared" si="0"/>
        <v>"cod" : "U157",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157</v>
      </c>
      <c r="F6" s="45" t="str">
        <f t="shared" si="0"/>
        <v>"number" : 157,</v>
      </c>
    </row>
    <row r="7" spans="2:6" x14ac:dyDescent="0.25">
      <c r="B7" s="43" t="s">
        <v>116</v>
      </c>
      <c r="C7" s="43" t="str">
        <f ca="1">""""&amp;TEXT('SCOUT &amp; LOGISTICS'!B3,"dd/mm/aaaa")&amp;""""</f>
        <v>"27/01/Tuesday"</v>
      </c>
      <c r="F7" s="45" t="str">
        <f t="shared" ca="1" si="0"/>
        <v>"date" : "27/01/Tuesday",</v>
      </c>
    </row>
    <row r="8" spans="2:6" x14ac:dyDescent="0.25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5">
      <c r="B9" s="43" t="s">
        <v>126</v>
      </c>
      <c r="C9" s="43" t="str">
        <f>""""&amp;'SCOUT &amp; LOGISTICS'!D5&amp;""""</f>
        <v>"Lietkabelis Panevezys"</v>
      </c>
      <c r="F9" s="45" t="str">
        <f t="shared" si="0"/>
        <v>"away_team" : "Lietkabelis Panevezys",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"MERIC AKAR"</v>
      </c>
      <c r="F11" s="45" t="str">
        <f t="shared" si="0"/>
        <v>"Caller_1" : "MERIC AKAR",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"FATIH ASLAN"</v>
      </c>
      <c r="F12" s="45" t="str">
        <f t="shared" si="0"/>
        <v>"Caller_2" : "FATIH ASLAN",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"NIHAN UNSAL"</v>
      </c>
      <c r="F13" s="45" t="str">
        <f t="shared" si="0"/>
        <v>"Timerkeeper" : "NIHAN UNSAL",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"FATIH SEN"</v>
      </c>
      <c r="F14" s="45" t="str">
        <f t="shared" si="0"/>
        <v>"Shotclock" : "FATIH SEN",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622</v>
      </c>
      <c r="F25" s="45" t="str">
        <f t="shared" ref="F25:F48" si="1">""""&amp;C25&amp;"""" &amp; " : " &amp;D25&amp;","</f>
        <v>"total_actions" : 622,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"Vgood job! Keep it up!"</v>
      </c>
      <c r="F51" s="45" t="str">
        <f>""""&amp;B51&amp;"""" &amp; " : " &amp;C51&amp;","</f>
        <v>"comments" : "Vgood job! Keep it up!",</v>
      </c>
    </row>
    <row r="52" spans="2:6" x14ac:dyDescent="0.25">
      <c r="B52" s="43" t="s">
        <v>153</v>
      </c>
      <c r="C52" s="43" t="str">
        <f>TEXT('SCOUT &amp; LOGISTICS'!F1,"0,0")</f>
        <v>16_157_TTK_LKB_U2025</v>
      </c>
      <c r="F52" s="45" t="str">
        <f>""""&amp;B52&amp;"""" &amp; " : " &amp;C52</f>
        <v>"result" : 16_157_TTK_LKB_U2025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U157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Turk Telekom Ankara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Lietkabelis Panevezys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MERIC AKAR</v>
      </c>
      <c r="H8" s="206"/>
      <c r="I8" s="206"/>
      <c r="J8" s="206"/>
      <c r="K8" s="206"/>
      <c r="L8" s="206" t="str">
        <f>IF('SCOUT &amp; LOGISTICS'!D8="","",'SCOUT &amp; LOGISTICS'!D8)</f>
        <v>FATIH ASLAN</v>
      </c>
      <c r="M8" s="206"/>
      <c r="N8" s="206"/>
      <c r="O8" s="206"/>
      <c r="P8" s="206"/>
      <c r="Q8" s="206" t="str">
        <f>IF('SCOUT &amp; LOGISTICS'!D9="","",'SCOUT &amp; LOGISTICS'!D9)</f>
        <v>NIHAN UNSAL</v>
      </c>
      <c r="R8" s="206"/>
      <c r="S8" s="206"/>
      <c r="T8" s="206"/>
      <c r="U8" s="206"/>
      <c r="V8" s="206" t="str">
        <f>IF('SCOUT &amp; LOGISTICS'!D10="","",'SCOUT &amp; LOGISTICS'!D10)</f>
        <v>FATIH SEN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622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3.2154340836012861E-3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4.821543408360129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DE727-53D5-464F-9D1D-C71B52D0D38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2026-01-27T18:24:09Z</cp:lastPrinted>
  <dcterms:created xsi:type="dcterms:W3CDTF">2023-09-19T19:50:35Z</dcterms:created>
  <dcterms:modified xsi:type="dcterms:W3CDTF">2026-01-27T18:24:10Z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