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3791AE3-0671-45C3-A451-45C4B5F47F7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<sst xmlns="http://schemas.openxmlformats.org/spreadsheetml/2006/main" count="3343" uniqueCount="832">
  <si>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</si>
  <si>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</si>
  <si>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</si>
  <si>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</si>
  <si>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</si>
  <si>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</si>
  <si>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</si>
  <si>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</si>
  <si>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</si>
  <si>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</si>
  <si>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</si>
  <si>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</si>
  <si>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</si>
  <si>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</si>
  <si>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</si>
  <si>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</si>
  <si>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</si>
  <si>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</si>
  <si>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</si>
  <si>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</si>
  <si>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</si>
  <si>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</si>
  <si>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</si>
  <si>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</si>
  <si>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</si>
  <si>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</si>
  <si>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</si>
  <si>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</si>
  <si>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</si>
  <si>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</si>
  <si>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</si>
  <si>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</si>
  <si>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</si>
  <si>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</si>
  <si>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</si>
  <si>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</si>
  <si>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</si>
  <si>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</si>
  <si>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</si>
  <si>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</si>
  <si>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</si>
  <si>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</si>
  <si>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</si>
  <si>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</si>
  <si>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</si>
  <si>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</si>
  <si>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</si>
  <si>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</si>
  <si>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</si>
  <si>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</si>
  <si>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</si>
  <si>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</si>
  <si>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</si>
  <si>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</si>
  <si>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</si>
  <si>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</si>
  <si>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</si>
  <si>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</si>
  <si>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</si>
  <si>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</si>
  <si>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</si>
  <si>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</si>
  <si>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</si>
  <si>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</si>
  <si>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</si>
  <si>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</si>
  <si>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</si>
  <si>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</si>
  <si>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</si>
  <si>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</si>
  <si>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</si>
  <si>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</si>
  <si>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</si>
  <si>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</si>
  <si>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</si>
  <si>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</si>
  <si>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</si>
  <si>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</si>
  <si>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</si>
  <si>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</si>
  <si>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</si>
  <si>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</si>
  <si>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</si>
  <si>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</si>
  <si>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</si>
  <si>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</si>
  <si>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</si>
  <si>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</si>
  <si>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</si>
  <si>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</si>
  <si>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</si>
  <si>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</si>
  <si>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</si>
  <si>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</si>
  <si>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</si>
  <si>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</si>
  <si>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</si>
  <si>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</si>
  <si>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</si>
  <si>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</si>
  <si>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</si>
  <si>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</si>
  <si>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</si>
  <si>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</si>
  <si>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</si>
  <si>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</si>
  <si>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</si>
  <si>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</si>
  <si>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</si>
  <si>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</si>
  <si>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</si>
  <si>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</si>
  <si>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</si>
  <si>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</si>
  <si>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</si>
  <si>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</si>
  <si>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</si>
  <si>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</si>
  <si>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</si>
  <si>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</si>
  <si>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</si>
  <si>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</si>
  <si>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</si>
  <si>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</si>
  <si>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</si>
  <si>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</si>
  <si>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</si>
  <si>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</si>
  <si>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</si>
  <si>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</si>
  <si>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</si>
  <si>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</si>
  <si>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</si>
  <si>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</si>
  <si>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</si>
  <si>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</si>
  <si>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</si>
  <si>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</si>
  <si>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</si>
  <si>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</si>
  <si>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</si>
  <si>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</si>
  <si>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</si>
  <si>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</si>
  <si>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</si>
  <si>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</si>
  <si>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</si>
  <si>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</si>
  <si>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</si>
  <si>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</si>
  <si>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</si>
  <si>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</si>
  <si>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</si>
  <si>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</si>
  <si>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</si>
  <si>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</si>
  <si>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</si>
  <si>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</si>
  <si>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</si>
  <si>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</si>
  <si>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</si>
  <si>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</si>
  <si>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</si>
  <si>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</si>
  <si>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</si>
  <si>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</si>
  <si>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</si>
  <si>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</si>
  <si>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</si>
  <si>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</si>
  <si>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</si>
  <si>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</si>
  <si>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</si>
  <si>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</si>
  <si>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</si>
  <si>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</si>
  <si>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</si>
  <si>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</si>
  <si>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</si>
  <si>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</si>
  <si>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</si>
  <si>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</si>
  <si>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</si>
  <si>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</si>
  <si>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</si>
  <si>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</si>
  <si>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</si>
  <si>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</si>
  <si>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</si>
  <si>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</si>
  <si>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</si>
  <si>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</si>
  <si>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</si>
  <si>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</si>
  <si>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</si>
  <si>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</si>
  <si>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</si>
  <si>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</si>
  <si>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</si>
  <si>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</si>
  <si>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</si>
  <si>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</si>
  <si>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</si>
  <si>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</si>
  <si>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</si>
  <si>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</si>
  <si>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</si>
  <si>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</si>
  <si>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</si>
  <si>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</si>
  <si>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</si>
  <si>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</si>
  <si>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</si>
  <si>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</si>
  <si>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</si>
  <si>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</si>
  <si>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</si>
  <si>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</si>
  <si>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</si>
  <si>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</si>
  <si>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</si>
  <si>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</si>
  <si>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</si>
  <si>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</si>
  <si>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</si>
  <si>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</si>
  <si>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</si>
  <si>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</si>
  <si>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</si>
  <si>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</si>
  <si>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</si>
  <si>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</si>
  <si>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</si>
  <si>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</si>
  <si>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</si>
  <si>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</si>
  <si>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</si>
  <si>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</si>
  <si>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</si>
  <si>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</si>
  <si>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</si>
  <si>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</si>
  <si>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</si>
  <si>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</si>
  <si>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</si>
  <si>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</si>
  <si>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</si>
  <si>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</si>
  <si>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</si>
  <si>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</si>
  <si>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</si>
  <si>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</si>
  <si>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</si>
  <si>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</si>
  <si>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</si>
  <si>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</si>
  <si>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</si>
  <si>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</si>
  <si>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</si>
  <si>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</si>
  <si>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</si>
  <si>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</si>
  <si>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</si>
  <si>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</si>
  <si>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</si>
  <si>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</si>
  <si>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</si>
  <si>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</si>
  <si>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</si>
  <si>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</si>
  <si>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</si>
  <si>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</si>
  <si>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</si>
  <si>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</si>
  <si>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</si>
  <si>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</si>
  <si>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</si>
  <si>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</si>
  <si>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</si>
  <si>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</si>
  <si>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</si>
  <si>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</si>
  <si>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</si>
  <si>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</si>
  <si>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</si>
  <si>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</si>
  <si>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</si>
  <si>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</si>
  <si>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</si>
  <si>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</si>
  <si>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</si>
  <si>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</si>
  <si>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</si>
  <si>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</si>
  <si>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</si>
  <si>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</si>
  <si>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</si>
  <si>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</si>
  <si>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</si>
  <si>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</si>
  <si>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</si>
  <si>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</si>
  <si>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</si>
  <si>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</si>
  <si>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</si>
  <si>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</si>
  <si>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</si>
  <si>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</si>
  <si>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</si>
  <si>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</si>
  <si>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</si>
  <si>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</si>
  <si>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</si>
  <si>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</si>
  <si>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</si>
  <si>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</si>
  <si>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</si>
  <si>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</si>
  <si>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</si>
  <si>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</si>
  <si>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</si>
  <si>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</si>
  <si>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</si>
  <si>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</si>
  <si>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</si>
  <si>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</si>
  <si>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</si>
  <si>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</si>
  <si>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</si>
  <si>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</si>
  <si>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</si>
  <si>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</si>
  <si>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</si>
  <si>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</si>
  <si>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</si>
  <si>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</si>
  <si>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</si>
  <si>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</si>
  <si>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</si>
  <si>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</si>
  <si>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</si>
  <si>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</si>
  <si>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</si>
  <si>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</si>
  <si>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</si>
  <si>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</si>
  <si>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</si>
  <si>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</si>
  <si>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</si>
  <si>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</si>
  <si>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</si>
  <si>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</si>
  <si>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</si>
  <si>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</si>
  <si>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</si>
  <si>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</si>
  <si>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</si>
  <si>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</si>
  <si>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</si>
  <si>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</si>
  <si>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</si>
  <si>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</si>
  <si>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</si>
  <si>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</si>
  <si>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</si>
  <si>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</si>
  <si>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</si>
  <si>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</si>
  <si>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</si>
  <si>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</si>
  <si>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</si>
  <si>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</si>
  <si>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</si>
  <si>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</si>
  <si>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</si>
  <si>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</si>
  <si>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</si>
  <si>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</si>
  <si>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</si>
  <si>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</si>
  <si>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</si>
  <si>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</si>
  <si>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</si>
  <si>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</si>
  <si>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</si>
  <si>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</si>
  <si>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</si>
  <si>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</si>
  <si>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</si>
  <si>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</si>
  <si>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</si>
  <si>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</si>
  <si>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</si>
  <si>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</si>
  <si>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</si>
  <si>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</si>
  <si>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</si>
  <si>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</si>
  <si>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</si>
  <si>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</si>
  <si>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</si>
  <si>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</si>
  <si>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</si>
  <si>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</si>
  <si>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</si>
  <si>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</si>
  <si>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</si>
  <si>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</si>
  <si>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</si>
  <si>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</si>
  <si>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</si>
  <si>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</si>
  <si>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</si>
  <si>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</si>
  <si>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</si>
  <si>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</si>
  <si>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</si>
  <si>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</si>
  <si>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</si>
  <si>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</si>
  <si>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</si>
  <si>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</si>
  <si>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</si>
  <si>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</si>
  <si>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</si>
  <si>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</si>
  <si>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</si>
  <si>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</si>
  <si>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</si>
  <si>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</si>
  <si>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</si>
  <si>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</si>
  <si>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</si>
  <si>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</si>
  <si>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</si>
  <si>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</si>
  <si>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</si>
  <si>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</si>
  <si>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</si>
  <si>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</si>
  <si>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</si>
  <si>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</si>
  <si>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</si>
  <si>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</si>
  <si>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</si>
  <si>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</si>
  <si>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</si>
  <si>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</si>
  <si>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</si>
  <si>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</si>
  <si>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</si>
  <si>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</si>
  <si>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</si>
  <si>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</si>
  <si>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</si>
  <si>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</si>
  <si>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</si>
  <si>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</si>
  <si>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</si>
  <si>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</si>
  <si>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</si>
  <si>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</si>
  <si>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</si>
  <si>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</si>
  <si>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</si>
  <si>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</si>
  <si>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</si>
  <si>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</si>
  <si>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</si>
  <si>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</si>
  <si>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</si>
  <si>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</si>
  <si>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</si>
  <si>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</si>
  <si>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</si>
  <si>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</si>
  <si>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</si>
  <si>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</si>
  <si>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</si>
  <si>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</si>
  <si>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</si>
  <si>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</si>
  <si>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</si>
  <si>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</si>
  <si>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</si>
  <si>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</si>
  <si>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</si>
  <si>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</si>
  <si>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</si>
  <si>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</si>
  <si>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</si>
  <si>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</si>
  <si>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</si>
  <si>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</si>
  <si>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</si>
  <si>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</si>
  <si>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</si>
  <si>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</si>
  <si>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</si>
  <si>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</si>
  <si>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</si>
  <si>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</si>
  <si>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</si>
  <si>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</si>
  <si>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</si>
  <si>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</si>
  <si>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</si>
  <si>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</si>
  <si>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</si>
  <si>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</si>
  <si>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</si>
  <si>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</si>
  <si>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</si>
  <si>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</si>
  <si>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</si>
  <si>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</si>
  <si>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</si>
  <si>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</si>
  <si>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</si>
  <si>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</si>
  <si>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</si>
  <si>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</si>
  <si>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</si>
  <si>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</si>
  <si>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</si>
  <si>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</si>
  <si>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</si>
  <si>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</si>
  <si>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</si>
  <si>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</si>
  <si>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</si>
  <si>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</si>
  <si>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</si>
  <si>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</si>
  <si>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</si>
  <si>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</si>
  <si>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</si>
  <si>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</si>
  <si>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</si>
  <si>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</si>
  <si>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</si>
  <si>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</si>
  <si>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</si>
  <si>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</si>
  <si>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</si>
  <si>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</si>
  <si>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</si>
  <si>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</si>
  <si>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</si>
  <si>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</si>
  <si>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</si>
  <si>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</si>
  <si>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</si>
  <si>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</si>
  <si>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</si>
  <si>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</si>
  <si>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</si>
  <si>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</si>
  <si>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</si>
  <si>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</si>
  <si>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</si>
  <si>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</si>
  <si>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</si>
  <si>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</si>
  <si>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</si>
  <si>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</si>
  <si>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</si>
  <si>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</si>
  <si>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</si>
  <si>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</si>
  <si>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</si>
  <si>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</si>
  <si>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</si>
  <si>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</si>
  <si>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</si>
  <si>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</si>
  <si>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</si>
  <si>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</si>
  <si>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</si>
  <si>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</si>
  <si>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</si>
  <si>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</si>
  <si>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</si>
  <si>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</si>
  <si>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</si>
  <si>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</si>
  <si>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</si>
  <si>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</si>
  <si>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</si>
  <si>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</si>
  <si>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</si>
  <si>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</si>
  <si>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</si>
  <si>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</si>
  <si>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</si>
  <si>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</si>
  <si>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</si>
  <si>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</si>
  <si>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</si>
  <si>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</si>
  <si>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</si>
  <si>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</si>
  <si>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</si>
  <si>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</si>
  <si>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</si>
  <si>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</si>
  <si>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</si>
  <si>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</si>
  <si>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</si>
  <si>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</si>
  <si>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</si>
  <si>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</si>
  <si>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</si>
  <si>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</si>
  <si>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</si>
  <si>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</si>
  <si>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</si>
  <si>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</si>
  <si>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</si>
  <si>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</si>
  <si>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</si>
  <si>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</si>
  <si>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</si>
  <si>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</si>
  <si>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</si>
  <si>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</si>
  <si>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</si>
  <si>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</si>
  <si>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</si>
  <si>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</si>
  <si>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</si>
  <si>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</si>
  <si>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</si>
  <si>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</si>
  <si>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</si>
  <si>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</si>
  <si>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</si>
  <si>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</si>
  <si>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</si>
  <si>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</si>
  <si>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</si>
  <si>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</si>
  <si>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</si>
  <si>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</si>
  <si>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</si>
  <si>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</si>
  <si>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</si>
  <si>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</si>
  <si>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</si>
  <si>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</si>
  <si>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</si>
  <si>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</si>
  <si>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</si>
  <si>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</si>
  <si>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</si>
  <si>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</si>
  <si>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</si>
  <si>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</si>
  <si>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</si>
  <si>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</si>
  <si>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</si>
  <si>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</si>
  <si>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</si>
  <si>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</si>
  <si>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</si>
  <si>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</si>
  <si>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</si>
  <si>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</si>
  <si>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</si>
  <si>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</si>
  <si>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</si>
  <si>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</si>
  <si>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</si>
  <si>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</si>
  <si>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</si>
  <si>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</si>
  <si>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</si>
  <si>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</si>
  <si>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</si>
  <si>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</si>
  <si>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</si>
  <si>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</si>
  <si>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</si>
  <si>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</si>
  <si>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</si>
  <si>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</si>
  <si>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</si>
  <si>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</si>
  <si>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</si>
  <si>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</si>
  <si>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</si>
  <si>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</si>
  <si>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</si>
  <si>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</si>
  <si>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</si>
  <si>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</si>
  <si>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</si>
  <si>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</si>
  <si>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</si>
  <si>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</si>
  <si>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</si>
  <si>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</si>
  <si>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</si>
  <si>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</si>
  <si>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</si>
  <si>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</si>
  <si>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</si>
  <si>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</si>
  <si>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</si>
  <si>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</si>
  <si>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</si>
  <si>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</si>
  <si>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</si>
  <si>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</si>
  <si>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</si>
  <si>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</si>
  <si>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</si>
  <si>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</si>
  <si>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</si>
  <si>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</si>
  <si>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</si>
  <si>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</si>
  <si>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</si>
  <si>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</si>
  <si>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</si>
  <si>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</si>
  <si>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</si>
  <si>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</si>
  <si>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</si>
  <si>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</si>
  <si>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</si>
  <si>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</si>
  <si>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</si>
  <si>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</si>
  <si>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</si>
  <si>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</si>
  <si>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</si>
  <si>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</si>
  <si>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</si>
  <si>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</si>
  <si>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</si>
  <si>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</si>
  <si>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</si>
  <si>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</si>
  <si>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</si>
  <si>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</si>
  <si>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</si>
  <si>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</si>
  <si>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</si>
  <si>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</si>
  <si>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</si>
  <si>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</si>
  <si>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</si>
  <si>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</si>
  <si>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</si>
  <si>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</si>
  <si>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</si>
  <si>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</si>
  <si>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</si>
  <si>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</si>
  <si>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</si>
  <si>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</si>
  <si>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</si>
  <si>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</si>
  <si>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</si>
  <si>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</si>
  <si>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</si>
  <si>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</si>
  <si>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</si>
  <si>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</si>
  <si>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</si>
  <si>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</si>
  <si>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</si>
  <si>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</si>
  <si>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</si>
  <si>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</si>
  <si>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</si>
  <si>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</si>
  <si>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</si>
  <si>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</si>
  <si>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</si>
  <si>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</si>
  <si>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</si>
  <si>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</si>
  <si>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</si>
  <si>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</si>
  <si>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</si>
  <si>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</si>
  <si>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</si>
  <si>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</si>
  <si>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</si>
  <si>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</si>
  <si>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</si>
  <si>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</si>
  <si>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</si>
  <si>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</si>
  <si>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</si>
  <si>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</si>
  <si>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</si>
  <si>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</si>
  <si>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</si>
  <si>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</si>
  <si>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</si>
  <si>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</si>
  <si>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</si>
  <si>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</si>
  <si>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</si>
  <si>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</si>
  <si>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</si>
  <si>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</si>
  <si>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</si>
  <si>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</si>
  <si>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</si>
  <si>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</si>
  <si>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</si>
  <si>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</si>
  <si>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</si>
  <si>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</si>
  <si>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</si>
  <si>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</si>
  <si>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</si>
  <si>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</si>
  <si>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</si>
  <si>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</si>
  <si>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</si>
  <si>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</si>
  <si>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</si>
  <si>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ALAIN FERRANT</t>
  </si>
  <si>
    <t>FLORENT BOITON</t>
  </si>
  <si>
    <t>ANGELINE BLOT</t>
  </si>
  <si>
    <t>01:14</t>
  </si>
  <si>
    <t>The topic of how to test backups is recalled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</si>
</sst>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16_158_ASV_MUN_E2025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46008.833333333336</v>
      </c>
      <c r="C3" s="178"/>
      <c r="D3" s="39">
        <v>579</v>
      </c>
      <c r="E3" s="29"/>
      <c r="F3" s="26">
        <f>SUBTOTAL(3,I17:I106)</f>
        <v>2</v>
      </c>
      <c r="G3" s="27">
        <f>IF(OR(D3="",D3=0),"",F3/D3)</f>
        <v>3.4542314335060447E-3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831</v>
      </c>
      <c r="N4" s="186"/>
      <c r="O4" s="2"/>
      <c r="P4" s="2"/>
      <c r="Q4" s="84" t="s">
        <v>175</v>
      </c>
      <c r="R4" s="94">
        <f>(IF(G3="",0,G3))</f>
        <v>3.4542314335060447E-3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0.34542314335060448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803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5.3454231433506045</v>
      </c>
      <c r="N7" s="58"/>
      <c r="O7" s="2"/>
      <c r="P7" s="2"/>
      <c r="Q7" s="86">
        <f>SUM(R5,S5,AC16)</f>
        <v>5.3454231433506045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805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5.3454231433506045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827</v>
      </c>
      <c r="E9" s="159"/>
      <c r="F9" s="159"/>
      <c r="G9" s="160"/>
      <c r="H9" s="130" t="str">
        <f>VLOOKUP($H$4,Teams!$B$3:$O$44,3,FALSE)</f>
        <v>STEPHANE DURIEUX</v>
      </c>
      <c r="I9" s="130" t="str">
        <f>VLOOKUP($H$4,Teams!$B$3:$O$44,3,FALSE)</f>
        <v>STEPHANE DURIEUX</v>
      </c>
      <c r="J9" s="130" t="str">
        <f>VLOOKUP($H$4,Teams!$B$3:$O$44,5,FALSE)</f>
        <v>STEPHANE FITOUSSI</v>
      </c>
      <c r="K9" s="130" t="str">
        <f>VLOOKUP($H$4,Teams!$B$3:$O$44,6,FALSE)</f>
        <v>VIRGINIE USCLADE</v>
      </c>
      <c r="L9" s="130" t="str">
        <f>VLOOKUP($H$4,Teams!$B$3:$O$44,7,FALSE)</f>
        <v>CEDRIC LAURANCY</v>
      </c>
      <c r="M9" s="131" t="str">
        <f>VLOOKUP($H$4,Teams!$B$3:$O$44,8,FALSE)</f>
        <v>KADER SI-TAYEB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808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158</v>
      </c>
      <c r="D17" s="32" t="s">
        <v>830</v>
      </c>
      <c r="E17" s="33">
        <v>1</v>
      </c>
      <c r="F17" s="36">
        <v>13</v>
      </c>
      <c r="G17" s="36">
        <v>20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158</v>
      </c>
      <c r="D18" s="32" t="s">
        <v>830</v>
      </c>
      <c r="E18" s="33">
        <v>1</v>
      </c>
      <c r="F18" s="36">
        <v>13</v>
      </c>
      <c r="G18" s="36">
        <v>20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62</v>
      </c>
      <c r="L18" s="13" t="s">
        <v>7</v>
      </c>
      <c r="M18" s="13" t="s">
        <v>30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REPORT_E2025158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"E2025158"</v>
      </c>
      <c r="F3" s="45" t="str">
        <f t="shared" ref="F3:F16" si="0">""""&amp;B3&amp;"""" &amp; " : " &amp;C3&amp;","</f>
        <v>"name" : "E2025158",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"E158"</v>
      </c>
      <c r="F4" s="45" t="str">
        <f t="shared" si="0"/>
        <v>"cod" : "E158",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158</v>
      </c>
      <c r="F6" s="45" t="str">
        <f t="shared" si="0"/>
        <v>"number" : 158,</v>
      </c>
    </row>
    <row r="7" spans="2:6" x14ac:dyDescent="0.2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"ALAIN FERRANT"</v>
      </c>
      <c r="F13" s="45" t="str">
        <f t="shared" si="0"/>
        <v>"Timerkeeper" : "ALAIN FERRANT",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"ANGELINE BLOT"</v>
      </c>
      <c r="F14" s="45" t="str">
        <f t="shared" si="0"/>
        <v>"Shotclock" : "ANGELINE BLOT",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579</v>
      </c>
      <c r="F25" s="45" t="str">
        <f t="shared" ref="F25:F48" si="1">""""&amp;C25&amp;"""" &amp; " : " &amp;D25&amp;","</f>
        <v>"total_actions" : 579,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topic of how to test backups is recalled"</v>
      </c>
      <c r="F51" s="45" t="str">
        <f>""""&amp;B51&amp;"""" &amp; " : " &amp;C51&amp;","</f>
        <v>"comments" : "The topic of how to test backups is recalled",</v>
      </c>
    </row>
    <row r="52" spans="2:6" x14ac:dyDescent="0.2">
      <c r="B52" s="43" t="s">
        <v>153</v>
      </c>
      <c r="C52" s="43" t="str">
        <f>TEXT('SCOUT &amp; LOGISTICS'!F1,"0,0")</f>
        <v>16_158_ASV_MUN_E2025</v>
      </c>
      <c r="F52" s="45" t="str">
        <f>""""&amp;B52&amp;"""" &amp; " : " &amp;C52</f>
        <v>"result" : 16_158_ASV_MUN_E2025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E158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DURIEUX</v>
      </c>
      <c r="C8" s="201"/>
      <c r="D8" s="201"/>
      <c r="E8" s="201"/>
      <c r="F8" s="201"/>
      <c r="G8" s="201" t="str">
        <f>IF('SCOUT &amp; LOGISTICS'!D7="","",'SCOUT &amp; LOGISTICS'!D7)</f>
        <v>FLORENT BOITON</v>
      </c>
      <c r="H8" s="201"/>
      <c r="I8" s="201"/>
      <c r="J8" s="201"/>
      <c r="K8" s="201"/>
      <c r="L8" s="201" t="str">
        <f>IF('SCOUT &amp; LOGISTICS'!D8="","",'SCOUT &amp; LOGISTICS'!D8)</f>
        <v>STEPHANE FITOUSSI</v>
      </c>
      <c r="M8" s="201"/>
      <c r="N8" s="201"/>
      <c r="O8" s="201"/>
      <c r="P8" s="201"/>
      <c r="Q8" s="201" t="str">
        <f>IF('SCOUT &amp; LOGISTICS'!D9="","",'SCOUT &amp; LOGISTICS'!D9)</f>
        <v>ALAIN FERRANT</v>
      </c>
      <c r="R8" s="201"/>
      <c r="S8" s="201"/>
      <c r="T8" s="201"/>
      <c r="U8" s="201"/>
      <c r="V8" s="201" t="str">
        <f>IF('SCOUT &amp; LOGISTICS'!D10="","",'SCOUT &amp; LOGISTICS'!D10)</f>
        <v>ANGELINE BLOT</v>
      </c>
      <c r="W8" s="201"/>
      <c r="X8" s="201"/>
      <c r="Y8" s="201"/>
      <c r="Z8" s="201"/>
      <c r="AA8" s="201" t="str">
        <f>IF('SCOUT &amp; LOGISTICS'!D11="","",'SCOUT &amp; LOGISTICS'!D11)</f>
        <v>KADER SI-TAYEB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579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3.4542314335060447E-3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 topic of how to test backups is recalled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5.3454231433506045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41C67B5-35E7-43A2-9B44-BE3DA9C9E455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2026-01-16T15:11:05Z</cp:lastPrinted>
  <dcterms:created xsi:type="dcterms:W3CDTF">2023-09-19T19:50:35Z</dcterms:created>
  <dcterms:modified xsi:type="dcterms:W3CDTF">2026-01-16T15:17:28Z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