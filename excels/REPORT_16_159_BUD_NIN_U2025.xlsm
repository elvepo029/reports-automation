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6" documentId="8_{46C01520-A1C2-493E-B818-44D12F7B4F79}" xr6:coauthVersionLast="47" xr6:coauthVersionMax="47" xr10:uidLastSave="{53698928-3EEE-4025-8AF7-10EDC6FA606F}"/>
  <bookViews>
    <workbookView minimized="1" xWindow="1440" yWindow="1440" windowWidth="14400" windowHeight="727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<sst xmlns="http://schemas.openxmlformats.org/spreadsheetml/2006/main" count="3357" uniqueCount="836">
  <si>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</si>
  <si>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</si>
  <si>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</si>
  <si>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</si>
  <si>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</si>
  <si>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</si>
  <si>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</si>
  <si>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</si>
  <si>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</si>
  <si>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</si>
  <si>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</si>
  <si>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</si>
  <si>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</si>
  <si>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</si>
  <si>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</si>
  <si>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</si>
  <si>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</si>
  <si>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</si>
  <si>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</si>
  <si>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</si>
  <si>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</si>
  <si>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</si>
  <si>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</si>
  <si>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</si>
  <si>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</si>
  <si>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</si>
  <si>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</si>
  <si>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</si>
  <si>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</si>
  <si>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</si>
  <si>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</si>
  <si>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</si>
  <si>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</si>
  <si>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</si>
  <si>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</si>
  <si>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</si>
  <si>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</si>
  <si>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</si>
  <si>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</si>
  <si>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</si>
  <si>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</si>
  <si>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</si>
  <si>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</si>
  <si>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</si>
  <si>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</si>
  <si>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</si>
  <si>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</si>
  <si>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</si>
  <si>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</si>
  <si>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</si>
  <si>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</si>
  <si>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</si>
  <si>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</si>
  <si>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</si>
  <si>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</si>
  <si>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</si>
  <si>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</si>
  <si>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</si>
  <si>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</si>
  <si>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</si>
  <si>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</si>
  <si>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</si>
  <si>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</si>
  <si>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</si>
  <si>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</si>
  <si>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</si>
  <si>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</si>
  <si>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</si>
  <si>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</si>
  <si>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</si>
  <si>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</si>
  <si>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</si>
  <si>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</si>
  <si>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</si>
  <si>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</si>
  <si>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</si>
  <si>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</si>
  <si>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</si>
  <si>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</si>
  <si>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</si>
  <si>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</si>
  <si>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</si>
  <si>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</si>
  <si>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</si>
  <si>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</si>
  <si>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</si>
  <si>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</si>
  <si>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</si>
  <si>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</si>
  <si>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</si>
  <si>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</si>
  <si>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</si>
  <si>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</si>
  <si>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</si>
  <si>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</si>
  <si>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</si>
  <si>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</si>
  <si>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</si>
  <si>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</si>
  <si>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</si>
  <si>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</si>
  <si>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</si>
  <si>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</si>
  <si>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</si>
  <si>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</si>
  <si>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</si>
  <si>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</si>
  <si>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</si>
  <si>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</si>
  <si>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</si>
  <si>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</si>
  <si>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</si>
  <si>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</si>
  <si>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</si>
  <si>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</si>
  <si>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</si>
  <si>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</si>
  <si>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</si>
  <si>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</si>
  <si>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</si>
  <si>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</si>
  <si>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</si>
  <si>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</si>
  <si>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</si>
  <si>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</si>
  <si>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</si>
  <si>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</si>
  <si>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</si>
  <si>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</si>
  <si>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</si>
  <si>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</si>
  <si>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</si>
  <si>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</si>
  <si>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</si>
  <si>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</si>
  <si>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</si>
  <si>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</si>
  <si>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</si>
  <si>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</si>
  <si>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</si>
  <si>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</si>
  <si>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</si>
  <si>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</si>
  <si>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</si>
  <si>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</si>
  <si>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</si>
  <si>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</si>
  <si>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</si>
  <si>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</si>
  <si>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</si>
  <si>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</si>
  <si>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</si>
  <si>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</si>
  <si>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</si>
  <si>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</si>
  <si>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</si>
  <si>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</si>
  <si>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</si>
  <si>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</si>
  <si>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</si>
  <si>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</si>
  <si>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</si>
  <si>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</si>
  <si>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</si>
  <si>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</si>
  <si>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</si>
  <si>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</si>
  <si>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</si>
  <si>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</si>
  <si>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</si>
  <si>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</si>
  <si>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</si>
  <si>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</si>
  <si>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</si>
  <si>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</si>
  <si>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</si>
  <si>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</si>
  <si>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</si>
  <si>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</si>
  <si>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</si>
  <si>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</si>
  <si>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</si>
  <si>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</si>
  <si>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</si>
  <si>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</si>
  <si>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</si>
  <si>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</si>
  <si>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</si>
  <si>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</si>
  <si>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</si>
  <si>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</si>
  <si>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</si>
  <si>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</si>
  <si>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</si>
  <si>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</si>
  <si>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</si>
  <si>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</si>
  <si>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</si>
  <si>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</si>
  <si>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</si>
  <si>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</si>
  <si>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</si>
  <si>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</si>
  <si>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</si>
  <si>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</si>
  <si>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</si>
  <si>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</si>
  <si>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</si>
  <si>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</si>
  <si>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</si>
  <si>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</si>
  <si>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</si>
  <si>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</si>
  <si>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</si>
  <si>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</si>
  <si>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</si>
  <si>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</si>
  <si>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</si>
  <si>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</si>
  <si>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</si>
  <si>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</si>
  <si>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</si>
  <si>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</si>
  <si>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</si>
  <si>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</si>
  <si>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</si>
  <si>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</si>
  <si>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</si>
  <si>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</si>
  <si>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</si>
  <si>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</si>
  <si>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</si>
  <si>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</si>
  <si>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</si>
  <si>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</si>
  <si>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</si>
  <si>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</si>
  <si>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</si>
  <si>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</si>
  <si>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</si>
  <si>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</si>
  <si>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</si>
  <si>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</si>
  <si>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</si>
  <si>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</si>
  <si>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</si>
  <si>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</si>
  <si>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</si>
  <si>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</si>
  <si>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</si>
  <si>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</si>
  <si>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</si>
  <si>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</si>
  <si>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</si>
  <si>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</si>
  <si>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</si>
  <si>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</si>
  <si>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</si>
  <si>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</si>
  <si>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</si>
  <si>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</si>
  <si>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</si>
  <si>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</si>
  <si>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</si>
  <si>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</si>
  <si>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</si>
  <si>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</si>
  <si>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</si>
  <si>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</si>
  <si>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</si>
  <si>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</si>
  <si>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</si>
  <si>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</si>
  <si>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</si>
  <si>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</si>
  <si>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</si>
  <si>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</si>
  <si>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</si>
  <si>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</si>
  <si>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</si>
  <si>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</si>
  <si>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</si>
  <si>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</si>
  <si>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</si>
  <si>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</si>
  <si>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</si>
  <si>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</si>
  <si>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</si>
  <si>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</si>
  <si>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</si>
  <si>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</si>
  <si>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</si>
  <si>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</si>
  <si>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</si>
  <si>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</si>
  <si>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</si>
  <si>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</si>
  <si>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</si>
  <si>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</si>
  <si>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</si>
  <si>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</si>
  <si>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</si>
  <si>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</si>
  <si>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</si>
  <si>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</si>
  <si>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</si>
  <si>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</si>
  <si>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</si>
  <si>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</si>
  <si>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</si>
  <si>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</si>
  <si>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</si>
  <si>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</si>
  <si>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</si>
  <si>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</si>
  <si>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</si>
  <si>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</si>
  <si>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</si>
  <si>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</si>
  <si>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</si>
  <si>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</si>
  <si>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</si>
  <si>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</si>
  <si>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</si>
  <si>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</si>
  <si>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</si>
  <si>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</si>
  <si>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</si>
  <si>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</si>
  <si>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</si>
  <si>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</si>
  <si>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</si>
  <si>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</si>
  <si>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</si>
  <si>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</si>
  <si>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</si>
  <si>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</si>
  <si>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</si>
  <si>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</si>
  <si>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</si>
  <si>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</si>
  <si>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</si>
  <si>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</si>
  <si>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</si>
  <si>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</si>
  <si>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</si>
  <si>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</si>
  <si>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</si>
  <si>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</si>
  <si>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</si>
  <si>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</si>
  <si>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</si>
  <si>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</si>
  <si>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</si>
  <si>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</si>
  <si>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</si>
  <si>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</si>
  <si>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</si>
  <si>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</si>
  <si>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</si>
  <si>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</si>
  <si>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</si>
  <si>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</si>
  <si>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</si>
  <si>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</si>
  <si>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</si>
  <si>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</si>
  <si>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</si>
  <si>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</si>
  <si>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</si>
  <si>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</si>
  <si>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</si>
  <si>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</si>
  <si>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</si>
  <si>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</si>
  <si>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</si>
  <si>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</si>
  <si>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</si>
  <si>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</si>
  <si>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</si>
  <si>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</si>
  <si>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</si>
  <si>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</si>
  <si>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</si>
  <si>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</si>
  <si>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</si>
  <si>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</si>
  <si>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</si>
  <si>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</si>
  <si>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</si>
  <si>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</si>
  <si>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</si>
  <si>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</si>
  <si>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</si>
  <si>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</si>
  <si>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</si>
  <si>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</si>
  <si>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</si>
  <si>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</si>
  <si>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</si>
  <si>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</si>
  <si>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</si>
  <si>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</si>
  <si>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</si>
  <si>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</si>
  <si>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</si>
  <si>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</si>
  <si>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</si>
  <si>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</si>
  <si>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</si>
  <si>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</si>
  <si>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</si>
  <si>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</si>
  <si>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</si>
  <si>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</si>
  <si>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</si>
  <si>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</si>
  <si>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</si>
  <si>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</si>
  <si>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</si>
  <si>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</si>
  <si>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</si>
  <si>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</si>
  <si>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</si>
  <si>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</si>
  <si>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</si>
  <si>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</si>
  <si>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</si>
  <si>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</si>
  <si>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</si>
  <si>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</si>
  <si>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</si>
  <si>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</si>
  <si>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</si>
  <si>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</si>
  <si>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</si>
  <si>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</si>
  <si>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</si>
  <si>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</si>
  <si>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</si>
  <si>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</si>
  <si>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</si>
  <si>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</si>
  <si>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</si>
  <si>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</si>
  <si>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</si>
  <si>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</si>
  <si>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</si>
  <si>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</si>
  <si>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</si>
  <si>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</si>
  <si>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</si>
  <si>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</si>
  <si>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</si>
  <si>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</si>
  <si>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</si>
  <si>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</si>
  <si>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</si>
  <si>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</si>
  <si>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</si>
  <si>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</si>
  <si>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</si>
  <si>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</si>
  <si>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</si>
  <si>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</si>
  <si>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</si>
  <si>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</si>
  <si>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</si>
  <si>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</si>
  <si>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</si>
  <si>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</si>
  <si>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</si>
  <si>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</si>
  <si>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</si>
  <si>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</si>
  <si>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</si>
  <si>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</si>
  <si>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</si>
  <si>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</si>
  <si>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</si>
  <si>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</si>
  <si>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</si>
  <si>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</si>
  <si>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</si>
  <si>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</si>
  <si>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</si>
  <si>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</si>
  <si>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</si>
  <si>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</si>
  <si>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</si>
  <si>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</si>
  <si>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</si>
  <si>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</si>
  <si>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</si>
  <si>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</si>
  <si>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</si>
  <si>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</si>
  <si>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</si>
  <si>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</si>
  <si>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</si>
  <si>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</si>
  <si>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</si>
  <si>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</si>
  <si>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</si>
  <si>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</si>
  <si>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</si>
  <si>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</si>
  <si>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</si>
  <si>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</si>
  <si>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</si>
  <si>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</si>
  <si>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</si>
  <si>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</si>
  <si>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</si>
  <si>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</si>
  <si>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</si>
  <si>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</si>
  <si>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</si>
  <si>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</si>
  <si>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</si>
  <si>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</si>
  <si>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</si>
  <si>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</si>
  <si>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</si>
  <si>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</si>
  <si>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</si>
  <si>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</si>
  <si>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</si>
  <si>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</si>
  <si>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</si>
  <si>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</si>
  <si>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</si>
  <si>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</si>
  <si>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</si>
  <si>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</si>
  <si>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</si>
  <si>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</si>
  <si>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</si>
  <si>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</si>
  <si>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</si>
  <si>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</si>
  <si>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</si>
  <si>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</si>
  <si>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</si>
  <si>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</si>
  <si>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</si>
  <si>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</si>
  <si>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</si>
  <si>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</si>
  <si>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</si>
  <si>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</si>
  <si>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</si>
  <si>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</si>
  <si>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</si>
  <si>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</si>
  <si>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</si>
  <si>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</si>
  <si>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</si>
  <si>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</si>
  <si>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</si>
  <si>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</si>
  <si>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</si>
  <si>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</si>
  <si>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</si>
  <si>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</si>
  <si>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</si>
  <si>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</si>
  <si>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</si>
  <si>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</si>
  <si>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</si>
  <si>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</si>
  <si>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</si>
  <si>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</si>
  <si>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</si>
  <si>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</si>
  <si>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</si>
  <si>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</si>
  <si>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</si>
  <si>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</si>
  <si>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</si>
  <si>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</si>
  <si>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</si>
  <si>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</si>
  <si>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</si>
  <si>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</si>
  <si>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</si>
  <si>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</si>
  <si>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</si>
  <si>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</si>
  <si>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</si>
  <si>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</si>
  <si>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</si>
  <si>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</si>
  <si>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</si>
  <si>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</si>
  <si>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</si>
  <si>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</si>
  <si>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</si>
  <si>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</si>
  <si>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</si>
  <si>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</si>
  <si>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</si>
  <si>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</si>
  <si>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</si>
  <si>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</si>
  <si>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</si>
  <si>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</si>
  <si>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</si>
  <si>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</si>
  <si>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</si>
  <si>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</si>
  <si>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</si>
  <si>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</si>
  <si>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</si>
  <si>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</si>
  <si>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</si>
  <si>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</si>
  <si>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</si>
  <si>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</si>
  <si>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</si>
  <si>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</si>
  <si>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</si>
  <si>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</si>
  <si>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</si>
  <si>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</si>
  <si>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</si>
  <si>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</si>
  <si>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</si>
  <si>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</si>
  <si>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</si>
  <si>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</si>
  <si>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</si>
  <si>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</si>
  <si>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</si>
  <si>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</si>
  <si>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</si>
  <si>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</si>
  <si>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</si>
  <si>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</si>
  <si>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</si>
  <si>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</si>
  <si>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</si>
  <si>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</si>
  <si>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</si>
  <si>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</si>
  <si>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</si>
  <si>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</si>
  <si>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</si>
  <si>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</si>
  <si>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</si>
  <si>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</si>
  <si>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</si>
  <si>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</si>
  <si>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</si>
  <si>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</si>
  <si>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</si>
  <si>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</si>
  <si>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</si>
  <si>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</si>
  <si>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</si>
  <si>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</si>
  <si>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</si>
  <si>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</si>
  <si>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</si>
  <si>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</si>
  <si>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</si>
  <si>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</si>
  <si>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</si>
  <si>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</si>
  <si>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</si>
  <si>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</si>
  <si>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</si>
  <si>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</si>
  <si>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</si>
  <si>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</si>
  <si>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</si>
  <si>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</si>
  <si>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</si>
  <si>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</si>
  <si>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</si>
  <si>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</si>
  <si>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</si>
  <si>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</si>
  <si>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</si>
  <si>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</si>
  <si>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</si>
  <si>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</si>
  <si>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</si>
  <si>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</si>
  <si>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</si>
  <si>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</si>
  <si>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</si>
  <si>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</si>
  <si>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</si>
  <si>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</si>
  <si>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</si>
  <si>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</si>
  <si>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</si>
  <si>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</si>
  <si>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</si>
  <si>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</si>
  <si>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</si>
  <si>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</si>
  <si>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</si>
  <si>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</si>
  <si>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</si>
  <si>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</si>
  <si>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</si>
  <si>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</si>
  <si>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</si>
  <si>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</si>
  <si>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</si>
  <si>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</si>
  <si>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</si>
  <si>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</si>
  <si>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</si>
  <si>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</si>
  <si>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</si>
  <si>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</si>
  <si>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</si>
  <si>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</si>
  <si>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</si>
  <si>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</si>
  <si>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</si>
  <si>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</si>
  <si>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</si>
  <si>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</si>
  <si>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</si>
  <si>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</si>
  <si>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</si>
  <si>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</si>
  <si>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</si>
  <si>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</si>
  <si>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</si>
  <si>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</si>
  <si>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</si>
  <si>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</si>
  <si>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</si>
  <si>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</si>
  <si>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</si>
  <si>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</si>
  <si>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</si>
  <si>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</si>
  <si>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</si>
  <si>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</si>
  <si>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</si>
  <si>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</si>
  <si>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</si>
  <si>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</si>
  <si>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</si>
  <si>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</si>
  <si>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</si>
  <si>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</si>
  <si>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</si>
  <si>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</si>
  <si>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</si>
  <si>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</si>
  <si>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</si>
  <si>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</si>
  <si>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</si>
  <si>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</si>
  <si>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</si>
  <si>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</si>
  <si>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</si>
  <si>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</si>
  <si>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</si>
  <si>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</si>
  <si>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</si>
  <si>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</si>
  <si>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</si>
  <si>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</si>
  <si>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</si>
  <si>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</si>
  <si>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</si>
  <si>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</si>
  <si>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</si>
  <si>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</si>
  <si>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</si>
  <si>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</si>
  <si>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</si>
  <si>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</si>
  <si>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</si>
  <si>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</si>
  <si>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</si>
  <si>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</si>
  <si>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</si>
  <si>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</si>
  <si>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</si>
  <si>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</si>
  <si>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</si>
  <si>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</si>
  <si>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</si>
  <si>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</si>
  <si>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</si>
  <si>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</si>
  <si>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</si>
  <si>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</si>
  <si>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</si>
  <si>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</si>
  <si>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</si>
  <si>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</si>
  <si>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</si>
  <si>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</si>
  <si>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</si>
  <si>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</si>
  <si>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</si>
  <si>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</si>
  <si>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</si>
  <si>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</si>
  <si>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</si>
  <si>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</si>
  <si>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</si>
  <si>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</si>
  <si>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</si>
  <si>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</si>
  <si>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</si>
  <si>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</si>
  <si>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</si>
  <si>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</si>
  <si>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</si>
  <si>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</si>
  <si>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</si>
  <si>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</si>
  <si>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</si>
  <si>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</si>
  <si>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</si>
  <si>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 MATEU</t>
  </si>
  <si>
    <t>DANILO KONATAR</t>
  </si>
  <si>
    <t>TATJANA CETKOVIC</t>
  </si>
  <si>
    <t>08:48</t>
  </si>
  <si>
    <t>08:03</t>
  </si>
  <si>
    <t>09:33</t>
  </si>
  <si>
    <t>08:25</t>
  </si>
  <si>
    <t>06:51</t>
  </si>
  <si>
    <t>Very good work. The assists I’ve had you add are no different from the ones you’ve noted yourselves in other plays.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</si>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</sst>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16_159_BUD_NIN_U2025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46049.791666666664</v>
      </c>
      <c r="C3" s="157"/>
      <c r="D3" s="39">
        <v>612</v>
      </c>
      <c r="E3" s="29"/>
      <c r="F3" s="26">
        <f>SUBTOTAL(3,I17:I106)</f>
        <v>5</v>
      </c>
      <c r="G3" s="27">
        <f>IF(OR(D3="",D3=0),"",F3/D3)</f>
        <v>8.1699346405228763E-3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Buducnost VOLI Podgorica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743</v>
      </c>
      <c r="L4" s="5"/>
      <c r="M4" s="167" t="s">
        <v>834</v>
      </c>
      <c r="N4" s="168"/>
      <c r="O4" s="2"/>
      <c r="P4" s="2"/>
      <c r="Q4" s="84" t="s">
        <v>175</v>
      </c>
      <c r="R4" s="94">
        <f>(IF(G3="",0,G3))</f>
        <v>8.1699346405228763E-3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NINERS Chemnitz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0.81699346405228768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719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3.8169934640522878</v>
      </c>
      <c r="N7" s="58"/>
      <c r="O7" s="2"/>
      <c r="P7" s="2"/>
      <c r="Q7" s="86">
        <f>SUM(R5,S5,AC16)</f>
        <v>3.8169934640522878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827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3.8169934640522878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159</v>
      </c>
      <c r="D17" s="32" t="s">
        <v>829</v>
      </c>
      <c r="E17" s="33">
        <v>1</v>
      </c>
      <c r="F17" s="36">
        <v>2</v>
      </c>
      <c r="G17" s="36">
        <v>3</v>
      </c>
      <c r="H17" s="38" t="str">
        <f>IF(I17="","",$I$14)</f>
        <v>SCOUTING</v>
      </c>
      <c r="I17" s="34">
        <v>11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159</v>
      </c>
      <c r="D18" s="32" t="s">
        <v>830</v>
      </c>
      <c r="E18" s="33">
        <v>1</v>
      </c>
      <c r="F18" s="36">
        <v>2</v>
      </c>
      <c r="G18" s="36">
        <v>6</v>
      </c>
      <c r="H18" s="38" t="str">
        <f t="shared" ref="H18:H81" si="8">IF(I18="","",$I$14)</f>
        <v>SCOUTING</v>
      </c>
      <c r="I18" s="34">
        <v>14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159</v>
      </c>
      <c r="D19" s="32" t="s">
        <v>831</v>
      </c>
      <c r="E19" s="33">
        <v>2</v>
      </c>
      <c r="F19" s="36">
        <v>32</v>
      </c>
      <c r="G19" s="36">
        <v>30</v>
      </c>
      <c r="H19" s="38" t="str">
        <f t="shared" si="8"/>
        <v>SCOUTING</v>
      </c>
      <c r="I19" s="34">
        <v>159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159</v>
      </c>
      <c r="D20" s="32" t="s">
        <v>832</v>
      </c>
      <c r="E20" s="33">
        <v>2</v>
      </c>
      <c r="F20" s="36">
        <v>34</v>
      </c>
      <c r="G20" s="36">
        <v>34</v>
      </c>
      <c r="H20" s="38" t="str">
        <f t="shared" si="8"/>
        <v>SCOUTING</v>
      </c>
      <c r="I20" s="34">
        <v>176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159</v>
      </c>
      <c r="D21" s="32" t="s">
        <v>833</v>
      </c>
      <c r="E21" s="33">
        <v>3</v>
      </c>
      <c r="F21" s="36">
        <v>67</v>
      </c>
      <c r="G21" s="36">
        <v>46</v>
      </c>
      <c r="H21" s="38" t="str">
        <f t="shared" si="8"/>
        <v>SCOUTING</v>
      </c>
      <c r="I21" s="34">
        <v>392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"U2025159"</v>
      </c>
      <c r="F3" s="45" t="str">
        <f t="shared" ref="F3:F16" si="0">""""&amp;B3&amp;"""" &amp; " : " &amp;C3&amp;","</f>
        <v>"name" : "U2025159",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"U159"</v>
      </c>
      <c r="F4" s="45" t="str">
        <f t="shared" si="0"/>
        <v>"cod" : "U159",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159</v>
      </c>
      <c r="F6" s="45" t="str">
        <f t="shared" si="0"/>
        <v>"number" : 159,</v>
      </c>
    </row>
    <row r="7" spans="2:6" x14ac:dyDescent="0.25">
      <c r="B7" s="43" t="s">
        <v>116</v>
      </c>
      <c r="C7" s="43" t="str">
        <f ca="1">""""&amp;TEXT('SCOUT &amp; LOGISTICS'!B3,"dd/mm/aaaa")&amp;""""</f>
        <v>"27/01/Tuesday"</v>
      </c>
      <c r="F7" s="45" t="str">
        <f t="shared" ca="1" si="0"/>
        <v>"date" : "27/01/Tuesday",</v>
      </c>
    </row>
    <row r="8" spans="2:6" x14ac:dyDescent="0.25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5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"LAZAR VUJICIC"</v>
      </c>
      <c r="F10" s="45" t="str">
        <f t="shared" si="0"/>
        <v>"Data_entry" : "LAZAR VUJICIC",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"SINISA SEKULIC"</v>
      </c>
      <c r="F11" s="45" t="str">
        <f t="shared" si="0"/>
        <v>"Caller_1" : "SINISA SEKULIC",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"DANILO KONATAR"</v>
      </c>
      <c r="F12" s="45" t="str">
        <f t="shared" si="0"/>
        <v>"Caller_2" : "DANILO KONATAR",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"TATJANA CETKOVIC"</v>
      </c>
      <c r="F13" s="45" t="str">
        <f t="shared" si="0"/>
        <v>"Timerkeeper" : "TATJANA CETKOVIC",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612</v>
      </c>
      <c r="F25" s="45" t="str">
        <f t="shared" ref="F25:F48" si="1">""""&amp;C25&amp;"""" &amp; " : " &amp;D25&amp;","</f>
        <v>"total_actions" : 612,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work. The assists I’ve had you add are no different from the ones you’ve noted yourselves in other plays."</v>
      </c>
      <c r="F51" s="45" t="str">
        <f>""""&amp;B51&amp;"""" &amp; " : " &amp;C51&amp;","</f>
        <v>"comments" : "Very good work. The assists I’ve had you add are no different from the ones you’ve noted yourselves in other plays.",</v>
      </c>
    </row>
    <row r="52" spans="2:6" x14ac:dyDescent="0.25">
      <c r="B52" s="43" t="s">
        <v>153</v>
      </c>
      <c r="C52" s="43" t="str">
        <f>TEXT('SCOUT &amp; LOGISTICS'!F1,"0,0")</f>
        <v>16_159_BUD_NIN_U2025</v>
      </c>
      <c r="F52" s="45" t="str">
        <f>""""&amp;B52&amp;"""" &amp; " : " &amp;C52</f>
        <v>"result" : 16_159_BUD_NIN_U2025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U159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Buducnost Voli Podgorica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Niners Chemnitz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LAZAR VUJICIC</v>
      </c>
      <c r="C8" s="206"/>
      <c r="D8" s="206"/>
      <c r="E8" s="206"/>
      <c r="F8" s="206"/>
      <c r="G8" s="206" t="str">
        <f>IF('SCOUT &amp; LOGISTICS'!D7="","",'SCOUT &amp; LOGISTICS'!D7)</f>
        <v>SINISA SEKULIC</v>
      </c>
      <c r="H8" s="206"/>
      <c r="I8" s="206"/>
      <c r="J8" s="206"/>
      <c r="K8" s="206"/>
      <c r="L8" s="206" t="str">
        <f>IF('SCOUT &amp; LOGISTICS'!D8="","",'SCOUT &amp; LOGISTICS'!D8)</f>
        <v>DANILO KONATAR</v>
      </c>
      <c r="M8" s="206"/>
      <c r="N8" s="206"/>
      <c r="O8" s="206"/>
      <c r="P8" s="206"/>
      <c r="Q8" s="206" t="str">
        <f>IF('SCOUT &amp; LOGISTICS'!D9="","",'SCOUT &amp; LOGISTICS'!D9)</f>
        <v>TATJANA CETKOVIC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8.1699346405228763E-3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work. The assists I’ve had you add are no different from the ones you’ve noted yourselves in other plays.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3.8169934640522878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39848C-14FA-47A5-9815-144D58C481F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2026-01-28T14:59:27Z</cp:lastPrinted>
  <dcterms:created xsi:type="dcterms:W3CDTF">2023-09-19T19:50:35Z</dcterms:created>
  <dcterms:modified xsi:type="dcterms:W3CDTF">2026-01-28T15:01:36Z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