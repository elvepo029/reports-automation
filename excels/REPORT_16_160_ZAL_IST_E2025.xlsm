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659DFE71-3EA5-4DD5-9A06-DED22AD0970A}" xr6:coauthVersionLast="47" xr6:coauthVersionMax="47" xr10:uidLastSave="{4CF4F096-E45A-4E48-B9CC-3755629EACC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<sst xmlns="http://schemas.openxmlformats.org/spreadsheetml/2006/main" count="3258" uniqueCount="763">
  <si>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</si>
  <si>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</si>
  <si>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</si>
  <si>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</si>
  <si>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</si>
  <si>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</si>
  <si>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</si>
  <si>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</si>
  <si>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</si>
  <si>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</si>
  <si>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</si>
  <si>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</si>
  <si>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</si>
  <si>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</si>
  <si>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</si>
  <si>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</si>
  <si>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</si>
  <si>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</si>
  <si>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</si>
  <si>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</si>
  <si>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</si>
  <si>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</si>
  <si>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</si>
  <si>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</si>
  <si>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</si>
  <si>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</si>
  <si>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</si>
  <si>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</si>
  <si>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</si>
  <si>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</si>
  <si>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</si>
  <si>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</si>
  <si>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</si>
  <si>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</si>
  <si>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</si>
  <si>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</si>
  <si>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</si>
  <si>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</si>
  <si>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</si>
  <si>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</si>
  <si>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</si>
  <si>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</si>
  <si>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</si>
  <si>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</si>
  <si>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</si>
  <si>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</si>
  <si>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</si>
  <si>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</si>
  <si>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</si>
  <si>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</si>
  <si>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</si>
  <si>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</si>
  <si>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</si>
  <si>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</si>
  <si>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</si>
  <si>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</si>
  <si>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</si>
  <si>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</si>
  <si>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</si>
  <si>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</si>
  <si>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</si>
  <si>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</si>
  <si>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</si>
  <si>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</si>
  <si>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</si>
  <si>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</si>
  <si>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</si>
  <si>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</si>
  <si>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</si>
  <si>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</si>
  <si>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</si>
  <si>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</si>
  <si>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</si>
  <si>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</si>
  <si>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</si>
  <si>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</si>
  <si>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</si>
  <si>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</si>
  <si>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</si>
  <si>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</si>
  <si>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</si>
  <si>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</si>
  <si>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</si>
  <si>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</si>
  <si>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</si>
  <si>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</si>
  <si>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</si>
  <si>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</si>
  <si>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</si>
  <si>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</si>
  <si>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</si>
  <si>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</si>
  <si>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</si>
  <si>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</si>
  <si>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</si>
  <si>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</si>
  <si>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</si>
  <si>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</si>
  <si>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</si>
  <si>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</si>
  <si>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</si>
  <si>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</si>
  <si>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</si>
  <si>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</si>
  <si>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</si>
  <si>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</si>
  <si>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</si>
  <si>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</si>
  <si>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</si>
  <si>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</si>
  <si>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</si>
  <si>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</si>
  <si>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</si>
  <si>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</si>
  <si>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</si>
  <si>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</si>
  <si>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</si>
  <si>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</si>
  <si>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</si>
  <si>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</si>
  <si>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</si>
  <si>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</si>
  <si>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</si>
  <si>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</si>
  <si>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</si>
  <si>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</si>
  <si>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</si>
  <si>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</si>
  <si>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</si>
  <si>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</si>
  <si>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</si>
  <si>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</si>
  <si>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</si>
  <si>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</si>
  <si>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</si>
  <si>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</si>
  <si>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</si>
  <si>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</si>
  <si>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</si>
  <si>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</si>
  <si>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</si>
  <si>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</si>
  <si>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</si>
  <si>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</si>
  <si>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</si>
  <si>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</si>
  <si>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</si>
  <si>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</si>
  <si>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</si>
  <si>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</si>
  <si>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</si>
  <si>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</si>
  <si>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</si>
  <si>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</si>
  <si>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</si>
  <si>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</si>
  <si>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</si>
  <si>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</si>
  <si>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</si>
  <si>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</si>
  <si>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</si>
  <si>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</si>
  <si>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</si>
  <si>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</si>
  <si>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</si>
  <si>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</si>
  <si>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</si>
  <si>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</si>
  <si>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</si>
  <si>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</si>
  <si>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</si>
  <si>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</si>
  <si>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</si>
  <si>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</si>
  <si>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</si>
  <si>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</si>
  <si>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</si>
  <si>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</si>
  <si>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</si>
  <si>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</si>
  <si>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</si>
  <si>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</si>
  <si>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</si>
  <si>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</si>
  <si>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</si>
  <si>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</si>
  <si>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</si>
  <si>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</si>
  <si>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</si>
  <si>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</si>
  <si>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</si>
  <si>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</si>
  <si>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</si>
  <si>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</si>
  <si>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</si>
  <si>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</si>
  <si>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</si>
  <si>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</si>
  <si>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</si>
  <si>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</si>
  <si>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</si>
  <si>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</si>
  <si>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</si>
  <si>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</si>
  <si>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</si>
  <si>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</si>
  <si>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</si>
  <si>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</si>
  <si>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</si>
  <si>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</si>
  <si>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</si>
  <si>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</si>
  <si>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</si>
  <si>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</si>
  <si>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</si>
  <si>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</si>
  <si>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</si>
  <si>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</si>
  <si>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</si>
  <si>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</si>
  <si>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</si>
  <si>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</si>
  <si>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</si>
  <si>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</si>
  <si>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</si>
  <si>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</si>
  <si>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</si>
  <si>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</si>
  <si>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</si>
  <si>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</si>
  <si>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</si>
  <si>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</si>
  <si>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</si>
  <si>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</si>
  <si>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</si>
  <si>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</si>
  <si>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</si>
  <si>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</si>
  <si>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</si>
  <si>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</si>
  <si>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</si>
  <si>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</si>
  <si>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</si>
  <si>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</si>
  <si>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</si>
  <si>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</si>
  <si>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</si>
  <si>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</si>
  <si>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</si>
  <si>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</si>
  <si>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</si>
  <si>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</si>
  <si>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</si>
  <si>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</si>
  <si>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</si>
  <si>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</si>
  <si>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</si>
  <si>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</si>
  <si>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</si>
  <si>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</si>
  <si>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</si>
  <si>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</si>
  <si>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</si>
  <si>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</si>
  <si>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</si>
  <si>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</si>
  <si>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</si>
  <si>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</si>
  <si>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</si>
  <si>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</si>
  <si>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</si>
  <si>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</si>
  <si>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</si>
  <si>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</si>
  <si>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</si>
  <si>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</si>
  <si>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</si>
  <si>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</si>
  <si>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</si>
  <si>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</si>
  <si>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</si>
  <si>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</si>
  <si>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</si>
  <si>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</si>
  <si>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</si>
  <si>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</si>
  <si>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</si>
  <si>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</si>
  <si>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</si>
  <si>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</si>
  <si>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</si>
  <si>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</si>
  <si>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</si>
  <si>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</si>
  <si>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</si>
  <si>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</si>
  <si>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</si>
  <si>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</si>
  <si>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</si>
  <si>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</si>
  <si>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</si>
  <si>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</si>
  <si>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</si>
  <si>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</si>
  <si>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</si>
  <si>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</si>
  <si>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</si>
  <si>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</si>
  <si>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</si>
  <si>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</si>
  <si>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</si>
  <si>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</si>
  <si>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</si>
  <si>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</si>
  <si>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</si>
  <si>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</si>
  <si>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</si>
  <si>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</si>
  <si>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</si>
  <si>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</si>
  <si>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</si>
  <si>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</si>
  <si>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</si>
  <si>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</si>
  <si>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</si>
  <si>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</si>
  <si>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</si>
  <si>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</si>
  <si>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</si>
  <si>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</si>
  <si>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</si>
  <si>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</si>
  <si>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</si>
  <si>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</si>
  <si>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</si>
  <si>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</si>
  <si>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</si>
  <si>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</si>
  <si>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</si>
  <si>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</si>
  <si>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</si>
  <si>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</si>
  <si>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</si>
  <si>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</si>
  <si>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</si>
  <si>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</si>
  <si>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</si>
  <si>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</si>
  <si>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</si>
  <si>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</si>
  <si>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</si>
  <si>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</si>
  <si>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</si>
  <si>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</si>
  <si>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</si>
  <si>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</si>
  <si>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</si>
  <si>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</si>
  <si>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</si>
  <si>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</si>
  <si>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</si>
  <si>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</si>
  <si>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</si>
  <si>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</si>
  <si>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</si>
  <si>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</si>
  <si>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</si>
  <si>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</si>
  <si>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</si>
  <si>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</si>
  <si>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</si>
  <si>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</si>
  <si>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</si>
  <si>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</si>
  <si>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</si>
  <si>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</si>
  <si>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</si>
  <si>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</si>
  <si>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</si>
  <si>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</si>
  <si>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</si>
  <si>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</si>
  <si>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</si>
  <si>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</si>
  <si>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</si>
  <si>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</si>
  <si>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</si>
  <si>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</si>
  <si>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</si>
  <si>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</si>
  <si>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</si>
  <si>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</si>
  <si>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</si>
  <si>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</si>
  <si>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</si>
  <si>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</si>
  <si>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</si>
  <si>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</si>
  <si>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</si>
  <si>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</si>
  <si>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</si>
  <si>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</si>
  <si>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</si>
  <si>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</si>
  <si>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</si>
  <si>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</si>
  <si>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</si>
  <si>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</si>
  <si>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</si>
  <si>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</si>
  <si>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</si>
  <si>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</si>
  <si>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</si>
  <si>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</si>
  <si>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</si>
  <si>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</si>
  <si>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</si>
  <si>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</si>
  <si>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</si>
  <si>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</si>
  <si>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</si>
  <si>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</si>
  <si>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</si>
  <si>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</si>
  <si>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</si>
  <si>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</si>
  <si>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</si>
  <si>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</si>
  <si>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</si>
  <si>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</si>
  <si>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</si>
  <si>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</si>
  <si>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</si>
  <si>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</si>
  <si>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</si>
  <si>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</si>
  <si>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</si>
  <si>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</si>
  <si>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</si>
  <si>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</si>
  <si>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</si>
  <si>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</si>
  <si>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</si>
  <si>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</si>
  <si>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</si>
  <si>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</si>
  <si>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</si>
  <si>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</si>
  <si>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</si>
  <si>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</si>
  <si>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</si>
  <si>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</si>
  <si>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</si>
  <si>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</si>
  <si>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</si>
  <si>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</si>
  <si>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</si>
  <si>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</si>
  <si>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</si>
  <si>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</si>
  <si>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</si>
  <si>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</si>
  <si>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</si>
  <si>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</si>
  <si>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</si>
  <si>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</si>
  <si>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</si>
  <si>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</si>
  <si>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</si>
  <si>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</si>
  <si>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</si>
  <si>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</si>
  <si>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</si>
  <si>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</si>
  <si>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</si>
  <si>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</si>
  <si>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</si>
  <si>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</si>
  <si>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</si>
  <si>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</si>
  <si>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</si>
  <si>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</si>
  <si>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</si>
  <si>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</si>
  <si>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</si>
  <si>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</si>
  <si>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</si>
  <si>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</si>
  <si>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</si>
  <si>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</si>
  <si>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</si>
  <si>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</si>
  <si>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</si>
  <si>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</si>
  <si>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</si>
  <si>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</si>
  <si>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</si>
  <si>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</si>
  <si>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</si>
  <si>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</si>
  <si>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</si>
  <si>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</si>
  <si>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</si>
  <si>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</si>
  <si>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</si>
  <si>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</si>
  <si>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</si>
  <si>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</si>
  <si>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</si>
  <si>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</si>
  <si>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</si>
  <si>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</si>
  <si>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</si>
  <si>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</si>
  <si>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</si>
  <si>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</si>
  <si>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</si>
  <si>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</si>
  <si>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</si>
  <si>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</si>
  <si>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</si>
  <si>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</si>
  <si>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</si>
  <si>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</si>
  <si>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</si>
  <si>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</si>
  <si>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</si>
  <si>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</si>
  <si>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</si>
  <si>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</si>
  <si>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</si>
  <si>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</si>
  <si>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</si>
  <si>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</si>
  <si>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</si>
  <si>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</si>
  <si>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</si>
  <si>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</si>
  <si>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</si>
  <si>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</si>
  <si>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</si>
  <si>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</si>
  <si>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</si>
  <si>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</si>
  <si>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</si>
  <si>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</si>
  <si>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</si>
  <si>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</si>
  <si>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</si>
  <si>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</si>
  <si>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</si>
  <si>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</si>
  <si>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</si>
  <si>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</si>
  <si>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</si>
  <si>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</si>
  <si>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</si>
  <si>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</si>
  <si>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</si>
  <si>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</si>
  <si>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</si>
  <si>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</si>
  <si>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</si>
  <si>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</si>
  <si>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</si>
  <si>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</si>
  <si>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</si>
  <si>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</si>
  <si>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</si>
  <si>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</si>
  <si>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</si>
  <si>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</si>
  <si>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</si>
  <si>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</si>
  <si>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</si>
  <si>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</si>
  <si>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</si>
  <si>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</si>
  <si>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</si>
  <si>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</si>
  <si>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</si>
  <si>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</si>
  <si>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</si>
  <si>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</si>
  <si>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</si>
  <si>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</si>
  <si>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</si>
  <si>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</si>
  <si>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</si>
  <si>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</si>
  <si>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</si>
  <si>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</si>
  <si>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</si>
  <si>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</si>
  <si>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</si>
  <si>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</si>
  <si>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</si>
  <si>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</si>
  <si>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</si>
  <si>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</si>
  <si>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</si>
  <si>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</si>
  <si>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</si>
  <si>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</si>
  <si>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</si>
  <si>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</si>
  <si>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</si>
  <si>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</si>
  <si>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</si>
  <si>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</si>
  <si>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</si>
  <si>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</si>
  <si>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</si>
  <si>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</si>
  <si>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</si>
  <si>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</si>
  <si>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</si>
  <si>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</si>
  <si>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</si>
  <si>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</si>
  <si>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</si>
  <si>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</si>
  <si>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</si>
  <si>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</si>
  <si>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</si>
  <si>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</si>
  <si>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</si>
  <si>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</si>
  <si>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</si>
  <si>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</si>
  <si>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</si>
  <si>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</si>
  <si>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</si>
  <si>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</si>
  <si>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</si>
  <si>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</si>
  <si>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</si>
  <si>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</si>
  <si>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</si>
  <si>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</si>
  <si>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</si>
  <si>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</si>
  <si>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</si>
  <si>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</si>
  <si>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</si>
  <si>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</si>
  <si>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</si>
  <si>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</si>
  <si>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</si>
  <si>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</si>
  <si>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</si>
  <si>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</si>
  <si>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</si>
  <si>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</si>
  <si>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</si>
  <si>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</si>
  <si>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</si>
  <si>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</si>
  <si>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</si>
  <si>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</si>
  <si>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</si>
  <si>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</si>
  <si>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</si>
  <si>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</si>
  <si>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</si>
  <si>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</si>
  <si>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</si>
  <si>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</si>
  <si>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</si>
  <si>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</si>
  <si>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</si>
  <si>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</si>
  <si>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</si>
  <si>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</si>
  <si>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</si>
  <si>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</si>
  <si>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</si>
  <si>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</si>
  <si>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</si>
  <si>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</si>
  <si>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</si>
  <si>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</si>
  <si>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</si>
  <si>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</si>
  <si>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</si>
  <si>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</si>
  <si>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</si>
  <si>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</si>
  <si>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</si>
  <si>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</si>
  <si>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</si>
  <si>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</si>
  <si>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</si>
  <si>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</si>
  <si>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</si>
  <si>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</si>
  <si>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</si>
  <si>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</si>
  <si>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</si>
  <si>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</si>
  <si>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</si>
  <si>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</si>
  <si>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</si>
  <si>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</si>
  <si>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</si>
  <si>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</si>
  <si>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</si>
  <si>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</si>
  <si>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</si>
  <si>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</si>
  <si>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</si>
  <si>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</si>
  <si>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</si>
  <si>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</si>
  <si>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</si>
  <si>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</si>
  <si>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</si>
  <si>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</si>
  <si>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</si>
  <si>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</si>
  <si>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</si>
  <si>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</si>
  <si>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</si>
  <si>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</si>
  <si>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</si>
  <si>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</si>
  <si>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</si>
  <si>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</si>
  <si>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</si>
  <si>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</si>
  <si>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</si>
  <si>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</si>
  <si>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</si>
  <si>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</si>
  <si>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</si>
  <si>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</si>
  <si>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</si>
  <si>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</si>
  <si>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</si>
  <si>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</si>
  <si>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</si>
  <si>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</si>
  <si>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</si>
  <si>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</si>
  <si>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</si>
  <si>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</si>
  <si>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</si>
  <si>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</si>
  <si>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</si>
  <si>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</si>
  <si>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</si>
  <si>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GIEDRE GARCINSKAITE</t>
  </si>
  <si>
    <t>RASA KIZIKAITE</t>
  </si>
  <si>
    <t>AUKSE ZAKRIENE</t>
  </si>
  <si>
    <t>VUTAUTAS RUDZEVICIUS</t>
  </si>
  <si>
    <t>MINDAUGAS RUDZEVICIUS</t>
  </si>
  <si>
    <t>NERIJUS MAINONIS</t>
  </si>
  <si>
    <t>AS USUAL, VERY EFFICIENT</t>
  </si>
  <si>
    <t>GOOD COMMUNICATION. GOOD CORRECTIONS (ACCURATE AND FAST). VERY GOOD INICIATIVE ON ASKING WHEN IN DOUBT (AN ASSUMING THE INSTRUCTIONS AND DECISIONS). NO "MISTAKES", JUST SOME CORRECTIONS OR EDITS</t>
  </si>
  <si>
    <t>4:19</t>
  </si>
  <si>
    <t>NO BLOCK, NO SHOTS, JUST A TO AND STL</t>
  </si>
  <si>
    <t>4:59</t>
  </si>
  <si>
    <t>IT WAS A MISSCLICK, IT WAS AN STL INSTEAD OF A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</si>
</sst>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3" sqref="M2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16_160_ZAL_IST_E2025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46008.833333333336</v>
      </c>
      <c r="C3" s="157"/>
      <c r="D3" s="39">
        <v>552</v>
      </c>
      <c r="E3" s="29"/>
      <c r="F3" s="26">
        <f>SUBTOTAL(3,I17:I106)</f>
        <v>2</v>
      </c>
      <c r="G3" s="27">
        <f>IF(OR(D3="",D3=0),"",F3/D3)</f>
        <v>3.6231884057971015E-3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3.6231884057971015E-3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0.36231884057971014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4.36231884057971</v>
      </c>
      <c r="N7" s="58"/>
      <c r="O7" s="2"/>
      <c r="P7" s="2"/>
      <c r="Q7" s="86">
        <f>SUM(R5,S5,AC16)</f>
        <v>4.36231884057971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4.36231884057971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757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160</v>
      </c>
      <c r="D17" s="32" t="s">
        <v>759</v>
      </c>
      <c r="E17" s="33">
        <v>2</v>
      </c>
      <c r="F17" s="36">
        <v>28</v>
      </c>
      <c r="G17" s="36">
        <v>34</v>
      </c>
      <c r="H17" s="38" t="str">
        <f>IF(I17="","",$I$14)</f>
        <v>SCOUTING</v>
      </c>
      <c r="I17" s="34">
        <v>238</v>
      </c>
      <c r="J17" s="13" t="s">
        <v>4</v>
      </c>
      <c r="K17" s="13" t="s">
        <v>62</v>
      </c>
      <c r="L17" s="13" t="s">
        <v>48</v>
      </c>
      <c r="M17" s="13" t="s">
        <v>12</v>
      </c>
      <c r="N17" s="35" t="s">
        <v>760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160</v>
      </c>
      <c r="D18" s="32" t="s">
        <v>761</v>
      </c>
      <c r="E18" s="33">
        <v>4</v>
      </c>
      <c r="F18" s="36">
        <v>59</v>
      </c>
      <c r="G18" s="36">
        <v>73</v>
      </c>
      <c r="H18" s="38" t="str">
        <f t="shared" ref="H18:H81" si="8">IF(I18="","",$I$14)</f>
        <v>SCOUTING</v>
      </c>
      <c r="I18" s="34">
        <v>479</v>
      </c>
      <c r="J18" s="13" t="s">
        <v>4</v>
      </c>
      <c r="K18" s="13" t="s">
        <v>63</v>
      </c>
      <c r="L18" s="13" t="s">
        <v>48</v>
      </c>
      <c r="M18" s="13" t="s">
        <v>9</v>
      </c>
      <c r="N18" s="35" t="s">
        <v>762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"E2025160"</v>
      </c>
      <c r="F3" s="45" t="str">
        <f t="shared" ref="F3:F16" si="0">""""&amp;B3&amp;"""" &amp; " : " &amp;C3&amp;","</f>
        <v>"name" : "E2025160",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"E160"</v>
      </c>
      <c r="F4" s="45" t="str">
        <f t="shared" si="0"/>
        <v>"cod" : "E160",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160</v>
      </c>
      <c r="F6" s="45" t="str">
        <f t="shared" si="0"/>
        <v>"number" : 160,</v>
      </c>
    </row>
    <row r="7" spans="2:6" x14ac:dyDescent="0.2">
      <c r="B7" s="43" t="s">
        <v>116</v>
      </c>
      <c r="C7" s="43" t="str">
        <f ca="1">""""&amp;TEXT('SCOUT &amp; LOGISTICS'!B3,"dd/mm/aaaa")&amp;""""</f>
        <v>"17/12/2025"</v>
      </c>
      <c r="F7" s="45" t="str">
        <f t="shared" ca="1" si="0"/>
        <v>"date" : "17/12/2025",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"VUTAUTAS RUDZEVICIUS"</v>
      </c>
      <c r="F13" s="45" t="str">
        <f t="shared" si="0"/>
        <v>"Timerkeeper" : "VUTAUTAS RUDZEVICIUS",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552</v>
      </c>
      <c r="F25" s="45" t="str">
        <f t="shared" ref="F25:F48" si="1">""""&amp;C25&amp;"""" &amp; " : " &amp;D25&amp;","</f>
        <v>"total_actions" : 552,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COMMUNICATION. GOOD CORRECTIONS (ACCURATE AND FAST). VERY GOOD INICIATIVE ON ASKING WHEN IN DOUBT (AN ASSUMING THE INSTRUCTIONS AND DECISIONS). NO "MISTAKES", JUST SOME CORRECTIONS OR EDITS"</v>
      </c>
      <c r="F51" s="45" t="str">
        <f>""""&amp;B51&amp;"""" &amp; " : " &amp;C51&amp;","</f>
        <v>"comments" : "GOOD COMMUNICATION. GOOD CORRECTIONS (ACCURATE AND FAST). VERY GOOD INICIATIVE ON ASKING WHEN IN DOUBT (AN ASSUMING THE INSTRUCTIONS AND DECISIONS). NO "MISTAKES", JUST SOME CORRECTIONS OR EDITS",</v>
      </c>
    </row>
    <row r="52" spans="2:6" x14ac:dyDescent="0.2">
      <c r="B52" s="43" t="s">
        <v>153</v>
      </c>
      <c r="C52" s="43" t="str">
        <f>TEXT('SCOUT &amp; LOGISTICS'!F1,"0,0")</f>
        <v>16_160_ZAL_IST_E2025</v>
      </c>
      <c r="F52" s="45" t="str">
        <f>""""&amp;B52&amp;"""" &amp; " : " &amp;C52</f>
        <v>"result" : 16_160_ZAL_IST_E2025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E160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17/12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VUTAUTAS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3.6231884057971015E-3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COMMUNICATION. GOOD CORRECTIONS (ACCURATE AND FAST). VERY GOOD INICIATIVE ON ASKING WHEN IN DOUBT (AN ASSUMING THE INSTRUCTIONS AND DECISIONS). NO "MISTAKES", JUST SOME CORRECTIONS OR EDITS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4.36231884057971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4119A6-A40D-48E7-868F-1487087684D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2025-12-18T17:29:07Z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