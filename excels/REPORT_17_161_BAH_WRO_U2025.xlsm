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94" documentId="8_{0F8182A8-7DB7-4E47-9DF3-051600FB566C}" xr6:coauthVersionLast="47" xr6:coauthVersionMax="47" xr10:uidLastSave="{546FF127-7A19-44CB-8EF0-1ECFA8180F6F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<sst xmlns="http://schemas.openxmlformats.org/spreadsheetml/2006/main" count="3372" uniqueCount="841">
  <si>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</si>
  <si>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</si>
  <si>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</si>
  <si>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</si>
  <si>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</si>
  <si>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</si>
  <si>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</si>
  <si>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</si>
  <si>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</si>
  <si>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</si>
  <si>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</si>
  <si>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</si>
  <si>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</si>
  <si>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</si>
  <si>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</si>
  <si>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</si>
  <si>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</si>
  <si>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</si>
  <si>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</si>
  <si>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</si>
  <si>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</si>
  <si>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</si>
  <si>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</si>
  <si>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</si>
  <si>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</si>
  <si>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</si>
  <si>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</si>
  <si>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</si>
  <si>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</si>
  <si>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</si>
  <si>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</si>
  <si>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</si>
  <si>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</si>
  <si>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</si>
  <si>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</si>
  <si>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</si>
  <si>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</si>
  <si>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</si>
  <si>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</si>
  <si>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</si>
  <si>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</si>
  <si>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</si>
  <si>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</si>
  <si>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</si>
  <si>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</si>
  <si>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</si>
  <si>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</si>
  <si>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</si>
  <si>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</si>
  <si>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</si>
  <si>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</si>
  <si>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</si>
  <si>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</si>
  <si>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</si>
  <si>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</si>
  <si>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</si>
  <si>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</si>
  <si>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</si>
  <si>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</si>
  <si>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</si>
  <si>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</si>
  <si>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</si>
  <si>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</si>
  <si>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</si>
  <si>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</si>
  <si>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</si>
  <si>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</si>
  <si>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</si>
  <si>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</si>
  <si>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</si>
  <si>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</si>
  <si>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</si>
  <si>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</si>
  <si>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</si>
  <si>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</si>
  <si>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</si>
  <si>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</si>
  <si>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</si>
  <si>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</si>
  <si>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</si>
  <si>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</si>
  <si>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</si>
  <si>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</si>
  <si>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</si>
  <si>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</si>
  <si>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</si>
  <si>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</si>
  <si>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</si>
  <si>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</si>
  <si>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</si>
  <si>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</si>
  <si>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</si>
  <si>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</si>
  <si>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</si>
  <si>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</si>
  <si>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</si>
  <si>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</si>
  <si>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</si>
  <si>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</si>
  <si>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</si>
  <si>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</si>
  <si>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</si>
  <si>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</si>
  <si>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</si>
  <si>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</si>
  <si>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</si>
  <si>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</si>
  <si>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</si>
  <si>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</si>
  <si>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</si>
  <si>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</si>
  <si>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</si>
  <si>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</si>
  <si>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</si>
  <si>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</si>
  <si>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</si>
  <si>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</si>
  <si>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</si>
  <si>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</si>
  <si>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</si>
  <si>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</si>
  <si>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</si>
  <si>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</si>
  <si>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</si>
  <si>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</si>
  <si>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</si>
  <si>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</si>
  <si>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</si>
  <si>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</si>
  <si>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</si>
  <si>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</si>
  <si>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</si>
  <si>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</si>
  <si>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</si>
  <si>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</si>
  <si>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</si>
  <si>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</si>
  <si>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</si>
  <si>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</si>
  <si>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</si>
  <si>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</si>
  <si>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</si>
  <si>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</si>
  <si>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</si>
  <si>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</si>
  <si>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</si>
  <si>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</si>
  <si>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</si>
  <si>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</si>
  <si>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</si>
  <si>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</si>
  <si>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</si>
  <si>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</si>
  <si>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</si>
  <si>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</si>
  <si>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</si>
  <si>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</si>
  <si>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</si>
  <si>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</si>
  <si>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</si>
  <si>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</si>
  <si>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</si>
  <si>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</si>
  <si>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</si>
  <si>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</si>
  <si>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</si>
  <si>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</si>
  <si>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</si>
  <si>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</si>
  <si>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</si>
  <si>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</si>
  <si>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</si>
  <si>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</si>
  <si>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</si>
  <si>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</si>
  <si>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</si>
  <si>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</si>
  <si>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</si>
  <si>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</si>
  <si>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</si>
  <si>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</si>
  <si>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</si>
  <si>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</si>
  <si>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</si>
  <si>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</si>
  <si>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</si>
  <si>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</si>
  <si>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</si>
  <si>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</si>
  <si>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</si>
  <si>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</si>
  <si>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</si>
  <si>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</si>
  <si>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</si>
  <si>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</si>
  <si>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</si>
  <si>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</si>
  <si>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</si>
  <si>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</si>
  <si>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</si>
  <si>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</si>
  <si>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</si>
  <si>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</si>
  <si>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</si>
  <si>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</si>
  <si>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</si>
  <si>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</si>
  <si>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</si>
  <si>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</si>
  <si>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</si>
  <si>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</si>
  <si>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</si>
  <si>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</si>
  <si>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</si>
  <si>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</si>
  <si>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</si>
  <si>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</si>
  <si>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</si>
  <si>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</si>
  <si>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</si>
  <si>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</si>
  <si>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</si>
  <si>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</si>
  <si>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</si>
  <si>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</si>
  <si>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</si>
  <si>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</si>
  <si>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</si>
  <si>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</si>
  <si>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</si>
  <si>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</si>
  <si>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</si>
  <si>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</si>
  <si>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</si>
  <si>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</si>
  <si>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</si>
  <si>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</si>
  <si>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</si>
  <si>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</si>
  <si>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</si>
  <si>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</si>
  <si>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</si>
  <si>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</si>
  <si>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</si>
  <si>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</si>
  <si>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</si>
  <si>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</si>
  <si>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</si>
  <si>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</si>
  <si>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</si>
  <si>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</si>
  <si>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</si>
  <si>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</si>
  <si>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</si>
  <si>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</si>
  <si>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</si>
  <si>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</si>
  <si>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</si>
  <si>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</si>
  <si>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</si>
  <si>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</si>
  <si>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</si>
  <si>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</si>
  <si>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</si>
  <si>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</si>
  <si>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</si>
  <si>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</si>
  <si>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</si>
  <si>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</si>
  <si>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</si>
  <si>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</si>
  <si>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</si>
  <si>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</si>
  <si>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</si>
  <si>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</si>
  <si>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</si>
  <si>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</si>
  <si>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</si>
  <si>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</si>
  <si>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</si>
  <si>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</si>
  <si>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</si>
  <si>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</si>
  <si>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</si>
  <si>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</si>
  <si>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</si>
  <si>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</si>
  <si>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</si>
  <si>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</si>
  <si>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</si>
  <si>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</si>
  <si>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</si>
  <si>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</si>
  <si>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</si>
  <si>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</si>
  <si>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</si>
  <si>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</si>
  <si>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</si>
  <si>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</si>
  <si>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</si>
  <si>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</si>
  <si>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</si>
  <si>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</si>
  <si>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</si>
  <si>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</si>
  <si>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</si>
  <si>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</si>
  <si>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</si>
  <si>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</si>
  <si>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</si>
  <si>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</si>
  <si>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</si>
  <si>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</si>
  <si>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</si>
  <si>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</si>
  <si>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</si>
  <si>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</si>
  <si>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</si>
  <si>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</si>
  <si>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</si>
  <si>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</si>
  <si>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</si>
  <si>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</si>
  <si>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</si>
  <si>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</si>
  <si>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</si>
  <si>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</si>
  <si>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</si>
  <si>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</si>
  <si>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</si>
  <si>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</si>
  <si>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</si>
  <si>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</si>
  <si>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</si>
  <si>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</si>
  <si>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</si>
  <si>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</si>
  <si>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</si>
  <si>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</si>
  <si>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</si>
  <si>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</si>
  <si>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</si>
  <si>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</si>
  <si>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</si>
  <si>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</si>
  <si>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</si>
  <si>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</si>
  <si>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</si>
  <si>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</si>
  <si>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</si>
  <si>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</si>
  <si>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</si>
  <si>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</si>
  <si>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</si>
  <si>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</si>
  <si>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</si>
  <si>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</si>
  <si>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</si>
  <si>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</si>
  <si>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</si>
  <si>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</si>
  <si>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</si>
  <si>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</si>
  <si>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</si>
  <si>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</si>
  <si>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</si>
  <si>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</si>
  <si>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</si>
  <si>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</si>
  <si>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</si>
  <si>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</si>
  <si>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</si>
  <si>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</si>
  <si>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</si>
  <si>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</si>
  <si>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</si>
  <si>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</si>
  <si>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</si>
  <si>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</si>
  <si>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</si>
  <si>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</si>
  <si>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</si>
  <si>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</si>
  <si>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</si>
  <si>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</si>
  <si>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</si>
  <si>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</si>
  <si>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</si>
  <si>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</si>
  <si>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</si>
  <si>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</si>
  <si>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</si>
  <si>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</si>
  <si>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</si>
  <si>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</si>
  <si>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</si>
  <si>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</si>
  <si>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</si>
  <si>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</si>
  <si>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</si>
  <si>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</si>
  <si>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</si>
  <si>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</si>
  <si>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</si>
  <si>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</si>
  <si>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</si>
  <si>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</si>
  <si>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</si>
  <si>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</si>
  <si>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</si>
  <si>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</si>
  <si>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</si>
  <si>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</si>
  <si>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</si>
  <si>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</si>
  <si>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</si>
  <si>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</si>
  <si>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</si>
  <si>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</si>
  <si>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</si>
  <si>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</si>
  <si>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</si>
  <si>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</si>
  <si>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</si>
  <si>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</si>
  <si>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</si>
  <si>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</si>
  <si>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</si>
  <si>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</si>
  <si>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</si>
  <si>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</si>
  <si>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</si>
  <si>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</si>
  <si>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</si>
  <si>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</si>
  <si>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</si>
  <si>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</si>
  <si>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</si>
  <si>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</si>
  <si>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</si>
  <si>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</si>
  <si>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</si>
  <si>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</si>
  <si>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</si>
  <si>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</si>
  <si>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</si>
  <si>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</si>
  <si>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</si>
  <si>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</si>
  <si>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</si>
  <si>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</si>
  <si>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</si>
  <si>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</si>
  <si>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</si>
  <si>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</si>
  <si>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</si>
  <si>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</si>
  <si>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</si>
  <si>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</si>
  <si>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</si>
  <si>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</si>
  <si>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</si>
  <si>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</si>
  <si>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</si>
  <si>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</si>
  <si>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</si>
  <si>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</si>
  <si>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</si>
  <si>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</si>
  <si>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</si>
  <si>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</si>
  <si>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</si>
  <si>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</si>
  <si>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</si>
  <si>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</si>
  <si>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</si>
  <si>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</si>
  <si>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</si>
  <si>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</si>
  <si>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</si>
  <si>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</si>
  <si>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</si>
  <si>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</si>
  <si>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</si>
  <si>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</si>
  <si>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</si>
  <si>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</si>
  <si>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</si>
  <si>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</si>
  <si>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</si>
  <si>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</si>
  <si>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</si>
  <si>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</si>
  <si>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</si>
  <si>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</si>
  <si>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</si>
  <si>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</si>
  <si>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</si>
  <si>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</si>
  <si>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</si>
  <si>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</si>
  <si>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</si>
  <si>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</si>
  <si>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</si>
  <si>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</si>
  <si>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</si>
  <si>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</si>
  <si>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</si>
  <si>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</si>
  <si>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</si>
  <si>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</si>
  <si>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</si>
  <si>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</si>
  <si>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</si>
  <si>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</si>
  <si>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</si>
  <si>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</si>
  <si>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</si>
  <si>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</si>
  <si>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</si>
  <si>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</si>
  <si>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</si>
  <si>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</si>
  <si>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</si>
  <si>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</si>
  <si>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</si>
  <si>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</si>
  <si>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</si>
  <si>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</si>
  <si>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</si>
  <si>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</si>
  <si>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</si>
  <si>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</si>
  <si>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</si>
  <si>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</si>
  <si>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</si>
  <si>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</si>
  <si>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</si>
  <si>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</si>
  <si>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</si>
  <si>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</si>
  <si>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</si>
  <si>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</si>
  <si>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</si>
  <si>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</si>
  <si>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</si>
  <si>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</si>
  <si>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</si>
  <si>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</si>
  <si>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</si>
  <si>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</si>
  <si>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</si>
  <si>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</si>
  <si>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</si>
  <si>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</si>
  <si>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</si>
  <si>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</si>
  <si>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</si>
  <si>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</si>
  <si>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</si>
  <si>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</si>
  <si>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</si>
  <si>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</si>
  <si>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</si>
  <si>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</si>
  <si>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</si>
  <si>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</si>
  <si>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</si>
  <si>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</si>
  <si>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</si>
  <si>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</si>
  <si>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</si>
  <si>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</si>
  <si>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</si>
  <si>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</si>
  <si>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</si>
  <si>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</si>
  <si>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</si>
  <si>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</si>
  <si>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</si>
  <si>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</si>
  <si>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</si>
  <si>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</si>
  <si>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</si>
  <si>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</si>
  <si>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</si>
  <si>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</si>
  <si>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</si>
  <si>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</si>
  <si>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</si>
  <si>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</si>
  <si>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</si>
  <si>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</si>
  <si>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</si>
  <si>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</si>
  <si>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</si>
  <si>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</si>
  <si>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</si>
  <si>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</si>
  <si>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</si>
  <si>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</si>
  <si>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</si>
  <si>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</si>
  <si>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</si>
  <si>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</si>
  <si>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</si>
  <si>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</si>
  <si>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</si>
  <si>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</si>
  <si>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</si>
  <si>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</si>
  <si>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</si>
  <si>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</si>
  <si>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</si>
  <si>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</si>
  <si>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</si>
  <si>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</si>
  <si>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</si>
  <si>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</si>
  <si>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</si>
  <si>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</si>
  <si>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</si>
  <si>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</si>
  <si>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</si>
  <si>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</si>
  <si>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</si>
  <si>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</si>
  <si>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</si>
  <si>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</si>
  <si>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</si>
  <si>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</si>
  <si>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</si>
  <si>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</si>
  <si>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</si>
  <si>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</si>
  <si>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</si>
  <si>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</si>
  <si>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</si>
  <si>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</si>
  <si>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</si>
  <si>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</si>
  <si>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</si>
  <si>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</si>
  <si>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</si>
  <si>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</si>
  <si>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</si>
  <si>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</si>
  <si>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</si>
  <si>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</si>
  <si>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</si>
  <si>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</si>
  <si>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</si>
  <si>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</si>
  <si>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</si>
  <si>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</si>
  <si>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</si>
  <si>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</si>
  <si>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</si>
  <si>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</si>
  <si>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</si>
  <si>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</si>
  <si>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</si>
  <si>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</si>
  <si>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</si>
  <si>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</si>
  <si>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</si>
  <si>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</si>
  <si>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</si>
  <si>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</si>
  <si>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</si>
  <si>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</si>
  <si>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</si>
  <si>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</si>
  <si>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</si>
  <si>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</si>
  <si>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</si>
  <si>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</si>
  <si>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</si>
  <si>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</si>
  <si>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</si>
  <si>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</si>
  <si>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</si>
  <si>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</si>
  <si>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</si>
  <si>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</si>
  <si>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</si>
  <si>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</si>
  <si>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</si>
  <si>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</si>
  <si>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</si>
  <si>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</si>
  <si>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</si>
  <si>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</si>
  <si>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</si>
  <si>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</si>
  <si>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</si>
  <si>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</si>
  <si>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</si>
  <si>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</si>
  <si>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</si>
  <si>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</si>
  <si>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</si>
  <si>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</si>
  <si>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</si>
  <si>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</si>
  <si>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</si>
  <si>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</si>
  <si>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</si>
  <si>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</si>
  <si>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</si>
  <si>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</si>
  <si>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</si>
  <si>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</si>
  <si>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</si>
  <si>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</si>
  <si>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</si>
  <si>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</si>
  <si>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</si>
  <si>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</si>
  <si>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</si>
  <si>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</si>
  <si>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</si>
  <si>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</si>
  <si>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</si>
  <si>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</si>
  <si>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</si>
  <si>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</si>
  <si>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</si>
  <si>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</si>
  <si>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</si>
  <si>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</si>
  <si>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</si>
  <si>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</si>
  <si>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</si>
  <si>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</si>
  <si>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</si>
  <si>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</si>
  <si>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</si>
  <si>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</si>
  <si>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</si>
  <si>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</si>
  <si>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</si>
  <si>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</si>
  <si>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</si>
  <si>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</si>
  <si>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</si>
  <si>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</si>
  <si>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</si>
  <si>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</si>
  <si>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</si>
  <si>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</si>
  <si>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</si>
  <si>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</si>
  <si>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</si>
  <si>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</si>
  <si>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</si>
  <si>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</si>
  <si>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</si>
  <si>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</si>
  <si>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</si>
  <si>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</si>
  <si>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</si>
  <si>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</si>
  <si>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</si>
  <si>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</si>
  <si>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</si>
  <si>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</si>
  <si>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</si>
  <si>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</si>
  <si>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</si>
  <si>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</si>
  <si>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</si>
  <si>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</si>
  <si>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</si>
  <si>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</si>
  <si>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</si>
  <si>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</si>
  <si>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</si>
  <si>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</si>
  <si>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</si>
  <si>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</si>
  <si>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</si>
  <si>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</si>
  <si>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</si>
  <si>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</si>
  <si>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</si>
  <si>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</si>
  <si>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</si>
  <si>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</si>
  <si>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</si>
  <si>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</si>
  <si>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</si>
  <si>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</si>
  <si>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</si>
  <si>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</si>
  <si>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</si>
  <si>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</si>
  <si>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</si>
  <si>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</si>
  <si>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</si>
  <si>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</si>
  <si>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</si>
  <si>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</si>
  <si>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</si>
  <si>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</si>
  <si>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</si>
  <si>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</si>
  <si>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</si>
  <si>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</si>
  <si>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</si>
  <si>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</si>
  <si>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</si>
  <si>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</si>
  <si>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</si>
  <si>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</si>
  <si>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</si>
  <si>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</si>
  <si>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</si>
  <si>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</si>
  <si>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</si>
  <si>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</si>
  <si>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</si>
  <si>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</si>
  <si>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</si>
  <si>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</si>
  <si>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C:\Users\hector.guillen\EUROLEAGUE\EB STATS - Documents\General\SEASON 2025-26\Reports\Eurocup</t>
  </si>
  <si>
    <t>C:\Users\hector.guillen\EUROLEAGUE\EB STATS - Documents\General\SEASON 2025-26\Reports\Eurocup\PDF</t>
  </si>
  <si>
    <t>AHMET GEZINTI</t>
  </si>
  <si>
    <t>KIVILCIM KORKMAZ</t>
  </si>
  <si>
    <t>YUKSEL NAZLIGUL</t>
  </si>
  <si>
    <t>ALPKAN HACIYAKUPOGLU</t>
  </si>
  <si>
    <t>HECTOR GUILLEN</t>
  </si>
  <si>
    <t>8:33</t>
  </si>
  <si>
    <t>3:35</t>
  </si>
  <si>
    <t>1:13</t>
  </si>
  <si>
    <t>7:41</t>
  </si>
  <si>
    <t>7:18</t>
  </si>
  <si>
    <t>7:09</t>
  </si>
  <si>
    <t>4:36</t>
  </si>
  <si>
    <t>2:47</t>
  </si>
  <si>
    <t>Try to be more accurate with blocks, and be focus with subtitutions.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</si>
</sst>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17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17_161_BAH_WRO_U2025</v>
      </c>
      <c r="G1" s="5"/>
      <c r="H1" s="5"/>
      <c r="I1" s="5"/>
      <c r="J1" s="8" t="s">
        <v>707</v>
      </c>
      <c r="K1" s="121" t="s">
        <v>825</v>
      </c>
      <c r="L1" s="121"/>
      <c r="M1" s="122" t="s">
        <v>239</v>
      </c>
      <c r="N1" s="121" t="s">
        <v>826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161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46056.791666666664</v>
      </c>
      <c r="C3" s="157"/>
      <c r="D3" s="39">
        <v>586</v>
      </c>
      <c r="E3" s="29"/>
      <c r="F3" s="26">
        <f>SUBTOTAL(3,I17:I106)</f>
        <v>8</v>
      </c>
      <c r="G3" s="27">
        <f>IF(OR(D3="",D3=0),"",F3/D3)</f>
        <v>1.3651877133105802E-2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Bahcesehir College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BAH</v>
      </c>
      <c r="I4" s="5"/>
      <c r="J4" s="119" t="s">
        <v>714</v>
      </c>
      <c r="K4" s="54" t="s">
        <v>742</v>
      </c>
      <c r="L4" s="5"/>
      <c r="M4" s="167" t="s">
        <v>840</v>
      </c>
      <c r="N4" s="168"/>
      <c r="O4" s="2"/>
      <c r="P4" s="2"/>
      <c r="Q4" s="84" t="s">
        <v>175</v>
      </c>
      <c r="R4" s="94">
        <f>(IF(G3="",0,G3))</f>
        <v>1.3651877133105802E-2</v>
      </c>
      <c r="S4" s="61">
        <f>SUM(I13:M13)</f>
        <v>0</v>
      </c>
      <c r="T4" s="78"/>
      <c r="U4" s="61">
        <f>AC18</f>
        <v>6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1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Slask Wroclaw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WRO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1.3651877133105803</v>
      </c>
      <c r="S5" s="70">
        <f t="shared" ref="S5" si="0">S4*S3</f>
        <v>0</v>
      </c>
      <c r="T5" s="92"/>
      <c r="U5" s="70">
        <f t="shared" ref="U5:AG5" si="1">U4*U3</f>
        <v>3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5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771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827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10.365187713310581</v>
      </c>
      <c r="N7" s="58"/>
      <c r="O7" s="2"/>
      <c r="P7" s="2"/>
      <c r="Q7" s="86">
        <f>SUM(R5,S5,AC16)</f>
        <v>10.365187713310581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828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10.365187713310579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829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830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161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831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8</v>
      </c>
      <c r="J15" s="24">
        <f>SUBTOTAL(3,J17:J106)</f>
        <v>8</v>
      </c>
      <c r="K15" s="24">
        <f>SUBTOTAL(3,K17:K106)</f>
        <v>8</v>
      </c>
      <c r="L15" s="24">
        <f>SUBTOTAL(3,L17:L106)</f>
        <v>8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8</v>
      </c>
      <c r="Z16" s="90" t="s">
        <v>110</v>
      </c>
      <c r="AA16" s="75">
        <f>SUM(AA17:AA24)</f>
        <v>8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9</v>
      </c>
      <c r="AD16" s="75">
        <f>SUM(AD17:AD24)</f>
        <v>45</v>
      </c>
      <c r="AE16" s="76" t="s">
        <v>42</v>
      </c>
      <c r="AF16" s="75">
        <f>SUM(AF17:AF24)</f>
        <v>5</v>
      </c>
      <c r="AG16" s="75">
        <f>SUM(AG17:AG21)</f>
        <v>8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161</v>
      </c>
      <c r="D17" s="32" t="s">
        <v>832</v>
      </c>
      <c r="E17" s="33">
        <v>1</v>
      </c>
      <c r="F17" s="36">
        <v>1</v>
      </c>
      <c r="G17" s="36">
        <v>1</v>
      </c>
      <c r="H17" s="38" t="str">
        <f>IF(I17="","",$I$14)</f>
        <v>SCOUTING</v>
      </c>
      <c r="I17" s="34">
        <v>22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8</v>
      </c>
      <c r="Z17" s="105" t="s">
        <v>63</v>
      </c>
      <c r="AA17" s="62">
        <f>COUNTIF($K$17:$K$106,Z17)</f>
        <v>4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3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161</v>
      </c>
      <c r="D18" s="32" t="s">
        <v>833</v>
      </c>
      <c r="E18" s="33">
        <v>1</v>
      </c>
      <c r="F18" s="36">
        <v>14</v>
      </c>
      <c r="G18" s="36">
        <v>11</v>
      </c>
      <c r="H18" s="38" t="str">
        <f t="shared" ref="H18:H81" si="8">IF(I18="","",$I$14)</f>
        <v>SCOUTING</v>
      </c>
      <c r="I18" s="34">
        <v>78</v>
      </c>
      <c r="J18" s="13" t="s">
        <v>4</v>
      </c>
      <c r="K18" s="13" t="s">
        <v>62</v>
      </c>
      <c r="L18" s="13" t="s">
        <v>5</v>
      </c>
      <c r="M18" s="13" t="s">
        <v>168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4</v>
      </c>
      <c r="AB18" s="66" t="s">
        <v>5</v>
      </c>
      <c r="AC18" s="61">
        <f t="shared" si="5"/>
        <v>6</v>
      </c>
      <c r="AD18" s="61">
        <f t="shared" si="6"/>
        <v>0.5</v>
      </c>
      <c r="AE18" s="66" t="s">
        <v>12</v>
      </c>
      <c r="AF18" s="65">
        <f t="shared" si="7"/>
        <v>3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161</v>
      </c>
      <c r="D19" s="32" t="s">
        <v>834</v>
      </c>
      <c r="E19" s="33">
        <v>1</v>
      </c>
      <c r="F19" s="36">
        <v>18</v>
      </c>
      <c r="G19" s="36">
        <v>17</v>
      </c>
      <c r="H19" s="38" t="str">
        <f t="shared" si="8"/>
        <v>SCOUTING</v>
      </c>
      <c r="I19" s="34">
        <v>117</v>
      </c>
      <c r="J19" s="13" t="s">
        <v>4</v>
      </c>
      <c r="K19" s="13" t="s">
        <v>63</v>
      </c>
      <c r="L19" s="13" t="s">
        <v>6</v>
      </c>
      <c r="M19" s="13" t="s">
        <v>22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161</v>
      </c>
      <c r="D20" s="32" t="s">
        <v>835</v>
      </c>
      <c r="E20" s="33">
        <v>2</v>
      </c>
      <c r="F20" s="36">
        <v>20</v>
      </c>
      <c r="G20" s="36">
        <v>24</v>
      </c>
      <c r="H20" s="38" t="str">
        <f t="shared" si="8"/>
        <v>SCOUTING</v>
      </c>
      <c r="I20" s="34">
        <v>160</v>
      </c>
      <c r="J20" s="13" t="s">
        <v>4</v>
      </c>
      <c r="K20" s="13" t="s">
        <v>62</v>
      </c>
      <c r="L20" s="13" t="s">
        <v>5</v>
      </c>
      <c r="M20" s="13" t="s">
        <v>12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161</v>
      </c>
      <c r="D21" s="32" t="s">
        <v>836</v>
      </c>
      <c r="E21" s="33">
        <v>2</v>
      </c>
      <c r="F21" s="36">
        <v>22</v>
      </c>
      <c r="G21" s="36">
        <v>24</v>
      </c>
      <c r="H21" s="38" t="str">
        <f t="shared" si="8"/>
        <v>SCOUTING</v>
      </c>
      <c r="I21" s="34">
        <v>165</v>
      </c>
      <c r="J21" s="13" t="s">
        <v>4</v>
      </c>
      <c r="K21" s="13" t="s">
        <v>62</v>
      </c>
      <c r="L21" s="13" t="s">
        <v>5</v>
      </c>
      <c r="M21" s="13" t="s">
        <v>10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161</v>
      </c>
      <c r="D22" s="32" t="s">
        <v>837</v>
      </c>
      <c r="E22" s="33">
        <v>3</v>
      </c>
      <c r="F22" s="36">
        <v>38</v>
      </c>
      <c r="G22" s="36">
        <v>44</v>
      </c>
      <c r="H22" s="38" t="str">
        <f t="shared" si="8"/>
        <v>SCOUTING</v>
      </c>
      <c r="I22" s="34">
        <v>315</v>
      </c>
      <c r="J22" s="13" t="s">
        <v>4</v>
      </c>
      <c r="K22" s="13" t="s">
        <v>63</v>
      </c>
      <c r="L22" s="13" t="s">
        <v>5</v>
      </c>
      <c r="M22" s="13" t="s">
        <v>12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161</v>
      </c>
      <c r="D23" s="32" t="s">
        <v>838</v>
      </c>
      <c r="E23" s="33">
        <v>4</v>
      </c>
      <c r="F23" s="36">
        <v>65</v>
      </c>
      <c r="G23" s="36">
        <v>66</v>
      </c>
      <c r="H23" s="38" t="str">
        <f t="shared" si="8"/>
        <v>SCOUTING</v>
      </c>
      <c r="I23" s="34">
        <v>506</v>
      </c>
      <c r="J23" s="13" t="s">
        <v>4</v>
      </c>
      <c r="K23" s="13" t="s">
        <v>63</v>
      </c>
      <c r="L23" s="13" t="s">
        <v>5</v>
      </c>
      <c r="M23" s="13" t="s">
        <v>12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161</v>
      </c>
      <c r="D24" s="32" t="s">
        <v>839</v>
      </c>
      <c r="E24" s="33">
        <v>4</v>
      </c>
      <c r="F24" s="36">
        <v>66</v>
      </c>
      <c r="G24" s="36">
        <v>72</v>
      </c>
      <c r="H24" s="38" t="str">
        <f t="shared" si="8"/>
        <v>SCOUTING</v>
      </c>
      <c r="I24" s="34">
        <v>540</v>
      </c>
      <c r="J24" s="13" t="s">
        <v>4</v>
      </c>
      <c r="K24" s="13" t="s">
        <v>62</v>
      </c>
      <c r="L24" s="13" t="s">
        <v>78</v>
      </c>
      <c r="M24" s="13" t="s">
        <v>78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1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1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REPORT_U2025161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"U2025161"</v>
      </c>
      <c r="F3" s="45" t="str">
        <f t="shared" ref="F3:F16" si="0">""""&amp;B3&amp;"""" &amp; " : " &amp;C3&amp;","</f>
        <v>"name" : "U2025161",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"U161"</v>
      </c>
      <c r="F4" s="45" t="str">
        <f t="shared" si="0"/>
        <v>"cod" : "U161",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161</v>
      </c>
      <c r="F6" s="45" t="str">
        <f t="shared" si="0"/>
        <v>"number" : 161,</v>
      </c>
    </row>
    <row r="7" spans="2:6" x14ac:dyDescent="0.25">
      <c r="B7" s="43" t="s">
        <v>116</v>
      </c>
      <c r="C7" s="43" t="str">
        <f ca="1">""""&amp;TEXT('SCOUT &amp; LOGISTICS'!B3,"dd/mm/aaaa")&amp;""""</f>
        <v>"03/02/Tuesday"</v>
      </c>
      <c r="F7" s="45" t="str">
        <f t="shared" ca="1" si="0"/>
        <v>"date" : "03/02/Tuesday",</v>
      </c>
    </row>
    <row r="8" spans="2:6" x14ac:dyDescent="0.25">
      <c r="B8" s="43" t="s">
        <v>125</v>
      </c>
      <c r="C8" s="43" t="str">
        <f>""""&amp;'SCOUT &amp; LOGISTICS'!D4 &amp;""""</f>
        <v>"Bahcesehir College Istanbul"</v>
      </c>
      <c r="F8" s="45" t="str">
        <f t="shared" si="0"/>
        <v>"home_team" : "Bahcesehir College Istanbul",</v>
      </c>
    </row>
    <row r="9" spans="2:6" x14ac:dyDescent="0.25">
      <c r="B9" s="43" t="s">
        <v>126</v>
      </c>
      <c r="C9" s="43" t="str">
        <f>""""&amp;'SCOUT &amp; LOGISTICS'!D5&amp;""""</f>
        <v>"Slask Wroclaw"</v>
      </c>
      <c r="F9" s="45" t="str">
        <f t="shared" si="0"/>
        <v>"away_team" : "Slask Wroclaw",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"SERTAC DOSTEL"</v>
      </c>
      <c r="F10" s="45" t="str">
        <f t="shared" si="0"/>
        <v>"Data_entry" : "SERTAC DOSTEL",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"AHMET GEZINTI"</v>
      </c>
      <c r="F11" s="45" t="str">
        <f t="shared" si="0"/>
        <v>"Caller_1" : "AHMET GEZINTI",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"KIVILCIM KORKMAZ"</v>
      </c>
      <c r="F12" s="45" t="str">
        <f t="shared" si="0"/>
        <v>"Caller_2" : "KIVILCIM KORKMAZ",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"YUKSEL NAZLIGUL"</v>
      </c>
      <c r="F13" s="45" t="str">
        <f t="shared" si="0"/>
        <v>"Timerkeeper" : "YUKSEL NAZLIGUL",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"ALPKAN HACIYAKUPOGLU"</v>
      </c>
      <c r="F14" s="45" t="str">
        <f t="shared" si="0"/>
        <v>"Shotclock" : "ALPKAN HACIYAKUPOGLU",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586</v>
      </c>
      <c r="F25" s="45" t="str">
        <f t="shared" ref="F25:F48" si="1">""""&amp;C25&amp;"""" &amp; " : " &amp;D25&amp;","</f>
        <v>"total_actions" : 586,</v>
      </c>
    </row>
    <row r="26" spans="2:6" x14ac:dyDescent="0.25">
      <c r="C26" s="43" t="s">
        <v>132</v>
      </c>
      <c r="D26" s="43">
        <f>'SCOUT &amp; LOGISTICS'!F3</f>
        <v>8</v>
      </c>
      <c r="F26" s="45" t="str">
        <f t="shared" si="1"/>
        <v>"total_correcions" : 8,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4</v>
      </c>
      <c r="F28" s="45" t="str">
        <f t="shared" si="1"/>
        <v>"home_team" : 4,</v>
      </c>
    </row>
    <row r="29" spans="2:6" x14ac:dyDescent="0.25">
      <c r="C29" s="43" t="s">
        <v>134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3</v>
      </c>
      <c r="F31" s="45" t="str">
        <f t="shared" si="1"/>
        <v>"q1" : 3,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8</v>
      </c>
      <c r="F37" s="45" t="str">
        <f t="shared" si="1"/>
        <v>"scoresheet_corrections" : 8,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6</v>
      </c>
      <c r="F39" s="45" t="str">
        <f t="shared" si="1"/>
        <v>"missidentity" : 6,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"Try to be more accurate with blocks, and be focus with subtitutions. Keep it up!"</v>
      </c>
      <c r="F51" s="45" t="str">
        <f>""""&amp;B51&amp;"""" &amp; " : " &amp;C51&amp;","</f>
        <v>"comments" : "Try to be more accurate with blocks, and be focus with subtitutions. Keep it up!",</v>
      </c>
    </row>
    <row r="52" spans="2:6" x14ac:dyDescent="0.25">
      <c r="B52" s="43" t="s">
        <v>153</v>
      </c>
      <c r="C52" s="43" t="str">
        <f>TEXT('SCOUT &amp; LOGISTICS'!F1,"0,0")</f>
        <v>17_161_BAH_WRO_U2025</v>
      </c>
      <c r="F52" s="45" t="str">
        <f>""""&amp;B52&amp;"""" &amp; " : " &amp;C52</f>
        <v>"result" : 17_161_BAH_WRO_U2025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U161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03/02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Bahcesehir College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Slask Wroclaw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SERTAC DOSTEL</v>
      </c>
      <c r="C8" s="206"/>
      <c r="D8" s="206"/>
      <c r="E8" s="206"/>
      <c r="F8" s="206"/>
      <c r="G8" s="206" t="str">
        <f>IF('SCOUT &amp; LOGISTICS'!D7="","",'SCOUT &amp; LOGISTICS'!D7)</f>
        <v>AHMET GEZINTI</v>
      </c>
      <c r="H8" s="206"/>
      <c r="I8" s="206"/>
      <c r="J8" s="206"/>
      <c r="K8" s="206"/>
      <c r="L8" s="206" t="str">
        <f>IF('SCOUT &amp; LOGISTICS'!D8="","",'SCOUT &amp; LOGISTICS'!D8)</f>
        <v>KIVILCIM KORKMAZ</v>
      </c>
      <c r="M8" s="206"/>
      <c r="N8" s="206"/>
      <c r="O8" s="206"/>
      <c r="P8" s="206"/>
      <c r="Q8" s="206" t="str">
        <f>IF('SCOUT &amp; LOGISTICS'!D9="","",'SCOUT &amp; LOGISTICS'!D9)</f>
        <v>YUKSEL NAZLIGUL</v>
      </c>
      <c r="R8" s="206"/>
      <c r="S8" s="206"/>
      <c r="T8" s="206"/>
      <c r="U8" s="206"/>
      <c r="V8" s="206" t="str">
        <f>IF('SCOUT &amp; LOGISTICS'!D10="","",'SCOUT &amp; LOGISTICS'!D10)</f>
        <v>ALPKAN HACIYAKUPOGLU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586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8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1.3651877133105802E-2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4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4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3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8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6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1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Try to be more accurate with blocks, and be focus with subtitutions.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10.365187713310581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9817369-500D-4892-8DFF-F7876F81A5F8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2026-02-06T21:45:57Z</cp:lastPrinted>
  <dcterms:created xsi:type="dcterms:W3CDTF">2023-09-19T19:50:35Z</dcterms:created>
  <dcterms:modified xsi:type="dcterms:W3CDTF">2026-02-06T21:46:00Z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