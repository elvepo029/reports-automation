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30" documentId="8_{2FFC762C-D0F5-4657-9F75-1A0B7F138DFD}" xr6:coauthVersionLast="47" xr6:coauthVersionMax="47" xr10:uidLastSave="{ED23C828-C5E3-4B1A-9B96-8FB1305C4BA1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<sst xmlns="http://schemas.openxmlformats.org/spreadsheetml/2006/main" count="3388" uniqueCount="845">
  <si>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</si>
  <si>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</si>
  <si>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</si>
  <si>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</si>
  <si>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</si>
  <si>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</si>
  <si>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</si>
  <si>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</si>
  <si>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</si>
  <si>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</si>
  <si>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</si>
  <si>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</si>
  <si>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</si>
  <si>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</si>
  <si>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</si>
  <si>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</si>
  <si>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</si>
  <si>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</si>
  <si>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</si>
  <si>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</si>
  <si>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</si>
  <si>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</si>
  <si>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</si>
  <si>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</si>
  <si>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</si>
  <si>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</si>
  <si>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</si>
  <si>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</si>
  <si>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</si>
  <si>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</si>
  <si>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</si>
  <si>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</si>
  <si>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</si>
  <si>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</si>
  <si>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</si>
  <si>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</si>
  <si>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</si>
  <si>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</si>
  <si>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</si>
  <si>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</si>
  <si>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</si>
  <si>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</si>
  <si>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</si>
  <si>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</si>
  <si>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</si>
  <si>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</si>
  <si>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</si>
  <si>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</si>
  <si>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</si>
  <si>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</si>
  <si>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</si>
  <si>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</si>
  <si>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</si>
  <si>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</si>
  <si>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</si>
  <si>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</si>
  <si>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</si>
  <si>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</si>
  <si>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</si>
  <si>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</si>
  <si>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</si>
  <si>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</si>
  <si>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</si>
  <si>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</si>
  <si>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</si>
  <si>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</si>
  <si>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</si>
  <si>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</si>
  <si>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</si>
  <si>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</si>
  <si>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</si>
  <si>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</si>
  <si>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</si>
  <si>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</si>
  <si>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</si>
  <si>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</si>
  <si>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</si>
  <si>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</si>
  <si>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</si>
  <si>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</si>
  <si>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</si>
  <si>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</si>
  <si>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</si>
  <si>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</si>
  <si>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</si>
  <si>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</si>
  <si>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</si>
  <si>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</si>
  <si>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</si>
  <si>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</si>
  <si>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</si>
  <si>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</si>
  <si>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</si>
  <si>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</si>
  <si>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</si>
  <si>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</si>
  <si>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</si>
  <si>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</si>
  <si>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</si>
  <si>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</si>
  <si>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</si>
  <si>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</si>
  <si>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</si>
  <si>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</si>
  <si>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</si>
  <si>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</si>
  <si>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</si>
  <si>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</si>
  <si>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</si>
  <si>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</si>
  <si>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</si>
  <si>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</si>
  <si>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</si>
  <si>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</si>
  <si>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</si>
  <si>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</si>
  <si>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</si>
  <si>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</si>
  <si>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</si>
  <si>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</si>
  <si>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</si>
  <si>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</si>
  <si>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</si>
  <si>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</si>
  <si>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</si>
  <si>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</si>
  <si>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</si>
  <si>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</si>
  <si>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</si>
  <si>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</si>
  <si>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</si>
  <si>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</si>
  <si>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</si>
  <si>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</si>
  <si>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</si>
  <si>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</si>
  <si>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</si>
  <si>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</si>
  <si>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</si>
  <si>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</si>
  <si>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</si>
  <si>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</si>
  <si>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</si>
  <si>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</si>
  <si>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</si>
  <si>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</si>
  <si>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</si>
  <si>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</si>
  <si>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</si>
  <si>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</si>
  <si>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</si>
  <si>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</si>
  <si>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</si>
  <si>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</si>
  <si>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</si>
  <si>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</si>
  <si>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</si>
  <si>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</si>
  <si>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</si>
  <si>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</si>
  <si>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</si>
  <si>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</si>
  <si>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</si>
  <si>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</si>
  <si>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</si>
  <si>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</si>
  <si>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</si>
  <si>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</si>
  <si>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</si>
  <si>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</si>
  <si>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</si>
  <si>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</si>
  <si>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</si>
  <si>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</si>
  <si>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</si>
  <si>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</si>
  <si>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</si>
  <si>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</si>
  <si>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</si>
  <si>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</si>
  <si>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</si>
  <si>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</si>
  <si>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</si>
  <si>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</si>
  <si>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</si>
  <si>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</si>
  <si>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</si>
  <si>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</si>
  <si>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</si>
  <si>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</si>
  <si>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</si>
  <si>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</si>
  <si>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</si>
  <si>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</si>
  <si>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</si>
  <si>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</si>
  <si>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</si>
  <si>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</si>
  <si>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</si>
  <si>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</si>
  <si>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</si>
  <si>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</si>
  <si>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</si>
  <si>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</si>
  <si>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</si>
  <si>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</si>
  <si>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</si>
  <si>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</si>
  <si>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</si>
  <si>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</si>
  <si>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</si>
  <si>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</si>
  <si>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</si>
  <si>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</si>
  <si>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</si>
  <si>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</si>
  <si>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</si>
  <si>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</si>
  <si>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</si>
  <si>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</si>
  <si>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</si>
  <si>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</si>
  <si>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</si>
  <si>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</si>
  <si>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</si>
  <si>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</si>
  <si>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</si>
  <si>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</si>
  <si>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</si>
  <si>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</si>
  <si>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</si>
  <si>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</si>
  <si>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</si>
  <si>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</si>
  <si>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</si>
  <si>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</si>
  <si>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</si>
  <si>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</si>
  <si>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</si>
  <si>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</si>
  <si>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</si>
  <si>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</si>
  <si>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</si>
  <si>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</si>
  <si>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</si>
  <si>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</si>
  <si>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</si>
  <si>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</si>
  <si>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</si>
  <si>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</si>
  <si>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</si>
  <si>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</si>
  <si>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</si>
  <si>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</si>
  <si>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</si>
  <si>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</si>
  <si>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</si>
  <si>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</si>
  <si>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</si>
  <si>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</si>
  <si>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</si>
  <si>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</si>
  <si>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</si>
  <si>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</si>
  <si>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</si>
  <si>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</si>
  <si>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</si>
  <si>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</si>
  <si>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</si>
  <si>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</si>
  <si>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</si>
  <si>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</si>
  <si>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</si>
  <si>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</si>
  <si>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</si>
  <si>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</si>
  <si>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</si>
  <si>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</si>
  <si>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</si>
  <si>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</si>
  <si>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</si>
  <si>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</si>
  <si>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</si>
  <si>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</si>
  <si>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</si>
  <si>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</si>
  <si>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</si>
  <si>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</si>
  <si>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</si>
  <si>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</si>
  <si>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</si>
  <si>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</si>
  <si>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</si>
  <si>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</si>
  <si>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</si>
  <si>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</si>
  <si>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</si>
  <si>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</si>
  <si>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</si>
  <si>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</si>
  <si>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</si>
  <si>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</si>
  <si>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</si>
  <si>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</si>
  <si>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</si>
  <si>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</si>
  <si>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</si>
  <si>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</si>
  <si>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</si>
  <si>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</si>
  <si>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</si>
  <si>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</si>
  <si>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</si>
  <si>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</si>
  <si>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</si>
  <si>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</si>
  <si>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</si>
  <si>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</si>
  <si>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</si>
  <si>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</si>
  <si>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</si>
  <si>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</si>
  <si>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</si>
  <si>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</si>
  <si>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</si>
  <si>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</si>
  <si>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</si>
  <si>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</si>
  <si>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</si>
  <si>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</si>
  <si>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</si>
  <si>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</si>
  <si>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</si>
  <si>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</si>
  <si>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</si>
  <si>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</si>
  <si>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</si>
  <si>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</si>
  <si>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</si>
  <si>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</si>
  <si>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</si>
  <si>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</si>
  <si>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</si>
  <si>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</si>
  <si>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</si>
  <si>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</si>
  <si>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</si>
  <si>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</si>
  <si>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</si>
  <si>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</si>
  <si>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</si>
  <si>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</si>
  <si>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</si>
  <si>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</si>
  <si>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</si>
  <si>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</si>
  <si>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</si>
  <si>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</si>
  <si>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</si>
  <si>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</si>
  <si>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</si>
  <si>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</si>
  <si>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</si>
  <si>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</si>
  <si>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</si>
  <si>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</si>
  <si>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</si>
  <si>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</si>
  <si>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</si>
  <si>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</si>
  <si>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</si>
  <si>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</si>
  <si>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</si>
  <si>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</si>
  <si>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</si>
  <si>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</si>
  <si>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</si>
  <si>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</si>
  <si>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</si>
  <si>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</si>
  <si>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</si>
  <si>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</si>
  <si>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</si>
  <si>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</si>
  <si>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</si>
  <si>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</si>
  <si>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</si>
  <si>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</si>
  <si>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</si>
  <si>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</si>
  <si>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</si>
  <si>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</si>
  <si>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</si>
  <si>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</si>
  <si>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</si>
  <si>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</si>
  <si>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</si>
  <si>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</si>
  <si>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</si>
  <si>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</si>
  <si>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</si>
  <si>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</si>
  <si>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</si>
  <si>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</si>
  <si>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</si>
  <si>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</si>
  <si>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</si>
  <si>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</si>
  <si>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</si>
  <si>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</si>
  <si>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</si>
  <si>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</si>
  <si>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</si>
  <si>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</si>
  <si>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</si>
  <si>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</si>
  <si>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</si>
  <si>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</si>
  <si>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</si>
  <si>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</si>
  <si>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</si>
  <si>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</si>
  <si>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</si>
  <si>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</si>
  <si>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</si>
  <si>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</si>
  <si>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</si>
  <si>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</si>
  <si>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</si>
  <si>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</si>
  <si>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</si>
  <si>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</si>
  <si>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</si>
  <si>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</si>
  <si>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</si>
  <si>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</si>
  <si>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</si>
  <si>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</si>
  <si>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</si>
  <si>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</si>
  <si>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</si>
  <si>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</si>
  <si>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</si>
  <si>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</si>
  <si>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</si>
  <si>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</si>
  <si>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</si>
  <si>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</si>
  <si>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</si>
  <si>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</si>
  <si>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</si>
  <si>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</si>
  <si>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</si>
  <si>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</si>
  <si>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</si>
  <si>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</si>
  <si>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</si>
  <si>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</si>
  <si>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</si>
  <si>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</si>
  <si>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</si>
  <si>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</si>
  <si>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</si>
  <si>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</si>
  <si>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</si>
  <si>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</si>
  <si>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</si>
  <si>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</si>
  <si>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</si>
  <si>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</si>
  <si>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</si>
  <si>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</si>
  <si>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</si>
  <si>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</si>
  <si>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</si>
  <si>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</si>
  <si>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</si>
  <si>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</si>
  <si>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</si>
  <si>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</si>
  <si>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</si>
  <si>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</si>
  <si>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</si>
  <si>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</si>
  <si>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</si>
  <si>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</si>
  <si>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</si>
  <si>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</si>
  <si>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</si>
  <si>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</si>
  <si>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</si>
  <si>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</si>
  <si>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</si>
  <si>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</si>
  <si>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</si>
  <si>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</si>
  <si>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</si>
  <si>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</si>
  <si>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</si>
  <si>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</si>
  <si>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</si>
  <si>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</si>
  <si>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</si>
  <si>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</si>
  <si>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</si>
  <si>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</si>
  <si>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</si>
  <si>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</si>
  <si>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</si>
  <si>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</si>
  <si>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</si>
  <si>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</si>
  <si>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</si>
  <si>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</si>
  <si>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</si>
  <si>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</si>
  <si>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</si>
  <si>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</si>
  <si>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</si>
  <si>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</si>
  <si>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</si>
  <si>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</si>
  <si>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</si>
  <si>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</si>
  <si>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</si>
  <si>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</si>
  <si>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</si>
  <si>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</si>
  <si>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</si>
  <si>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</si>
  <si>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</si>
  <si>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</si>
  <si>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</si>
  <si>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</si>
  <si>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</si>
  <si>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</si>
  <si>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</si>
  <si>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</si>
  <si>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</si>
  <si>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</si>
  <si>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</si>
  <si>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</si>
  <si>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</si>
  <si>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</si>
  <si>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</si>
  <si>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</si>
  <si>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</si>
  <si>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</si>
  <si>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</si>
  <si>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</si>
  <si>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</si>
  <si>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</si>
  <si>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</si>
  <si>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</si>
  <si>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</si>
  <si>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</si>
  <si>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</si>
  <si>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</si>
  <si>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</si>
  <si>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</si>
  <si>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</si>
  <si>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</si>
  <si>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</si>
  <si>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</si>
  <si>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</si>
  <si>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</si>
  <si>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</si>
  <si>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</si>
  <si>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</si>
  <si>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</si>
  <si>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</si>
  <si>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</si>
  <si>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</si>
  <si>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</si>
  <si>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</si>
  <si>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</si>
  <si>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</si>
  <si>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</si>
  <si>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</si>
  <si>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</si>
  <si>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</si>
  <si>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</si>
  <si>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</si>
  <si>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</si>
  <si>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</si>
  <si>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</si>
  <si>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</si>
  <si>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</si>
  <si>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</si>
  <si>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</si>
  <si>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</si>
  <si>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</si>
  <si>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</si>
  <si>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</si>
  <si>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</si>
  <si>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</si>
  <si>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</si>
  <si>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</si>
  <si>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</si>
  <si>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</si>
  <si>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</si>
  <si>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</si>
  <si>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</si>
  <si>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</si>
  <si>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</si>
  <si>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</si>
  <si>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</si>
  <si>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</si>
  <si>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</si>
  <si>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</si>
  <si>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</si>
  <si>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</si>
  <si>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</si>
  <si>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</si>
  <si>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</si>
  <si>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</si>
  <si>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</si>
  <si>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</si>
  <si>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</si>
  <si>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</si>
  <si>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</si>
  <si>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</si>
  <si>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</si>
  <si>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</si>
  <si>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</si>
  <si>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</si>
  <si>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</si>
  <si>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</si>
  <si>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</si>
  <si>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</si>
  <si>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</si>
  <si>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</si>
  <si>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</si>
  <si>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</si>
  <si>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</si>
  <si>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</si>
  <si>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</si>
  <si>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</si>
  <si>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</si>
  <si>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</si>
  <si>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</si>
  <si>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</si>
  <si>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</si>
  <si>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</si>
  <si>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</si>
  <si>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</si>
  <si>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</si>
  <si>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</si>
  <si>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</si>
  <si>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</si>
  <si>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</si>
  <si>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</si>
  <si>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</si>
  <si>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</si>
  <si>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</si>
  <si>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</si>
  <si>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</si>
  <si>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</si>
  <si>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</si>
  <si>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</si>
  <si>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</si>
  <si>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</si>
  <si>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</si>
  <si>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</si>
  <si>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</si>
  <si>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</si>
  <si>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</si>
  <si>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</si>
  <si>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</si>
  <si>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</si>
  <si>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</si>
  <si>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</si>
  <si>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</si>
  <si>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</si>
  <si>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</si>
  <si>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</si>
  <si>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</si>
  <si>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</si>
  <si>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</si>
  <si>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</si>
  <si>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</si>
  <si>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</si>
  <si>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</si>
  <si>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</si>
  <si>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</si>
  <si>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</si>
  <si>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</si>
  <si>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</si>
  <si>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</si>
  <si>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</si>
  <si>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</si>
  <si>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</si>
  <si>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</si>
  <si>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</si>
  <si>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</si>
  <si>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</si>
  <si>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</si>
  <si>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</si>
  <si>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</si>
  <si>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</si>
  <si>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</si>
  <si>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</si>
  <si>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</si>
  <si>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</si>
  <si>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</si>
  <si>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</si>
  <si>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</si>
  <si>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</si>
  <si>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</si>
  <si>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</si>
  <si>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</si>
  <si>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</si>
  <si>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</si>
  <si>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</si>
  <si>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</si>
  <si>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</si>
  <si>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</si>
  <si>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</si>
  <si>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</si>
  <si>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</si>
  <si>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</si>
  <si>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</si>
  <si>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</si>
  <si>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</si>
  <si>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</si>
  <si>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</si>
  <si>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</si>
  <si>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</si>
  <si>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</si>
  <si>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</si>
  <si>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</si>
  <si>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</si>
  <si>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</si>
  <si>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</si>
  <si>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</si>
  <si>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</si>
  <si>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</si>
  <si>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</si>
  <si>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</si>
  <si>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</si>
  <si>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</si>
  <si>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</si>
  <si>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</si>
  <si>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</si>
  <si>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</si>
  <si>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</si>
  <si>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</si>
  <si>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</si>
  <si>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</si>
  <si>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</si>
  <si>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</si>
  <si>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</si>
  <si>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</si>
  <si>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</si>
  <si>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</si>
  <si>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</si>
  <si>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</si>
  <si>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</si>
  <si>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</si>
  <si>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</si>
  <si>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</si>
  <si>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</si>
  <si>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</si>
  <si>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</si>
  <si>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</si>
  <si>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</si>
  <si>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</si>
  <si>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</si>
  <si>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</si>
  <si>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</si>
  <si>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</si>
  <si>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</si>
  <si>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</si>
  <si>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</si>
  <si>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</si>
  <si>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</si>
  <si>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</si>
  <si>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</si>
  <si>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</si>
  <si>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</si>
  <si>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</si>
  <si>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</si>
  <si>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</si>
  <si>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</si>
  <si>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</si>
  <si>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</si>
  <si>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</si>
  <si>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</si>
  <si>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</si>
  <si>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</si>
  <si>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</si>
  <si>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</si>
  <si>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</si>
  <si>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</si>
  <si>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</si>
  <si>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</si>
  <si>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</si>
  <si>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</si>
  <si>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</si>
  <si>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</si>
  <si>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</si>
  <si>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</si>
  <si>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</si>
  <si>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</si>
  <si>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</si>
  <si>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</si>
  <si>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</si>
  <si>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</si>
  <si>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</si>
  <si>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</si>
  <si>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</si>
  <si>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</si>
  <si>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</si>
  <si>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</si>
  <si>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</si>
  <si>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</si>
  <si>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</si>
  <si>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</si>
  <si>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</si>
  <si>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</si>
  <si>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</si>
  <si>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</si>
  <si>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</si>
  <si>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</si>
  <si>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</si>
  <si>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KONSTANTINOS KRANIOTIS</t>
  </si>
  <si>
    <t>ELISAVET SAMARA</t>
  </si>
  <si>
    <t>VASILEIOS VOTSARIS</t>
  </si>
  <si>
    <t>NATASA TZIKA</t>
  </si>
  <si>
    <t>TRIANTAFYLLIA KOSTOPOULOU</t>
  </si>
  <si>
    <t>NEREA FRAILE</t>
  </si>
  <si>
    <t>C:\Users\nerea.fraile\EUROLEAGUE\EB STATS - Documents\General\SEASON 2025-26\Reports\Eurocup\PDF</t>
  </si>
  <si>
    <t>C:\Users\nerea.fraile\EUROLEAGUE\EB STATS - Documents\General\SEASON 2025-26\Reports\Eurocup</t>
  </si>
  <si>
    <t>07:31</t>
  </si>
  <si>
    <t>05:10</t>
  </si>
  <si>
    <t>03:01</t>
  </si>
  <si>
    <t>03:35</t>
  </si>
  <si>
    <t>02:02</t>
  </si>
  <si>
    <t>01:56</t>
  </si>
  <si>
    <t>01:54</t>
  </si>
  <si>
    <t>08:13</t>
  </si>
  <si>
    <t>There is a rebound and a missed two pointer very quickly under the basket.</t>
  </si>
  <si>
    <t>02:49</t>
  </si>
  <si>
    <t>01:30</t>
  </si>
  <si>
    <t>The area to especially improve is player identity errors. Excellent communication and quick error correction without problems.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</si>
</sst>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17_162_ARI_KLA_U2025</v>
      </c>
      <c r="G1" s="5"/>
      <c r="H1" s="5"/>
      <c r="I1" s="5"/>
      <c r="J1" s="8" t="s">
        <v>707</v>
      </c>
      <c r="K1" s="121" t="s">
        <v>832</v>
      </c>
      <c r="L1" s="121"/>
      <c r="M1" s="122" t="s">
        <v>239</v>
      </c>
      <c r="N1" s="121" t="s">
        <v>831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162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46057.875</v>
      </c>
      <c r="C3" s="178"/>
      <c r="D3" s="39">
        <v>618</v>
      </c>
      <c r="E3" s="29"/>
      <c r="F3" s="26">
        <f>SUBTOTAL(3,I17:I106)</f>
        <v>11</v>
      </c>
      <c r="G3" s="27">
        <f>IF(OR(D3="",D3=0),"",F3/D3)</f>
        <v>1.7799352750809062E-2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Aris Thessaloniki Betsson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ARI</v>
      </c>
      <c r="I4" s="5"/>
      <c r="J4" s="119" t="s">
        <v>714</v>
      </c>
      <c r="K4" s="54" t="s">
        <v>742</v>
      </c>
      <c r="L4" s="5"/>
      <c r="M4" s="185" t="s">
        <v>844</v>
      </c>
      <c r="N4" s="186"/>
      <c r="O4" s="2"/>
      <c r="P4" s="2"/>
      <c r="Q4" s="84" t="s">
        <v>175</v>
      </c>
      <c r="R4" s="94">
        <f>(IF(G3="",0,G3))</f>
        <v>1.7799352750809062E-2</v>
      </c>
      <c r="S4" s="61">
        <f>SUM(I13:M13)</f>
        <v>0</v>
      </c>
      <c r="T4" s="78"/>
      <c r="U4" s="61">
        <f>AC18</f>
        <v>2</v>
      </c>
      <c r="V4" s="61">
        <f>+AC22</f>
        <v>6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Neptunas Klaipeda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KLA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1.7799352750809061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6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15.779935275080906</v>
      </c>
      <c r="N7" s="58"/>
      <c r="O7" s="2"/>
      <c r="P7" s="2"/>
      <c r="Q7" s="86">
        <f>SUM(R5,S5,AC16)</f>
        <v>15.779935275080906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827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15.779935275080906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828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829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162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11</v>
      </c>
      <c r="J15" s="24">
        <f>SUBTOTAL(3,J17:J106)</f>
        <v>11</v>
      </c>
      <c r="K15" s="24">
        <f>SUBTOTAL(3,K17:K106)</f>
        <v>11</v>
      </c>
      <c r="L15" s="24">
        <f>SUBTOTAL(3,L17:L106)</f>
        <v>11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11</v>
      </c>
      <c r="Z16" s="90" t="s">
        <v>110</v>
      </c>
      <c r="AA16" s="75">
        <f>SUM(AA17:AA24)</f>
        <v>11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14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162</v>
      </c>
      <c r="D17" s="32" t="s">
        <v>833</v>
      </c>
      <c r="E17" s="33">
        <v>1</v>
      </c>
      <c r="F17" s="36">
        <v>5</v>
      </c>
      <c r="G17" s="36">
        <v>4</v>
      </c>
      <c r="H17" s="38" t="str">
        <f>IF(I17="","",$I$14)</f>
        <v>SCOUTING</v>
      </c>
      <c r="I17" s="34">
        <v>25</v>
      </c>
      <c r="J17" s="13" t="s">
        <v>4</v>
      </c>
      <c r="K17" s="13" t="s">
        <v>63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11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162</v>
      </c>
      <c r="D18" s="32" t="s">
        <v>834</v>
      </c>
      <c r="E18" s="33">
        <v>1</v>
      </c>
      <c r="F18" s="36">
        <v>7</v>
      </c>
      <c r="G18" s="36">
        <v>9</v>
      </c>
      <c r="H18" s="38" t="str">
        <f t="shared" ref="H18:H81" si="8">IF(I18="","",$I$14)</f>
        <v>SCOUTING</v>
      </c>
      <c r="I18" s="34">
        <v>65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4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4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162</v>
      </c>
      <c r="D19" s="32" t="s">
        <v>835</v>
      </c>
      <c r="E19" s="33">
        <v>1</v>
      </c>
      <c r="F19" s="36">
        <v>12</v>
      </c>
      <c r="G19" s="36">
        <v>14</v>
      </c>
      <c r="H19" s="38" t="str">
        <f t="shared" si="8"/>
        <v>SCOUTING</v>
      </c>
      <c r="I19" s="34">
        <v>94</v>
      </c>
      <c r="J19" s="13" t="s">
        <v>4</v>
      </c>
      <c r="K19" s="13" t="s">
        <v>63</v>
      </c>
      <c r="L19" s="13" t="s">
        <v>48</v>
      </c>
      <c r="M19" s="13" t="s">
        <v>29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162</v>
      </c>
      <c r="D20" s="32" t="s">
        <v>835</v>
      </c>
      <c r="E20" s="33">
        <v>1</v>
      </c>
      <c r="F20" s="36">
        <v>12</v>
      </c>
      <c r="G20" s="36">
        <v>14</v>
      </c>
      <c r="H20" s="38" t="str">
        <f t="shared" si="8"/>
        <v>SCOUTING</v>
      </c>
      <c r="I20" s="34">
        <v>94</v>
      </c>
      <c r="J20" s="13" t="s">
        <v>4</v>
      </c>
      <c r="K20" s="13" t="s">
        <v>63</v>
      </c>
      <c r="L20" s="13" t="s">
        <v>7</v>
      </c>
      <c r="M20" s="13" t="s">
        <v>9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1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162</v>
      </c>
      <c r="D21" s="32" t="s">
        <v>836</v>
      </c>
      <c r="E21" s="33">
        <v>2</v>
      </c>
      <c r="F21" s="36">
        <v>36</v>
      </c>
      <c r="G21" s="36">
        <v>29</v>
      </c>
      <c r="H21" s="38" t="str">
        <f t="shared" si="8"/>
        <v>SCOUTING</v>
      </c>
      <c r="I21" s="34">
        <v>221</v>
      </c>
      <c r="J21" s="13" t="s">
        <v>4</v>
      </c>
      <c r="K21" s="13" t="s">
        <v>63</v>
      </c>
      <c r="L21" s="13" t="s">
        <v>5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162</v>
      </c>
      <c r="D22" s="32" t="s">
        <v>837</v>
      </c>
      <c r="E22" s="33">
        <v>2</v>
      </c>
      <c r="F22" s="36">
        <v>36</v>
      </c>
      <c r="G22" s="36">
        <v>34</v>
      </c>
      <c r="H22" s="38" t="str">
        <f t="shared" si="8"/>
        <v>SCOUTING</v>
      </c>
      <c r="I22" s="34">
        <v>239</v>
      </c>
      <c r="J22" s="13" t="s">
        <v>4</v>
      </c>
      <c r="K22" s="13" t="s">
        <v>62</v>
      </c>
      <c r="L22" s="13" t="s">
        <v>6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6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162</v>
      </c>
      <c r="D23" s="32" t="s">
        <v>838</v>
      </c>
      <c r="E23" s="33">
        <v>2</v>
      </c>
      <c r="F23" s="36">
        <v>36</v>
      </c>
      <c r="G23" s="36">
        <v>34</v>
      </c>
      <c r="H23" s="38" t="str">
        <f t="shared" si="8"/>
        <v>SCOUTING</v>
      </c>
      <c r="I23" s="34">
        <v>241</v>
      </c>
      <c r="J23" s="13" t="s">
        <v>4</v>
      </c>
      <c r="K23" s="13" t="s">
        <v>62</v>
      </c>
      <c r="L23" s="13" t="s">
        <v>7</v>
      </c>
      <c r="M23" s="13" t="s">
        <v>12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162</v>
      </c>
      <c r="D24" s="32" t="s">
        <v>839</v>
      </c>
      <c r="E24" s="33">
        <v>2</v>
      </c>
      <c r="F24" s="36">
        <v>36</v>
      </c>
      <c r="G24" s="36">
        <v>34</v>
      </c>
      <c r="H24" s="38" t="str">
        <f t="shared" si="8"/>
        <v>SCOUTING</v>
      </c>
      <c r="I24" s="34">
        <v>246</v>
      </c>
      <c r="J24" s="13" t="s">
        <v>4</v>
      </c>
      <c r="K24" s="13" t="s">
        <v>62</v>
      </c>
      <c r="L24" s="13" t="s">
        <v>6</v>
      </c>
      <c r="M24" s="13" t="s">
        <v>22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21" x14ac:dyDescent="0.25">
      <c r="A25" s="20"/>
      <c r="B25" s="31" t="str">
        <f t="shared" si="2"/>
        <v>U2025</v>
      </c>
      <c r="C25" s="31">
        <f t="shared" si="3"/>
        <v>162</v>
      </c>
      <c r="D25" s="32" t="s">
        <v>840</v>
      </c>
      <c r="E25" s="33">
        <v>4</v>
      </c>
      <c r="F25" s="36">
        <v>65</v>
      </c>
      <c r="G25" s="36">
        <v>44</v>
      </c>
      <c r="H25" s="38" t="str">
        <f t="shared" si="8"/>
        <v>SCOUTING</v>
      </c>
      <c r="I25" s="34">
        <v>494</v>
      </c>
      <c r="J25" s="13" t="s">
        <v>4</v>
      </c>
      <c r="K25" s="13" t="s">
        <v>63</v>
      </c>
      <c r="L25" s="13" t="s">
        <v>5</v>
      </c>
      <c r="M25" s="13" t="s">
        <v>28</v>
      </c>
      <c r="N25" s="35" t="s">
        <v>841</v>
      </c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3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162</v>
      </c>
      <c r="D26" s="32" t="s">
        <v>842</v>
      </c>
      <c r="E26" s="33">
        <v>4</v>
      </c>
      <c r="F26" s="36">
        <v>83</v>
      </c>
      <c r="G26" s="36">
        <v>52</v>
      </c>
      <c r="H26" s="38" t="str">
        <f t="shared" si="8"/>
        <v>SCOUTING</v>
      </c>
      <c r="I26" s="34">
        <v>583</v>
      </c>
      <c r="J26" s="13" t="s">
        <v>4</v>
      </c>
      <c r="K26" s="13" t="s">
        <v>62</v>
      </c>
      <c r="L26" s="13" t="s">
        <v>6</v>
      </c>
      <c r="M26" s="13" t="s">
        <v>22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162</v>
      </c>
      <c r="D27" s="32" t="s">
        <v>843</v>
      </c>
      <c r="E27" s="33">
        <v>4</v>
      </c>
      <c r="F27" s="36">
        <v>83</v>
      </c>
      <c r="G27" s="36">
        <v>58</v>
      </c>
      <c r="H27" s="38" t="str">
        <f t="shared" si="8"/>
        <v>SCOUTING</v>
      </c>
      <c r="I27" s="34">
        <v>600</v>
      </c>
      <c r="J27" s="13" t="s">
        <v>4</v>
      </c>
      <c r="K27" s="13" t="s">
        <v>63</v>
      </c>
      <c r="L27" s="13" t="s">
        <v>6</v>
      </c>
      <c r="M27" s="13" t="s">
        <v>10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1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4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REPORT_U2025162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"U2025162"</v>
      </c>
      <c r="F3" s="45" t="str">
        <f t="shared" ref="F3:F16" si="0">""""&amp;B3&amp;"""" &amp; " : " &amp;C3&amp;","</f>
        <v>"name" : "U2025162",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"U162"</v>
      </c>
      <c r="F4" s="45" t="str">
        <f t="shared" si="0"/>
        <v>"cod" : "U162",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162</v>
      </c>
      <c r="F6" s="45" t="str">
        <f t="shared" si="0"/>
        <v>"number" : 162,</v>
      </c>
    </row>
    <row r="7" spans="2:6" x14ac:dyDescent="0.25">
      <c r="B7" s="43" t="s">
        <v>116</v>
      </c>
      <c r="C7" s="43" t="str">
        <f ca="1">""""&amp;TEXT('SCOUT &amp; LOGISTICS'!B3,"dd/mm/aaaa")&amp;""""</f>
        <v>"04/02/Wednesday"</v>
      </c>
      <c r="F7" s="45" t="str">
        <f t="shared" ca="1" si="0"/>
        <v>"date" : "04/02/Wednesday",</v>
      </c>
    </row>
    <row r="8" spans="2:6" x14ac:dyDescent="0.25">
      <c r="B8" s="43" t="s">
        <v>125</v>
      </c>
      <c r="C8" s="43" t="str">
        <f>""""&amp;'SCOUT &amp; LOGISTICS'!D4 &amp;""""</f>
        <v>"Aris Thessaloniki Betsson"</v>
      </c>
      <c r="F8" s="45" t="str">
        <f t="shared" si="0"/>
        <v>"home_team" : "Aris Thessaloniki Betsson",</v>
      </c>
    </row>
    <row r="9" spans="2:6" x14ac:dyDescent="0.25">
      <c r="B9" s="43" t="s">
        <v>126</v>
      </c>
      <c r="C9" s="43" t="str">
        <f>""""&amp;'SCOUT &amp; LOGISTICS'!D5&amp;""""</f>
        <v>"Neptunas Klaipeda"</v>
      </c>
      <c r="F9" s="45" t="str">
        <f t="shared" si="0"/>
        <v>"away_team" : "Neptunas Klaipeda",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"ELISAVET SAMARA"</v>
      </c>
      <c r="F11" s="45" t="str">
        <f t="shared" si="0"/>
        <v>"Caller_1" : "ELISAVET SAMARA",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"VASILEIOS VOTSARIS"</v>
      </c>
      <c r="F12" s="45" t="str">
        <f t="shared" si="0"/>
        <v>"Caller_2" : "VASILEIOS VOTSARIS",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"NATASA TZIKA"</v>
      </c>
      <c r="F13" s="45" t="str">
        <f t="shared" si="0"/>
        <v>"Timerkeeper" : "NATASA TZIKA",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"TRIANTAFYLLIA KOSTOPOULOU"</v>
      </c>
      <c r="F14" s="45" t="str">
        <f t="shared" si="0"/>
        <v>"Shotclock" : "TRIANTAFYLLIA KOSTOPOULOU",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618</v>
      </c>
      <c r="F25" s="45" t="str">
        <f t="shared" ref="F25:F48" si="1">""""&amp;C25&amp;"""" &amp; " : " &amp;D25&amp;","</f>
        <v>"total_actions" : 618,</v>
      </c>
    </row>
    <row r="26" spans="2:6" x14ac:dyDescent="0.25">
      <c r="C26" s="43" t="s">
        <v>132</v>
      </c>
      <c r="D26" s="43">
        <f>'SCOUT &amp; LOGISTICS'!F3</f>
        <v>11</v>
      </c>
      <c r="F26" s="45" t="str">
        <f t="shared" si="1"/>
        <v>"total_correcions" : 11,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4</v>
      </c>
      <c r="F29" s="45" t="str">
        <f t="shared" si="1"/>
        <v>"no_team" : 4,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4</v>
      </c>
      <c r="F32" s="45" t="str">
        <f t="shared" si="1"/>
        <v>"q2" : 4,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11</v>
      </c>
      <c r="F37" s="45" t="str">
        <f t="shared" si="1"/>
        <v>"scoresheet_corrections" : 11,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area to especially improve is player identity errors. Excellent communication and quick error correction without problems."</v>
      </c>
      <c r="F51" s="45" t="str">
        <f>""""&amp;B51&amp;"""" &amp; " : " &amp;C51&amp;","</f>
        <v>"comments" : "The area to especially improve is player identity errors. Excellent communication and quick error correction without problems.",</v>
      </c>
    </row>
    <row r="52" spans="2:6" x14ac:dyDescent="0.25">
      <c r="B52" s="43" t="s">
        <v>153</v>
      </c>
      <c r="C52" s="43" t="str">
        <f>TEXT('SCOUT &amp; LOGISTICS'!F1,"0,0")</f>
        <v>17_162_ARI_KLA_U2025</v>
      </c>
      <c r="F52" s="45" t="str">
        <f>""""&amp;B52&amp;"""" &amp; " : " &amp;C52</f>
        <v>"result" : 17_162_ARI_KLA_U2025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U162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04/02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Aris Thessaloniki Betsson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Neptunas Klaipeda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KONSTANTINOS KRANIOTIS</v>
      </c>
      <c r="C8" s="201"/>
      <c r="D8" s="201"/>
      <c r="E8" s="201"/>
      <c r="F8" s="201"/>
      <c r="G8" s="201" t="str">
        <f>IF('SCOUT &amp; LOGISTICS'!D7="","",'SCOUT &amp; LOGISTICS'!D7)</f>
        <v>ELISAVET SAMARA</v>
      </c>
      <c r="H8" s="201"/>
      <c r="I8" s="201"/>
      <c r="J8" s="201"/>
      <c r="K8" s="201"/>
      <c r="L8" s="201" t="str">
        <f>IF('SCOUT &amp; LOGISTICS'!D8="","",'SCOUT &amp; LOGISTICS'!D8)</f>
        <v>VASILEIOS VOTSARIS</v>
      </c>
      <c r="M8" s="201"/>
      <c r="N8" s="201"/>
      <c r="O8" s="201"/>
      <c r="P8" s="201"/>
      <c r="Q8" s="201" t="str">
        <f>IF('SCOUT &amp; LOGISTICS'!D9="","",'SCOUT &amp; LOGISTICS'!D9)</f>
        <v>NATASA TZIKA</v>
      </c>
      <c r="R8" s="201"/>
      <c r="S8" s="201"/>
      <c r="T8" s="201"/>
      <c r="U8" s="201"/>
      <c r="V8" s="201" t="str">
        <f>IF('SCOUT &amp; LOGISTICS'!D10="","",'SCOUT &amp; LOGISTICS'!D10)</f>
        <v>TRIANTAFYLLIA KOSTOPOULOU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618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1.7799352750809062E-2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7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4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4</v>
      </c>
      <c r="C22" s="199"/>
      <c r="D22" s="199"/>
      <c r="E22" s="199"/>
      <c r="F22" s="199"/>
      <c r="G22" s="199"/>
      <c r="H22" s="199">
        <f>'SCOUT &amp; LOGISTICS'!AG18</f>
        <v>4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3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11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6</v>
      </c>
      <c r="H27" s="199"/>
      <c r="I27" s="199"/>
      <c r="J27" s="199"/>
      <c r="K27" s="199"/>
      <c r="L27" s="199">
        <f>'SCOUT &amp; LOGISTICS'!AC23</f>
        <v>2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The area to especially improve is player identity errors. Excellent communication and quick error correction without problems.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15.779935275080906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1F71EF79-42DC-4D77-962B-1EDD295427C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2026-02-04T21:49:06Z</cp:lastPrinted>
  <dcterms:created xsi:type="dcterms:W3CDTF">2023-09-19T19:50:35Z</dcterms:created>
  <dcterms:modified xsi:type="dcterms:W3CDTF">2026-02-04T21:49:10Z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