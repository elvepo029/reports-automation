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F34F8696-CE9B-4C10-A42A-92A5F072E05D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SCOUT &amp; LOGISTICS" sheetId="1" r:id="rId1"/>
    <sheet name="Teams" sheetId="5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<sst xmlns="http://schemas.openxmlformats.org/spreadsheetml/2006/main" count="3333" uniqueCount="834">
  <si>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</si>
  <si>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</si>
  <si>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</si>
  <si>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</si>
  <si>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</si>
  <si>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</si>
  <si>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</si>
  <si>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</si>
  <si>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</si>
  <si>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</si>
  <si>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</si>
  <si>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</si>
  <si>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</si>
  <si>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</si>
  <si>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</si>
  <si>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</si>
  <si>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</si>
  <si>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</si>
  <si>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</si>
  <si>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</si>
  <si>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</si>
  <si>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</si>
  <si>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</si>
  <si>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</si>
  <si>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</si>
  <si>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</si>
  <si>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</si>
  <si>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</si>
  <si>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</si>
  <si>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</si>
  <si>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</si>
  <si>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</si>
  <si>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</si>
  <si>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</si>
  <si>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</si>
  <si>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</si>
  <si>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</si>
  <si>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</si>
  <si>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</si>
  <si>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</si>
  <si>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</si>
  <si>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</si>
  <si>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</si>
  <si>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</si>
  <si>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</si>
  <si>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</si>
  <si>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</si>
  <si>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</si>
  <si>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</si>
  <si>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</si>
  <si>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</si>
  <si>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</si>
  <si>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</si>
  <si>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</si>
  <si>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</si>
  <si>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</si>
  <si>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</si>
  <si>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</si>
  <si>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</si>
  <si>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</si>
  <si>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</si>
  <si>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</si>
  <si>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</si>
  <si>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</si>
  <si>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</si>
  <si>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</si>
  <si>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</si>
  <si>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</si>
  <si>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</si>
  <si>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</si>
  <si>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</si>
  <si>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</si>
  <si>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</si>
  <si>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</si>
  <si>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</si>
  <si>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</si>
  <si>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</si>
  <si>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</si>
  <si>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</si>
  <si>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</si>
  <si>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</si>
  <si>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</si>
  <si>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</si>
  <si>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</si>
  <si>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</si>
  <si>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</si>
  <si>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</si>
  <si>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</si>
  <si>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</si>
  <si>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</si>
  <si>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</si>
  <si>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</si>
  <si>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</si>
  <si>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</si>
  <si>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</si>
  <si>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</si>
  <si>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</si>
  <si>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</si>
  <si>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</si>
  <si>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</si>
  <si>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</si>
  <si>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</si>
  <si>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</si>
  <si>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</si>
  <si>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</si>
  <si>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</si>
  <si>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</si>
  <si>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</si>
  <si>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</si>
  <si>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</si>
  <si>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</si>
  <si>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</si>
  <si>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</si>
  <si>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</si>
  <si>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</si>
  <si>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</si>
  <si>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</si>
  <si>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</si>
  <si>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</si>
  <si>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</si>
  <si>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</si>
  <si>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</si>
  <si>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</si>
  <si>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</si>
  <si>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</si>
  <si>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</si>
  <si>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</si>
  <si>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</si>
  <si>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</si>
  <si>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</si>
  <si>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</si>
  <si>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</si>
  <si>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</si>
  <si>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</si>
  <si>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</si>
  <si>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</si>
  <si>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</si>
  <si>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</si>
  <si>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</si>
  <si>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</si>
  <si>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</si>
  <si>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</si>
  <si>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</si>
  <si>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</si>
  <si>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</si>
  <si>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</si>
  <si>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</si>
  <si>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</si>
  <si>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</si>
  <si>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</si>
  <si>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</si>
  <si>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</si>
  <si>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</si>
  <si>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</si>
  <si>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</si>
  <si>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</si>
  <si>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</si>
  <si>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</si>
  <si>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</si>
  <si>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</si>
  <si>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</si>
  <si>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</si>
  <si>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</si>
  <si>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</si>
  <si>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</si>
  <si>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</si>
  <si>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</si>
  <si>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</si>
  <si>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</si>
  <si>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</si>
  <si>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</si>
  <si>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</si>
  <si>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</si>
  <si>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</si>
  <si>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</si>
  <si>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</si>
  <si>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</si>
  <si>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</si>
  <si>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</si>
  <si>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</si>
  <si>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</si>
  <si>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</si>
  <si>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</si>
  <si>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</si>
  <si>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</si>
  <si>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</si>
  <si>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</si>
  <si>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</si>
  <si>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</si>
  <si>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</si>
  <si>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</si>
  <si>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</si>
  <si>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</si>
  <si>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</si>
  <si>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</si>
  <si>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</si>
  <si>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</si>
  <si>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</si>
  <si>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</si>
  <si>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</si>
  <si>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</si>
  <si>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</si>
  <si>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</si>
  <si>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</si>
  <si>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</si>
  <si>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</si>
  <si>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</si>
  <si>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</si>
  <si>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</si>
  <si>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</si>
  <si>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</si>
  <si>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</si>
  <si>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</si>
  <si>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</si>
  <si>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</si>
  <si>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</si>
  <si>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</si>
  <si>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</si>
  <si>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</si>
  <si>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</si>
  <si>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</si>
  <si>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</si>
  <si>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</si>
  <si>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</si>
  <si>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</si>
  <si>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</si>
  <si>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</si>
  <si>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</si>
  <si>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</si>
  <si>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</si>
  <si>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</si>
  <si>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</si>
  <si>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</si>
  <si>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</si>
  <si>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</si>
  <si>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</si>
  <si>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</si>
  <si>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</si>
  <si>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</si>
  <si>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</si>
  <si>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</si>
  <si>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</si>
  <si>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</si>
  <si>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</si>
  <si>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</si>
  <si>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</si>
  <si>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</si>
  <si>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</si>
  <si>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</si>
  <si>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</si>
  <si>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</si>
  <si>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</si>
  <si>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</si>
  <si>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</si>
  <si>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</si>
  <si>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</si>
  <si>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</si>
  <si>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</si>
  <si>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</si>
  <si>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</si>
  <si>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</si>
  <si>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</si>
  <si>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</si>
  <si>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</si>
  <si>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</si>
  <si>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</si>
  <si>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</si>
  <si>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</si>
  <si>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</si>
  <si>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</si>
  <si>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</si>
  <si>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</si>
  <si>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</si>
  <si>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</si>
  <si>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</si>
  <si>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</si>
  <si>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</si>
  <si>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</si>
  <si>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</si>
  <si>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</si>
  <si>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</si>
  <si>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</si>
  <si>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</si>
  <si>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</si>
  <si>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</si>
  <si>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</si>
  <si>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</si>
  <si>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</si>
  <si>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</si>
  <si>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</si>
  <si>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</si>
  <si>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</si>
  <si>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</si>
  <si>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</si>
  <si>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</si>
  <si>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</si>
  <si>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</si>
  <si>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</si>
  <si>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</si>
  <si>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</si>
  <si>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</si>
  <si>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</si>
  <si>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</si>
  <si>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</si>
  <si>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</si>
  <si>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</si>
  <si>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</si>
  <si>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</si>
  <si>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</si>
  <si>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</si>
  <si>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</si>
  <si>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</si>
  <si>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</si>
  <si>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</si>
  <si>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</si>
  <si>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</si>
  <si>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</si>
  <si>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</si>
  <si>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</si>
  <si>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</si>
  <si>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</si>
  <si>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</si>
  <si>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</si>
  <si>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</si>
  <si>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</si>
  <si>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</si>
  <si>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</si>
  <si>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</si>
  <si>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</si>
  <si>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</si>
  <si>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</si>
  <si>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</si>
  <si>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</si>
  <si>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</si>
  <si>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</si>
  <si>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</si>
  <si>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</si>
  <si>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</si>
  <si>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</si>
  <si>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</si>
  <si>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</si>
  <si>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</si>
  <si>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</si>
  <si>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</si>
  <si>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</si>
  <si>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</si>
  <si>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</si>
  <si>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</si>
  <si>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</si>
  <si>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</si>
  <si>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</si>
  <si>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</si>
  <si>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</si>
  <si>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</si>
  <si>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</si>
  <si>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</si>
  <si>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</si>
  <si>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</si>
  <si>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</si>
  <si>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</si>
  <si>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</si>
  <si>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</si>
  <si>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</si>
  <si>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</si>
  <si>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</si>
  <si>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</si>
  <si>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</si>
  <si>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</si>
  <si>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</si>
  <si>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</si>
  <si>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</si>
  <si>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</si>
  <si>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</si>
  <si>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</si>
  <si>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</si>
  <si>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</si>
  <si>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</si>
  <si>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</si>
  <si>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</si>
  <si>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</si>
  <si>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</si>
  <si>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</si>
  <si>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</si>
  <si>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</si>
  <si>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</si>
  <si>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</si>
  <si>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</si>
  <si>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</si>
  <si>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</si>
  <si>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</si>
  <si>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</si>
  <si>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</si>
  <si>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</si>
  <si>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</si>
  <si>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</si>
  <si>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</si>
  <si>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</si>
  <si>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</si>
  <si>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</si>
  <si>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</si>
  <si>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</si>
  <si>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</si>
  <si>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</si>
  <si>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</si>
  <si>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</si>
  <si>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</si>
  <si>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</si>
  <si>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</si>
  <si>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</si>
  <si>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</si>
  <si>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</si>
  <si>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</si>
  <si>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</si>
  <si>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</si>
  <si>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</si>
  <si>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</si>
  <si>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</si>
  <si>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</si>
  <si>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</si>
  <si>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</si>
  <si>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</si>
  <si>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</si>
  <si>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</si>
  <si>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</si>
  <si>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</si>
  <si>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</si>
  <si>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</si>
  <si>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</si>
  <si>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</si>
  <si>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</si>
  <si>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</si>
  <si>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</si>
  <si>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</si>
  <si>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</si>
  <si>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</si>
  <si>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</si>
  <si>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</si>
  <si>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</si>
  <si>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</si>
  <si>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</si>
  <si>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</si>
  <si>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</si>
  <si>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</si>
  <si>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</si>
  <si>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</si>
  <si>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</si>
  <si>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</si>
  <si>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</si>
  <si>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</si>
  <si>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</si>
  <si>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</si>
  <si>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</si>
  <si>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</si>
  <si>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</si>
  <si>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</si>
  <si>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</si>
  <si>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</si>
  <si>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</si>
  <si>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</si>
  <si>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</si>
  <si>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</si>
  <si>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</si>
  <si>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</si>
  <si>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</si>
  <si>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</si>
  <si>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</si>
  <si>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</si>
  <si>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</si>
  <si>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</si>
  <si>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</si>
  <si>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</si>
  <si>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</si>
  <si>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</si>
  <si>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</si>
  <si>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</si>
  <si>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</si>
  <si>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</si>
  <si>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</si>
  <si>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</si>
  <si>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</si>
  <si>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</si>
  <si>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</si>
  <si>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</si>
  <si>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</si>
  <si>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</si>
  <si>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</si>
  <si>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</si>
  <si>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</si>
  <si>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</si>
  <si>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</si>
  <si>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</si>
  <si>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</si>
  <si>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</si>
  <si>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</si>
  <si>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</si>
  <si>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</si>
  <si>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</si>
  <si>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</si>
  <si>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</si>
  <si>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</si>
  <si>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</si>
  <si>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</si>
  <si>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</si>
  <si>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</si>
  <si>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</si>
  <si>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</si>
  <si>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</si>
  <si>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</si>
  <si>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</si>
  <si>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</si>
  <si>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</si>
  <si>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</si>
  <si>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</si>
  <si>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</si>
  <si>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</si>
  <si>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</si>
  <si>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</si>
  <si>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</si>
  <si>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</si>
  <si>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</si>
  <si>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</si>
  <si>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</si>
  <si>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</si>
  <si>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</si>
  <si>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</si>
  <si>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</si>
  <si>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</si>
  <si>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</si>
  <si>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</si>
  <si>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</si>
  <si>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</si>
  <si>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</si>
  <si>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</si>
  <si>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</si>
  <si>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</si>
  <si>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</si>
  <si>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</si>
  <si>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</si>
  <si>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</si>
  <si>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</si>
  <si>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</si>
  <si>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</si>
  <si>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</si>
  <si>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</si>
  <si>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</si>
  <si>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</si>
  <si>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</si>
  <si>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</si>
  <si>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</si>
  <si>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</si>
  <si>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</si>
  <si>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</si>
  <si>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</si>
  <si>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</si>
  <si>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</si>
  <si>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</si>
  <si>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</si>
  <si>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</si>
  <si>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</si>
  <si>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</si>
  <si>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</si>
  <si>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</si>
  <si>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</si>
  <si>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</si>
  <si>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</si>
  <si>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</si>
  <si>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</si>
  <si>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</si>
  <si>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</si>
  <si>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</si>
  <si>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</si>
  <si>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</si>
  <si>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</si>
  <si>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</si>
  <si>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</si>
  <si>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</si>
  <si>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</si>
  <si>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</si>
  <si>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</si>
  <si>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</si>
  <si>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</si>
  <si>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</si>
  <si>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</si>
  <si>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</si>
  <si>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</si>
  <si>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</si>
  <si>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</si>
  <si>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</si>
  <si>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</si>
  <si>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</si>
  <si>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</si>
  <si>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</si>
  <si>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</si>
  <si>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</si>
  <si>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</si>
  <si>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</si>
  <si>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</si>
  <si>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</si>
  <si>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</si>
  <si>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</si>
  <si>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</si>
  <si>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</si>
  <si>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</si>
  <si>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</si>
  <si>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</si>
  <si>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</si>
  <si>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</si>
  <si>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</si>
  <si>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</si>
  <si>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</si>
  <si>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</si>
  <si>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</si>
  <si>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</si>
  <si>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</si>
  <si>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</si>
  <si>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</si>
  <si>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</si>
  <si>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</si>
  <si>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</si>
  <si>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</si>
  <si>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</si>
  <si>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</si>
  <si>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</si>
  <si>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</si>
  <si>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</si>
  <si>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</si>
  <si>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</si>
  <si>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</si>
  <si>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</si>
  <si>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</si>
  <si>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</si>
  <si>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</si>
  <si>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</si>
  <si>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</si>
  <si>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</si>
  <si>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</si>
  <si>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</si>
  <si>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</si>
  <si>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</si>
  <si>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</si>
  <si>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</si>
  <si>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</si>
  <si>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</si>
  <si>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</si>
  <si>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</si>
  <si>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</si>
  <si>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</si>
  <si>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</si>
  <si>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</si>
  <si>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</si>
  <si>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</si>
  <si>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</si>
  <si>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</si>
  <si>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</si>
  <si>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</si>
  <si>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</si>
  <si>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</si>
  <si>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</si>
  <si>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</si>
  <si>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</si>
  <si>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</si>
  <si>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</si>
  <si>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</si>
  <si>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</si>
  <si>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</si>
  <si>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</si>
  <si>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</si>
  <si>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</si>
  <si>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</si>
  <si>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</si>
  <si>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</si>
  <si>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</si>
  <si>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</si>
  <si>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</si>
  <si>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</si>
  <si>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</si>
  <si>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</si>
  <si>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</si>
  <si>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</si>
  <si>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</si>
  <si>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</si>
  <si>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</si>
  <si>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</si>
  <si>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</si>
  <si>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</si>
  <si>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</si>
  <si>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</si>
  <si>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</si>
  <si>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</si>
  <si>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</si>
  <si>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</si>
  <si>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</si>
  <si>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</si>
  <si>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</si>
  <si>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</si>
  <si>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</si>
  <si>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</si>
  <si>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</si>
  <si>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</si>
  <si>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</si>
  <si>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</si>
  <si>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</si>
  <si>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</si>
  <si>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</si>
  <si>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</si>
  <si>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</si>
  <si>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</si>
  <si>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</si>
  <si>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</si>
  <si>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</si>
  <si>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</si>
  <si>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</si>
  <si>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</si>
  <si>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</si>
  <si>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</si>
  <si>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</si>
  <si>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</si>
  <si>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</si>
  <si>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</si>
  <si>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</si>
  <si>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</si>
  <si>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</si>
  <si>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</si>
  <si>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</si>
  <si>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</si>
  <si>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</si>
  <si>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</si>
  <si>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</si>
  <si>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</si>
  <si>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</si>
  <si>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</si>
  <si>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</si>
  <si>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</si>
  <si>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</si>
  <si>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</si>
  <si>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</si>
  <si>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</si>
  <si>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</si>
  <si>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</si>
  <si>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</si>
  <si>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</si>
  <si>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</si>
  <si>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</si>
  <si>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</si>
  <si>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</si>
  <si>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</si>
  <si>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</si>
  <si>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</si>
  <si>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</si>
  <si>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</si>
  <si>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</si>
  <si>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</si>
  <si>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</si>
  <si>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</si>
  <si>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</si>
  <si>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</si>
  <si>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</si>
  <si>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</si>
  <si>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</si>
  <si>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</si>
  <si>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</si>
  <si>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</si>
  <si>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</si>
  <si>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</si>
  <si>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</si>
  <si>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</si>
  <si>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</si>
  <si>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</si>
  <si>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</si>
  <si>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</si>
  <si>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</si>
  <si>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</si>
  <si>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</si>
  <si>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</si>
  <si>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</si>
  <si>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</si>
  <si>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</si>
  <si>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</si>
  <si>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</si>
  <si>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</si>
  <si>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</si>
  <si>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</si>
  <si>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</si>
  <si>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</si>
  <si>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</si>
  <si>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</si>
  <si>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</si>
  <si>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</si>
  <si>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</si>
  <si>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</si>
  <si>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</si>
  <si>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</si>
  <si>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</si>
  <si>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</si>
  <si>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</si>
  <si>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</si>
  <si>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</si>
  <si>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</si>
  <si>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</si>
  <si>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</si>
  <si>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</si>
  <si>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</si>
  <si>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</si>
  <si>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</si>
  <si>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</si>
  <si>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</si>
  <si>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</si>
  <si>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</si>
  <si>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</si>
  <si>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</si>
  <si>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</si>
  <si>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</si>
  <si>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</si>
  <si>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</si>
  <si>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</si>
  <si>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</si>
  <si>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</si>
  <si>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</si>
  <si>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</si>
  <si>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</si>
  <si>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</si>
  <si>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</si>
  <si>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</si>
  <si>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</si>
  <si>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</si>
  <si>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MARIO ENJUANES</t>
  </si>
  <si>
    <t>E</t>
  </si>
  <si>
    <t>During scouting, everything went perfectly. Testing was done from a computer that was neither the main nor the backup machine. Instructions were given on how to test the backup. There was a problem sending DSS data. It was captured from the control panel. It appears the hub disconnected prematurely.</t>
  </si>
  <si>
    <t>BAR GAL ON</t>
  </si>
  <si>
    <t>ELAD CIFLIK</t>
  </si>
  <si>
    <t>EILAM NUSBOUM</t>
  </si>
  <si>
    <t>INAMAR MOSHE ZEMATCH</t>
  </si>
  <si>
    <t>HADAR DAGAN</t>
  </si>
  <si>
    <t>NIR DOBY WAIMAN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</si>
</sst>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I17" activePane="bottomRight" state="frozen"/>
      <selection pane="topRight" activeCell="H1" sqref="H1"/>
      <selection pane="bottomLeft" activeCell="A17" sqref="A17"/>
      <selection pane="bottomRight" activeCell="D9" sqref="D9:G9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17</v>
      </c>
      <c r="D1" s="124" t="s">
        <v>826</v>
      </c>
      <c r="E1" s="125">
        <v>2025</v>
      </c>
      <c r="F1" s="120" t="str">
        <f>TEXT(C1,"00") &amp; "_" &amp; TEXT(C2,"000")&amp; "_" &amp; H4 &amp; "_" &amp; H5 &amp; "_" &amp; B2</f>
        <v>17_162_TEL_PAM_E2025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162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46009.791666666664</v>
      </c>
      <c r="C3" s="178"/>
      <c r="D3" s="39">
        <v>652</v>
      </c>
      <c r="E3" s="29"/>
      <c r="F3" s="26">
        <f>SUBTOTAL(3,I17:I106)</f>
        <v>0</v>
      </c>
      <c r="G3" s="27">
        <f>IF(OR(D3="",D3=0),"",F3/D3)</f>
        <v>0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Maccabi Rapyd Tel Aviv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TEL</v>
      </c>
      <c r="I4" s="5"/>
      <c r="J4" s="119" t="s">
        <v>714</v>
      </c>
      <c r="K4" s="54" t="s">
        <v>743</v>
      </c>
      <c r="L4" s="5"/>
      <c r="M4" s="185" t="s">
        <v>827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Valencia Basket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PAM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">
        <v>828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">
        <v>829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">
        <v>830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">
        <v>831</v>
      </c>
      <c r="E9" s="159"/>
      <c r="F9" s="159"/>
      <c r="G9" s="160"/>
      <c r="H9" s="130" t="str">
        <f>VLOOKUP($H$4,Teams!$B$3:$O$44,3,FALSE)</f>
        <v>IVAN MOSIC</v>
      </c>
      <c r="I9" s="130" t="str">
        <f>VLOOKUP($H$4,Teams!$B$3:$O$44,3,FALSE)</f>
        <v>IVAN MOSIC</v>
      </c>
      <c r="J9" s="130" t="str">
        <f>VLOOKUP($H$4,Teams!$B$3:$O$44,5,FALSE)</f>
        <v>MARIJANA GOLUBOVIC</v>
      </c>
      <c r="K9" s="130" t="str">
        <f>VLOOKUP($H$4,Teams!$B$3:$O$44,6,FALSE)</f>
        <v>IVANA KRSTIC</v>
      </c>
      <c r="L9" s="130" t="str">
        <f>VLOOKUP($H$4,Teams!$B$3:$O$44,7,FALSE)</f>
        <v>LJUPKA VUKOJEVIC</v>
      </c>
      <c r="M9" s="131" t="str">
        <f>VLOOKUP($H$4,Teams!$B$3:$O$44,8,FALSE)</f>
        <v>JOVANA DOJCINOVIC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">
        <v>832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">
        <v>833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162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825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803</v>
      </c>
      <c r="E3" s="133" t="s">
        <v>804</v>
      </c>
      <c r="F3" s="133" t="s">
        <v>805</v>
      </c>
      <c r="G3" s="133" t="s">
        <v>806</v>
      </c>
      <c r="H3" s="133" t="s">
        <v>807</v>
      </c>
      <c r="I3" s="134" t="s">
        <v>808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764</v>
      </c>
      <c r="E4" s="137" t="s">
        <v>765</v>
      </c>
      <c r="F4" s="137" t="s">
        <v>766</v>
      </c>
      <c r="G4" s="137" t="s">
        <v>767</v>
      </c>
      <c r="H4" s="137" t="s">
        <v>768</v>
      </c>
      <c r="I4" s="138" t="s">
        <v>769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787</v>
      </c>
      <c r="E6" s="137" t="s">
        <v>788</v>
      </c>
      <c r="F6" s="137" t="s">
        <v>789</v>
      </c>
      <c r="G6" s="137" t="s">
        <v>780</v>
      </c>
      <c r="H6" s="137" t="s">
        <v>779</v>
      </c>
      <c r="I6" s="138" t="s">
        <v>790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754</v>
      </c>
      <c r="F7" s="137" t="s">
        <v>755</v>
      </c>
      <c r="G7" s="137" t="s">
        <v>756</v>
      </c>
      <c r="H7" s="137" t="s">
        <v>757</v>
      </c>
      <c r="I7" s="137" t="s">
        <v>824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770</v>
      </c>
      <c r="F8" s="137" t="s">
        <v>771</v>
      </c>
      <c r="G8" s="137" t="s">
        <v>772</v>
      </c>
      <c r="H8" s="137" t="s">
        <v>773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818</v>
      </c>
      <c r="E9" s="137" t="s">
        <v>819</v>
      </c>
      <c r="F9" s="137" t="s">
        <v>820</v>
      </c>
      <c r="G9" s="137" t="s">
        <v>821</v>
      </c>
      <c r="H9" s="137" t="s">
        <v>822</v>
      </c>
      <c r="I9" s="138" t="s">
        <v>823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809</v>
      </c>
      <c r="E10" s="137" t="s">
        <v>810</v>
      </c>
      <c r="F10" s="137" t="s">
        <v>811</v>
      </c>
      <c r="G10" s="137" t="s">
        <v>812</v>
      </c>
      <c r="H10" s="137" t="s">
        <v>813</v>
      </c>
      <c r="I10" s="138" t="s">
        <v>814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758</v>
      </c>
      <c r="E13" s="137" t="s">
        <v>759</v>
      </c>
      <c r="F13" s="137" t="s">
        <v>760</v>
      </c>
      <c r="G13" s="137" t="s">
        <v>761</v>
      </c>
      <c r="H13" s="137" t="s">
        <v>762</v>
      </c>
      <c r="I13" s="138" t="s">
        <v>763</v>
      </c>
      <c r="J13" s="139"/>
      <c r="K13" s="137" t="s">
        <v>774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781</v>
      </c>
      <c r="E14" s="137" t="s">
        <v>782</v>
      </c>
      <c r="F14" s="137" t="s">
        <v>783</v>
      </c>
      <c r="G14" s="137" t="s">
        <v>784</v>
      </c>
      <c r="H14" s="137" t="s">
        <v>785</v>
      </c>
      <c r="I14" s="138" t="s">
        <v>786</v>
      </c>
      <c r="J14" s="139"/>
      <c r="K14" s="137" t="s">
        <v>775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776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7" t="s">
        <v>780</v>
      </c>
      <c r="J16" s="139"/>
      <c r="K16" s="137" t="s">
        <v>777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749</v>
      </c>
      <c r="E17" s="137" t="s">
        <v>750</v>
      </c>
      <c r="F17" s="137" t="s">
        <v>751</v>
      </c>
      <c r="G17" s="137" t="s">
        <v>752</v>
      </c>
      <c r="H17" s="137" t="s">
        <v>753</v>
      </c>
      <c r="I17" s="138"/>
      <c r="J17" s="139"/>
      <c r="K17" s="137" t="s">
        <v>778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791</v>
      </c>
      <c r="E18" s="137" t="s">
        <v>792</v>
      </c>
      <c r="F18" s="137" t="s">
        <v>793</v>
      </c>
      <c r="G18" s="137" t="s">
        <v>794</v>
      </c>
      <c r="H18" s="137" t="s">
        <v>795</v>
      </c>
      <c r="I18" s="138" t="s">
        <v>796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815</v>
      </c>
      <c r="E19" s="137" t="s">
        <v>792</v>
      </c>
      <c r="F19" s="137" t="s">
        <v>816</v>
      </c>
      <c r="G19" s="137" t="s">
        <v>817</v>
      </c>
      <c r="H19" s="137" t="s">
        <v>795</v>
      </c>
      <c r="I19" s="138" t="s">
        <v>796</v>
      </c>
      <c r="J19" s="139" t="s">
        <v>774</v>
      </c>
      <c r="K19" s="137" t="s">
        <v>775</v>
      </c>
      <c r="L19" s="137" t="s">
        <v>776</v>
      </c>
      <c r="M19" s="137" t="s">
        <v>777</v>
      </c>
      <c r="N19" s="140" t="s">
        <v>778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 t="s">
        <v>797</v>
      </c>
      <c r="E22" s="142" t="s">
        <v>798</v>
      </c>
      <c r="F22" s="142" t="s">
        <v>799</v>
      </c>
      <c r="G22" s="142" t="s">
        <v>800</v>
      </c>
      <c r="H22" s="142" t="s">
        <v>801</v>
      </c>
      <c r="I22" s="143" t="s">
        <v>802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REPORT_E2025162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"E2025162"</v>
      </c>
      <c r="F3" s="45" t="str">
        <f t="shared" ref="F3:F16" si="0">""""&amp;B3&amp;"""" &amp; " : " &amp;C3&amp;","</f>
        <v>"name" : "E2025162",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"E162"</v>
      </c>
      <c r="F4" s="45" t="str">
        <f t="shared" si="0"/>
        <v>"cod" : "E162",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162</v>
      </c>
      <c r="F6" s="45" t="str">
        <f t="shared" si="0"/>
        <v>"number" : 162,</v>
      </c>
    </row>
    <row r="7" spans="2:6" x14ac:dyDescent="0.2">
      <c r="B7" s="43" t="s">
        <v>116</v>
      </c>
      <c r="C7" s="43" t="str">
        <f ca="1">""""&amp;TEXT('SCOUT &amp; LOGISTICS'!B3,"dd/mm/aaaa")&amp;""""</f>
        <v>"18/12/Thursday"</v>
      </c>
      <c r="F7" s="45" t="str">
        <f t="shared" ca="1" si="0"/>
        <v>"date" : "18/12/Thursday",</v>
      </c>
    </row>
    <row r="8" spans="2:6" x14ac:dyDescent="0.2">
      <c r="B8" s="43" t="s">
        <v>125</v>
      </c>
      <c r="C8" s="43" t="str">
        <f>""""&amp;'SCOUT &amp; LOGISTICS'!D4 &amp;""""</f>
        <v>"Maccabi Rapyd Tel Aviv"</v>
      </c>
      <c r="F8" s="45" t="str">
        <f t="shared" si="0"/>
        <v>"home_team" : "Maccabi Rapyd Tel Aviv",</v>
      </c>
    </row>
    <row r="9" spans="2:6" x14ac:dyDescent="0.2">
      <c r="B9" s="43" t="s">
        <v>126</v>
      </c>
      <c r="C9" s="43" t="str">
        <f>""""&amp;'SCOUT &amp; LOGISTICS'!D5&amp;""""</f>
        <v>"Valencia Basket"</v>
      </c>
      <c r="F9" s="45" t="str">
        <f t="shared" si="0"/>
        <v>"away_team" : "Valencia Basket",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"BAR GAL ON"</v>
      </c>
      <c r="F10" s="45" t="str">
        <f t="shared" si="0"/>
        <v>"Data_entry" : "BAR GAL ON",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"ELAD CIFLIK"</v>
      </c>
      <c r="F11" s="45" t="str">
        <f t="shared" si="0"/>
        <v>"Caller_1" : "ELAD CIFLIK",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"EILAM NUSBOUM"</v>
      </c>
      <c r="F12" s="45" t="str">
        <f t="shared" si="0"/>
        <v>"Caller_2" : "EILAM NUSBOUM",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"INAMAR MOSHE ZEMATCH"</v>
      </c>
      <c r="F13" s="45" t="str">
        <f t="shared" si="0"/>
        <v>"Timerkeeper" : "INAMAR MOSHE ZEMATCH",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"HADAR DAGAN"</v>
      </c>
      <c r="F14" s="45" t="str">
        <f t="shared" si="0"/>
        <v>"Shotclock" : "HADAR DAGAN",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"NIR DOBY WAIMAN"</v>
      </c>
      <c r="F15" s="45" t="str">
        <f t="shared" si="0"/>
        <v>"IRS" : "NIR DOBY WAIMAN",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652</v>
      </c>
      <c r="F25" s="45" t="str">
        <f t="shared" ref="F25:F48" si="1">""""&amp;C25&amp;"""" &amp; " : " &amp;D25&amp;","</f>
        <v>"total_actions" : 652,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"During scouting, everything went perfectly. Testing was done from a computer that was neither the main nor the backup machine. Instructions were given on how to test the backup. There was a problem sending DSS data. It was captured from the control panel. It appears the hub disconnected prematurely."</v>
      </c>
      <c r="F51" s="45" t="str">
        <f>""""&amp;B51&amp;"""" &amp; " : " &amp;C51&amp;","</f>
        <v>"comments" : "During scouting, everything went perfectly. Testing was done from a computer that was neither the main nor the backup machine. Instructions were given on how to test the backup. There was a problem sending DSS data. It was captured from the control panel. It appears the hub disconnected prematurely.",</v>
      </c>
    </row>
    <row r="52" spans="2:6" x14ac:dyDescent="0.2">
      <c r="B52" s="43" t="s">
        <v>153</v>
      </c>
      <c r="C52" s="43" t="str">
        <f>TEXT('SCOUT &amp; LOGISTICS'!F1,"0,0")</f>
        <v>17_162_TEL_PAM_E2025</v>
      </c>
      <c r="F52" s="45" t="str">
        <f>""""&amp;B52&amp;"""" &amp; " : " &amp;C52</f>
        <v>"result" : 17_162_TEL_PAM_E2025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E162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18/12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Maccabi Rapyd Tel Aviv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Valencia Basket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BAR GAL ON</v>
      </c>
      <c r="C8" s="201"/>
      <c r="D8" s="201"/>
      <c r="E8" s="201"/>
      <c r="F8" s="201"/>
      <c r="G8" s="201" t="str">
        <f>IF('SCOUT &amp; LOGISTICS'!D7="","",'SCOUT &amp; LOGISTICS'!D7)</f>
        <v>ELAD CIFLIK</v>
      </c>
      <c r="H8" s="201"/>
      <c r="I8" s="201"/>
      <c r="J8" s="201"/>
      <c r="K8" s="201"/>
      <c r="L8" s="201" t="str">
        <f>IF('SCOUT &amp; LOGISTICS'!D8="","",'SCOUT &amp; LOGISTICS'!D8)</f>
        <v>EILAM NUSBOUM</v>
      </c>
      <c r="M8" s="201"/>
      <c r="N8" s="201"/>
      <c r="O8" s="201"/>
      <c r="P8" s="201"/>
      <c r="Q8" s="201" t="str">
        <f>IF('SCOUT &amp; LOGISTICS'!D9="","",'SCOUT &amp; LOGISTICS'!D9)</f>
        <v>INAMAR MOSHE ZEMATCH</v>
      </c>
      <c r="R8" s="201"/>
      <c r="S8" s="201"/>
      <c r="T8" s="201"/>
      <c r="U8" s="201"/>
      <c r="V8" s="201" t="str">
        <f>IF('SCOUT &amp; LOGISTICS'!D10="","",'SCOUT &amp; LOGISTICS'!D10)</f>
        <v>HADAR DAGAN</v>
      </c>
      <c r="W8" s="201"/>
      <c r="X8" s="201"/>
      <c r="Y8" s="201"/>
      <c r="Z8" s="201"/>
      <c r="AA8" s="201" t="str">
        <f>IF('SCOUT &amp; LOGISTICS'!D11="","",'SCOUT &amp; LOGISTICS'!D11)</f>
        <v>NIR DOBY WAIMAN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652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0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During scouting, everything went perfectly. Testing was done from a computer that was neither the main nor the backup machine. Instructions were given on how to test the backup. There was a problem sending DSS data. It was captured from the control panel. It appears the hub disconnected prematurely.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936E3B9-12DE-4BB7-83AD-BBEE3271EE74}"/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2026-01-16T15:06:03Z</cp:lastPrinted>
  <dcterms:created xsi:type="dcterms:W3CDTF">2023-09-19T19:50:35Z</dcterms:created>
  <dcterms:modified xsi:type="dcterms:W3CDTF">2026-01-16T15:11:04Z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