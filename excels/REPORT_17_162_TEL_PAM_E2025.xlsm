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34F8696-CE9B-4C10-A42A-92A5F072E05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<sst xmlns="http://schemas.openxmlformats.org/spreadsheetml/2006/main" count="3333" uniqueCount="834">
  <si>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</si>
  <si>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</si>
  <si>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</si>
  <si>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</si>
  <si>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</si>
  <si>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</si>
  <si>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</si>
  <si>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</si>
  <si>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</si>
  <si>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</si>
  <si>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</si>
  <si>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</si>
  <si>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</si>
  <si>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</si>
  <si>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</si>
  <si>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</si>
  <si>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</si>
  <si>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</si>
  <si>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</si>
  <si>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</si>
  <si>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</si>
  <si>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</si>
  <si>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</si>
  <si>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</si>
  <si>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</si>
  <si>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</si>
  <si>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</si>
  <si>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</si>
  <si>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</si>
  <si>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</si>
  <si>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</si>
  <si>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</si>
  <si>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</si>
  <si>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</si>
  <si>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</si>
  <si>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</si>
  <si>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</si>
  <si>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</si>
  <si>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</si>
  <si>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</si>
  <si>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</si>
  <si>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</si>
  <si>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</si>
  <si>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</si>
  <si>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</si>
  <si>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</si>
  <si>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</si>
  <si>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</si>
  <si>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</si>
  <si>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</si>
  <si>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</si>
  <si>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</si>
  <si>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</si>
  <si>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</si>
  <si>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</si>
  <si>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</si>
  <si>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</si>
  <si>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</si>
  <si>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</si>
  <si>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</si>
  <si>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</si>
  <si>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</si>
  <si>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</si>
  <si>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</si>
  <si>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</si>
  <si>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</si>
  <si>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</si>
  <si>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</si>
  <si>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</si>
  <si>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</si>
  <si>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</si>
  <si>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</si>
  <si>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</si>
  <si>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</si>
  <si>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</si>
  <si>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</si>
  <si>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</si>
  <si>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</si>
  <si>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</si>
  <si>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</si>
  <si>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</si>
  <si>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</si>
  <si>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</si>
  <si>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</si>
  <si>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</si>
  <si>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</si>
  <si>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</si>
  <si>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</si>
  <si>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</si>
  <si>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</si>
  <si>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</si>
  <si>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</si>
  <si>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</si>
  <si>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</si>
  <si>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</si>
  <si>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</si>
  <si>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</si>
  <si>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</si>
  <si>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</si>
  <si>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</si>
  <si>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</si>
  <si>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</si>
  <si>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</si>
  <si>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</si>
  <si>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</si>
  <si>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</si>
  <si>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</si>
  <si>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</si>
  <si>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</si>
  <si>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</si>
  <si>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</si>
  <si>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</si>
  <si>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</si>
  <si>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</si>
  <si>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</si>
  <si>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</si>
  <si>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</si>
  <si>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</si>
  <si>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</si>
  <si>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</si>
  <si>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</si>
  <si>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</si>
  <si>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</si>
  <si>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</si>
  <si>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</si>
  <si>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</si>
  <si>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</si>
  <si>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</si>
  <si>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</si>
  <si>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</si>
  <si>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</si>
  <si>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</si>
  <si>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</si>
  <si>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</si>
  <si>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</si>
  <si>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</si>
  <si>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</si>
  <si>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</si>
  <si>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</si>
  <si>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</si>
  <si>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</si>
  <si>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</si>
  <si>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</si>
  <si>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</si>
  <si>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</si>
  <si>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</si>
  <si>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</si>
  <si>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</si>
  <si>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</si>
  <si>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</si>
  <si>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</si>
  <si>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</si>
  <si>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</si>
  <si>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</si>
  <si>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</si>
  <si>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</si>
  <si>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</si>
  <si>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</si>
  <si>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</si>
  <si>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</si>
  <si>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</si>
  <si>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</si>
  <si>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</si>
  <si>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</si>
  <si>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</si>
  <si>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</si>
  <si>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</si>
  <si>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</si>
  <si>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</si>
  <si>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</si>
  <si>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</si>
  <si>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</si>
  <si>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</si>
  <si>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</si>
  <si>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</si>
  <si>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</si>
  <si>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</si>
  <si>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</si>
  <si>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</si>
  <si>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</si>
  <si>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</si>
  <si>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</si>
  <si>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</si>
  <si>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</si>
  <si>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</si>
  <si>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</si>
  <si>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</si>
  <si>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</si>
  <si>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</si>
  <si>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</si>
  <si>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</si>
  <si>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</si>
  <si>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</si>
  <si>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</si>
  <si>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</si>
  <si>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</si>
  <si>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</si>
  <si>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</si>
  <si>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</si>
  <si>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</si>
  <si>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</si>
  <si>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</si>
  <si>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</si>
  <si>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</si>
  <si>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</si>
  <si>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</si>
  <si>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</si>
  <si>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</si>
  <si>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</si>
  <si>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</si>
  <si>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</si>
  <si>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</si>
  <si>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</si>
  <si>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</si>
  <si>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</si>
  <si>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</si>
  <si>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</si>
  <si>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</si>
  <si>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</si>
  <si>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</si>
  <si>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</si>
  <si>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</si>
  <si>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</si>
  <si>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</si>
  <si>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</si>
  <si>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</si>
  <si>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</si>
  <si>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</si>
  <si>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</si>
  <si>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</si>
  <si>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</si>
  <si>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</si>
  <si>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</si>
  <si>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</si>
  <si>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</si>
  <si>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</si>
  <si>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</si>
  <si>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</si>
  <si>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</si>
  <si>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</si>
  <si>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</si>
  <si>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</si>
  <si>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</si>
  <si>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</si>
  <si>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</si>
  <si>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</si>
  <si>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</si>
  <si>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</si>
  <si>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</si>
  <si>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</si>
  <si>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</si>
  <si>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</si>
  <si>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</si>
  <si>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</si>
  <si>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</si>
  <si>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</si>
  <si>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</si>
  <si>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</si>
  <si>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</si>
  <si>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</si>
  <si>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</si>
  <si>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</si>
  <si>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</si>
  <si>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</si>
  <si>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</si>
  <si>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</si>
  <si>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</si>
  <si>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</si>
  <si>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</si>
  <si>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</si>
  <si>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</si>
  <si>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</si>
  <si>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</si>
  <si>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</si>
  <si>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</si>
  <si>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</si>
  <si>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</si>
  <si>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</si>
  <si>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</si>
  <si>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</si>
  <si>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</si>
  <si>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</si>
  <si>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</si>
  <si>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</si>
  <si>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</si>
  <si>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</si>
  <si>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</si>
  <si>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</si>
  <si>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</si>
  <si>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</si>
  <si>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</si>
  <si>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</si>
  <si>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</si>
  <si>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</si>
  <si>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</si>
  <si>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</si>
  <si>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</si>
  <si>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</si>
  <si>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</si>
  <si>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</si>
  <si>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</si>
  <si>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</si>
  <si>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</si>
  <si>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</si>
  <si>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</si>
  <si>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</si>
  <si>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</si>
  <si>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</si>
  <si>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</si>
  <si>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</si>
  <si>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</si>
  <si>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</si>
  <si>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</si>
  <si>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</si>
  <si>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</si>
  <si>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</si>
  <si>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</si>
  <si>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</si>
  <si>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</si>
  <si>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</si>
  <si>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</si>
  <si>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</si>
  <si>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</si>
  <si>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</si>
  <si>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</si>
  <si>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</si>
  <si>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</si>
  <si>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</si>
  <si>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</si>
  <si>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</si>
  <si>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</si>
  <si>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</si>
  <si>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</si>
  <si>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</si>
  <si>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</si>
  <si>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</si>
  <si>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</si>
  <si>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</si>
  <si>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</si>
  <si>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</si>
  <si>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</si>
  <si>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</si>
  <si>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</si>
  <si>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</si>
  <si>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</si>
  <si>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</si>
  <si>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</si>
  <si>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</si>
  <si>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</si>
  <si>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</si>
  <si>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</si>
  <si>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</si>
  <si>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</si>
  <si>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</si>
  <si>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</si>
  <si>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</si>
  <si>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</si>
  <si>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</si>
  <si>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</si>
  <si>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</si>
  <si>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</si>
  <si>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</si>
  <si>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</si>
  <si>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</si>
  <si>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</si>
  <si>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</si>
  <si>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</si>
  <si>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</si>
  <si>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</si>
  <si>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</si>
  <si>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</si>
  <si>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</si>
  <si>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</si>
  <si>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</si>
  <si>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</si>
  <si>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</si>
  <si>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</si>
  <si>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</si>
  <si>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</si>
  <si>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</si>
  <si>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</si>
  <si>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</si>
  <si>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</si>
  <si>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</si>
  <si>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</si>
  <si>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</si>
  <si>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</si>
  <si>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</si>
  <si>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</si>
  <si>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</si>
  <si>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</si>
  <si>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</si>
  <si>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</si>
  <si>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</si>
  <si>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</si>
  <si>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</si>
  <si>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</si>
  <si>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</si>
  <si>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</si>
  <si>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</si>
  <si>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</si>
  <si>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</si>
  <si>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</si>
  <si>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</si>
  <si>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</si>
  <si>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</si>
  <si>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</si>
  <si>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</si>
  <si>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</si>
  <si>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</si>
  <si>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</si>
  <si>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</si>
  <si>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</si>
  <si>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</si>
  <si>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</si>
  <si>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</si>
  <si>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</si>
  <si>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</si>
  <si>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</si>
  <si>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</si>
  <si>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</si>
  <si>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</si>
  <si>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</si>
  <si>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</si>
  <si>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</si>
  <si>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</si>
  <si>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</si>
  <si>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</si>
  <si>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</si>
  <si>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</si>
  <si>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</si>
  <si>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</si>
  <si>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</si>
  <si>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</si>
  <si>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</si>
  <si>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</si>
  <si>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</si>
  <si>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</si>
  <si>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</si>
  <si>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</si>
  <si>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</si>
  <si>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</si>
  <si>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</si>
  <si>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</si>
  <si>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</si>
  <si>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</si>
  <si>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</si>
  <si>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</si>
  <si>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</si>
  <si>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</si>
  <si>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</si>
  <si>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</si>
  <si>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</si>
  <si>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</si>
  <si>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</si>
  <si>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</si>
  <si>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</si>
  <si>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</si>
  <si>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</si>
  <si>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</si>
  <si>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</si>
  <si>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</si>
  <si>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</si>
  <si>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</si>
  <si>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</si>
  <si>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</si>
  <si>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</si>
  <si>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</si>
  <si>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</si>
  <si>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</si>
  <si>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</si>
  <si>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</si>
  <si>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</si>
  <si>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</si>
  <si>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</si>
  <si>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</si>
  <si>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</si>
  <si>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</si>
  <si>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</si>
  <si>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</si>
  <si>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</si>
  <si>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</si>
  <si>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</si>
  <si>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</si>
  <si>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</si>
  <si>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</si>
  <si>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</si>
  <si>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</si>
  <si>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</si>
  <si>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</si>
  <si>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</si>
  <si>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</si>
  <si>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</si>
  <si>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</si>
  <si>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</si>
  <si>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</si>
  <si>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</si>
  <si>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</si>
  <si>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</si>
  <si>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</si>
  <si>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</si>
  <si>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</si>
  <si>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</si>
  <si>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</si>
  <si>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</si>
  <si>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</si>
  <si>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</si>
  <si>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</si>
  <si>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</si>
  <si>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</si>
  <si>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</si>
  <si>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</si>
  <si>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</si>
  <si>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</si>
  <si>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</si>
  <si>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</si>
  <si>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</si>
  <si>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</si>
  <si>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</si>
  <si>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</si>
  <si>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</si>
  <si>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</si>
  <si>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</si>
  <si>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</si>
  <si>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</si>
  <si>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</si>
  <si>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</si>
  <si>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</si>
  <si>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</si>
  <si>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</si>
  <si>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</si>
  <si>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</si>
  <si>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</si>
  <si>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</si>
  <si>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</si>
  <si>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</si>
  <si>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</si>
  <si>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</si>
  <si>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</si>
  <si>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</si>
  <si>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</si>
  <si>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</si>
  <si>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</si>
  <si>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</si>
  <si>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</si>
  <si>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</si>
  <si>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</si>
  <si>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</si>
  <si>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</si>
  <si>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</si>
  <si>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</si>
  <si>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</si>
  <si>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</si>
  <si>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</si>
  <si>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</si>
  <si>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</si>
  <si>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</si>
  <si>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</si>
  <si>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</si>
  <si>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</si>
  <si>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</si>
  <si>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</si>
  <si>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</si>
  <si>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</si>
  <si>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</si>
  <si>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</si>
  <si>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</si>
  <si>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</si>
  <si>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</si>
  <si>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</si>
  <si>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</si>
  <si>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</si>
  <si>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</si>
  <si>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</si>
  <si>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</si>
  <si>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</si>
  <si>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</si>
  <si>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</si>
  <si>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</si>
  <si>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</si>
  <si>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</si>
  <si>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</si>
  <si>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</si>
  <si>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</si>
  <si>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</si>
  <si>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</si>
  <si>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</si>
  <si>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</si>
  <si>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</si>
  <si>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</si>
  <si>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</si>
  <si>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</si>
  <si>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</si>
  <si>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</si>
  <si>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</si>
  <si>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</si>
  <si>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</si>
  <si>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</si>
  <si>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</si>
  <si>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</si>
  <si>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</si>
  <si>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</si>
  <si>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</si>
  <si>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</si>
  <si>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</si>
  <si>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</si>
  <si>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</si>
  <si>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</si>
  <si>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</si>
  <si>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</si>
  <si>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</si>
  <si>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</si>
  <si>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</si>
  <si>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</si>
  <si>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</si>
  <si>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</si>
  <si>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</si>
  <si>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</si>
  <si>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</si>
  <si>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</si>
  <si>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</si>
  <si>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</si>
  <si>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</si>
  <si>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</si>
  <si>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</si>
  <si>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</si>
  <si>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</si>
  <si>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</si>
  <si>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</si>
  <si>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</si>
  <si>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</si>
  <si>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</si>
  <si>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</si>
  <si>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</si>
  <si>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</si>
  <si>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</si>
  <si>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</si>
  <si>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</si>
  <si>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</si>
  <si>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</si>
  <si>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</si>
  <si>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</si>
  <si>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</si>
  <si>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</si>
  <si>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</si>
  <si>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</si>
  <si>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</si>
  <si>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</si>
  <si>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</si>
  <si>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</si>
  <si>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</si>
  <si>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</si>
  <si>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</si>
  <si>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</si>
  <si>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</si>
  <si>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</si>
  <si>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</si>
  <si>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</si>
  <si>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</si>
  <si>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</si>
  <si>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</si>
  <si>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</si>
  <si>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</si>
  <si>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</si>
  <si>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</si>
  <si>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</si>
  <si>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</si>
  <si>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</si>
  <si>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</si>
  <si>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</si>
  <si>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</si>
  <si>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</si>
  <si>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</si>
  <si>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</si>
  <si>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</si>
  <si>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</si>
  <si>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</si>
  <si>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</si>
  <si>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</si>
  <si>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</si>
  <si>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</si>
  <si>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</si>
  <si>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</si>
  <si>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</si>
  <si>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</si>
  <si>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</si>
  <si>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</si>
  <si>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</si>
  <si>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</si>
  <si>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</si>
  <si>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</si>
  <si>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</si>
  <si>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</si>
  <si>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</si>
  <si>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</si>
  <si>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</si>
  <si>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</si>
  <si>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</si>
  <si>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</si>
  <si>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</si>
  <si>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</si>
  <si>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</si>
  <si>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</si>
  <si>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</si>
  <si>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</si>
  <si>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</si>
  <si>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</si>
  <si>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</si>
  <si>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</si>
  <si>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</si>
  <si>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</si>
  <si>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</si>
  <si>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</si>
  <si>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</si>
  <si>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</si>
  <si>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</si>
  <si>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</si>
  <si>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</si>
  <si>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</si>
  <si>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</si>
  <si>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</si>
  <si>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</si>
  <si>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</si>
  <si>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</si>
  <si>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</si>
  <si>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</si>
  <si>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</si>
  <si>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</si>
  <si>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</si>
  <si>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</si>
  <si>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</si>
  <si>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</si>
  <si>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</si>
  <si>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</si>
  <si>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</si>
  <si>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</si>
  <si>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</si>
  <si>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</si>
  <si>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</si>
  <si>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</si>
  <si>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</si>
  <si>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</si>
  <si>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</si>
  <si>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</si>
  <si>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</si>
  <si>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</si>
  <si>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</si>
  <si>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</si>
  <si>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</si>
  <si>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</si>
  <si>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</si>
  <si>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</si>
  <si>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</si>
  <si>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</si>
  <si>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</si>
  <si>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</si>
  <si>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</si>
  <si>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</si>
  <si>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</si>
  <si>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</si>
  <si>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</si>
  <si>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</si>
  <si>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</si>
  <si>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</si>
  <si>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</si>
  <si>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</si>
  <si>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</si>
  <si>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</si>
  <si>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</si>
  <si>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</si>
  <si>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</si>
  <si>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</si>
  <si>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</si>
  <si>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</si>
  <si>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</si>
  <si>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</si>
  <si>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</si>
  <si>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</si>
  <si>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</si>
  <si>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</si>
  <si>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</si>
  <si>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</si>
  <si>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</si>
  <si>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</si>
  <si>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</si>
  <si>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</si>
  <si>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</si>
  <si>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</si>
  <si>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</si>
  <si>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</si>
  <si>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</si>
  <si>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</si>
  <si>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</si>
  <si>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</si>
  <si>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</si>
  <si>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</si>
  <si>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</si>
  <si>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</si>
  <si>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</si>
  <si>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</si>
  <si>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</si>
  <si>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</si>
  <si>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</si>
  <si>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</si>
  <si>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</si>
  <si>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</si>
  <si>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</si>
  <si>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</si>
  <si>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</si>
  <si>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</si>
  <si>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</si>
  <si>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</si>
  <si>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</si>
  <si>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</si>
  <si>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</si>
  <si>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</si>
  <si>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</si>
  <si>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</si>
  <si>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</si>
  <si>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</si>
  <si>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</si>
  <si>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</si>
  <si>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</si>
  <si>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</si>
  <si>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</si>
  <si>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</si>
  <si>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</si>
  <si>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During scouting, everything went perfectly. Testing was done from a computer that was neither the main nor the backup machine. Instructions were given on how to test the backup. There was a problem sending DSS data. It was captured from the control panel. It appears the hub disconnected prematurely.</t>
  </si>
  <si>
    <t>BAR GAL ON</t>
  </si>
  <si>
    <t>ELAD CIFLIK</t>
  </si>
  <si>
    <t>EILAM NUSBOUM</t>
  </si>
  <si>
    <t>INAMAR MOSHE ZEMATCH</t>
  </si>
  <si>
    <t>HADAR DAGAN</t>
  </si>
  <si>
    <t>NIR DOBY WAIMAN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</si>
</sst>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 activeCell="D9" sqref="D9:G9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17_162_TEL_PAM_E2025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162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46009.791666666664</v>
      </c>
      <c r="C3" s="178"/>
      <c r="D3" s="39">
        <v>652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827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829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830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831</v>
      </c>
      <c r="E9" s="159"/>
      <c r="F9" s="159"/>
      <c r="G9" s="160"/>
      <c r="H9" s="130" t="str">
        <f>VLOOKUP($H$4,Teams!$B$3:$O$44,3,FALSE)</f>
        <v>IVAN MOSIC</v>
      </c>
      <c r="I9" s="130" t="str">
        <f>VLOOKUP($H$4,Teams!$B$3:$O$44,3,FALSE)</f>
        <v>IVAN MOSIC</v>
      </c>
      <c r="J9" s="130" t="str">
        <f>VLOOKUP($H$4,Teams!$B$3:$O$44,5,FALSE)</f>
        <v>MARIJANA GOLUBOVIC</v>
      </c>
      <c r="K9" s="130" t="str">
        <f>VLOOKUP($H$4,Teams!$B$3:$O$44,6,FALSE)</f>
        <v>IVANA KRSTIC</v>
      </c>
      <c r="L9" s="130" t="str">
        <f>VLOOKUP($H$4,Teams!$B$3:$O$44,7,FALSE)</f>
        <v>LJUPKA VUKOJEVIC</v>
      </c>
      <c r="M9" s="131" t="str">
        <f>VLOOKUP($H$4,Teams!$B$3:$O$44,8,FALSE)</f>
        <v>JOVANA DOJCINOVIC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832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833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REPORT_E2025162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"E2025162"</v>
      </c>
      <c r="F3" s="45" t="str">
        <f t="shared" ref="F3:F16" si="0">""""&amp;B3&amp;"""" &amp; " : " &amp;C3&amp;","</f>
        <v>"name" : "E2025162",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"E162"</v>
      </c>
      <c r="F4" s="45" t="str">
        <f t="shared" si="0"/>
        <v>"cod" : "E162",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162</v>
      </c>
      <c r="F6" s="45" t="str">
        <f t="shared" si="0"/>
        <v>"number" : 162,</v>
      </c>
    </row>
    <row r="7" spans="2:6" x14ac:dyDescent="0.2">
      <c r="B7" s="43" t="s">
        <v>116</v>
      </c>
      <c r="C7" s="43" t="str">
        <f ca="1">""""&amp;TEXT('SCOUT &amp; LOGISTICS'!B3,"dd/mm/aaaa")&amp;""""</f>
        <v>"18/12/Thursday"</v>
      </c>
      <c r="F7" s="45" t="str">
        <f t="shared" ca="1" si="0"/>
        <v>"date" : "18/12/Thursday",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"BAR GAL ON"</v>
      </c>
      <c r="F10" s="45" t="str">
        <f t="shared" si="0"/>
        <v>"Data_entry" : "BAR GAL ON",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"ELAD CIFLIK"</v>
      </c>
      <c r="F11" s="45" t="str">
        <f t="shared" si="0"/>
        <v>"Caller_1" : "ELAD CIFLIK",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"EILAM NUSBOUM"</v>
      </c>
      <c r="F12" s="45" t="str">
        <f t="shared" si="0"/>
        <v>"Caller_2" : "EILAM NUSBOUM",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"INAMAR MOSHE ZEMATCH"</v>
      </c>
      <c r="F13" s="45" t="str">
        <f t="shared" si="0"/>
        <v>"Timerkeeper" : "INAMAR MOSHE ZEMATCH",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"HADAR DAGAN"</v>
      </c>
      <c r="F14" s="45" t="str">
        <f t="shared" si="0"/>
        <v>"Shotclock" : "HADAR DAGAN",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"NIR DOBY WAIMAN"</v>
      </c>
      <c r="F15" s="45" t="str">
        <f t="shared" si="0"/>
        <v>"IRS" : "NIR DOBY WAIMAN",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652</v>
      </c>
      <c r="F25" s="45" t="str">
        <f t="shared" ref="F25:F48" si="1">""""&amp;C25&amp;"""" &amp; " : " &amp;D25&amp;","</f>
        <v>"total_actions" : 652,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"During scouting, everything went perfectly. Testing was done from a computer that was neither the main nor the backup machine. Instructions were given on how to test the backup. There was a problem sending DSS data. It was captured from the control panel. It appears the hub disconnected prematurely."</v>
      </c>
      <c r="F51" s="45" t="str">
        <f>""""&amp;B51&amp;"""" &amp; " : " &amp;C51&amp;","</f>
        <v>"comments" : "During scouting, everything went perfectly. Testing was done from a computer that was neither the main nor the backup machine. Instructions were given on how to test the backup. There was a problem sending DSS data. It was captured from the control panel. It appears the hub disconnected prematurely.",</v>
      </c>
    </row>
    <row r="52" spans="2:6" x14ac:dyDescent="0.2">
      <c r="B52" s="43" t="s">
        <v>153</v>
      </c>
      <c r="C52" s="43" t="str">
        <f>TEXT('SCOUT &amp; LOGISTICS'!F1,"0,0")</f>
        <v>17_162_TEL_PAM_E2025</v>
      </c>
      <c r="F52" s="45" t="str">
        <f>""""&amp;B52&amp;"""" &amp; " : " &amp;C52</f>
        <v>"result" : 17_162_TEL_PAM_E2025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E162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18/12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BAR GAL ON</v>
      </c>
      <c r="C8" s="201"/>
      <c r="D8" s="201"/>
      <c r="E8" s="201"/>
      <c r="F8" s="201"/>
      <c r="G8" s="201" t="str">
        <f>IF('SCOUT &amp; LOGISTICS'!D7="","",'SCOUT &amp; LOGISTICS'!D7)</f>
        <v>ELAD CIFLIK</v>
      </c>
      <c r="H8" s="201"/>
      <c r="I8" s="201"/>
      <c r="J8" s="201"/>
      <c r="K8" s="201"/>
      <c r="L8" s="201" t="str">
        <f>IF('SCOUT &amp; LOGISTICS'!D8="","",'SCOUT &amp; LOGISTICS'!D8)</f>
        <v>EILAM NUSBOUM</v>
      </c>
      <c r="M8" s="201"/>
      <c r="N8" s="201"/>
      <c r="O8" s="201"/>
      <c r="P8" s="201"/>
      <c r="Q8" s="201" t="str">
        <f>IF('SCOUT &amp; LOGISTICS'!D9="","",'SCOUT &amp; LOGISTICS'!D9)</f>
        <v>INAMAR MOSHE ZEMATCH</v>
      </c>
      <c r="R8" s="201"/>
      <c r="S8" s="201"/>
      <c r="T8" s="201"/>
      <c r="U8" s="201"/>
      <c r="V8" s="201" t="str">
        <f>IF('SCOUT &amp; LOGISTICS'!D10="","",'SCOUT &amp; LOGISTICS'!D10)</f>
        <v>HADAR DAGAN</v>
      </c>
      <c r="W8" s="201"/>
      <c r="X8" s="201"/>
      <c r="Y8" s="201"/>
      <c r="Z8" s="201"/>
      <c r="AA8" s="201" t="str">
        <f>IF('SCOUT &amp; LOGISTICS'!D11="","",'SCOUT &amp; LOGISTICS'!D11)</f>
        <v>NIR DOBY WAIMAN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652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During scouting, everything went perfectly. Testing was done from a computer that was neither the main nor the backup machine. Instructions were given on how to test the backup. There was a problem sending DSS data. It was captured from the control panel. It appears the hub disconnected prematurely.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451500F-CF74-4AB0-9048-316B8FB1289B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2026-01-16T15:06:03Z</cp:lastPrinted>
  <dcterms:created xsi:type="dcterms:W3CDTF">2023-09-19T19:50:35Z</dcterms:created>
  <dcterms:modified xsi:type="dcterms:W3CDTF">2026-01-16T15:11:04Z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