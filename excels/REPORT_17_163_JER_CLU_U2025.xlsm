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D0B77C1-93F4-4B29-8CC6-F61EA19C4C25}" xr6:coauthVersionLast="47" xr6:coauthVersionMax="47" xr10:uidLastSave="{00000000-0000-0000-0000-000000000000}"/>
  <bookViews>
    <workbookView xWindow="28680" yWindow="-120" windowWidth="23280" windowHeight="1248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<sst xmlns="http://schemas.openxmlformats.org/spreadsheetml/2006/main" count="3343" uniqueCount="836">
  <si>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</si>
  <si>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</si>
  <si>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</si>
  <si>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</si>
  <si>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</si>
  <si>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</si>
  <si>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</si>
  <si>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</si>
  <si>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</si>
  <si>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</si>
  <si>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</si>
  <si>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</si>
  <si>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</si>
  <si>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</si>
  <si>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</si>
  <si>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</si>
  <si>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</si>
  <si>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</si>
  <si>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</si>
  <si>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</si>
  <si>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</si>
  <si>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</si>
  <si>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</si>
  <si>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</si>
  <si>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</si>
  <si>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</si>
  <si>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</si>
  <si>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</si>
  <si>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</si>
  <si>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</si>
  <si>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</si>
  <si>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</si>
  <si>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</si>
  <si>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</si>
  <si>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</si>
  <si>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</si>
  <si>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</si>
  <si>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</si>
  <si>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</si>
  <si>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</si>
  <si>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</si>
  <si>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</si>
  <si>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</si>
  <si>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</si>
  <si>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</si>
  <si>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</si>
  <si>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</si>
  <si>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</si>
  <si>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</si>
  <si>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</si>
  <si>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</si>
  <si>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</si>
  <si>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</si>
  <si>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</si>
  <si>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</si>
  <si>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</si>
  <si>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</si>
  <si>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</si>
  <si>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</si>
  <si>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</si>
  <si>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</si>
  <si>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</si>
  <si>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</si>
  <si>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</si>
  <si>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</si>
  <si>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</si>
  <si>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</si>
  <si>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</si>
  <si>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</si>
  <si>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</si>
  <si>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</si>
  <si>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</si>
  <si>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</si>
  <si>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</si>
  <si>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</si>
  <si>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</si>
  <si>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</si>
  <si>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</si>
  <si>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</si>
  <si>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</si>
  <si>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</si>
  <si>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</si>
  <si>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</si>
  <si>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</si>
  <si>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</si>
  <si>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</si>
  <si>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</si>
  <si>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</si>
  <si>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</si>
  <si>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</si>
  <si>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</si>
  <si>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</si>
  <si>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</si>
  <si>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</si>
  <si>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</si>
  <si>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</si>
  <si>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</si>
  <si>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</si>
  <si>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</si>
  <si>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</si>
  <si>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</si>
  <si>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</si>
  <si>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</si>
  <si>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</si>
  <si>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</si>
  <si>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</si>
  <si>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</si>
  <si>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</si>
  <si>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</si>
  <si>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</si>
  <si>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</si>
  <si>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</si>
  <si>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</si>
  <si>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</si>
  <si>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</si>
  <si>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</si>
  <si>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</si>
  <si>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</si>
  <si>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</si>
  <si>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</si>
  <si>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</si>
  <si>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</si>
  <si>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</si>
  <si>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</si>
  <si>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</si>
  <si>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</si>
  <si>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</si>
  <si>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</si>
  <si>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</si>
  <si>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</si>
  <si>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</si>
  <si>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</si>
  <si>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</si>
  <si>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</si>
  <si>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</si>
  <si>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</si>
  <si>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</si>
  <si>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</si>
  <si>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</si>
  <si>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</si>
  <si>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</si>
  <si>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</si>
  <si>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</si>
  <si>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</si>
  <si>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</si>
  <si>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</si>
  <si>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</si>
  <si>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</si>
  <si>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</si>
  <si>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</si>
  <si>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</si>
  <si>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</si>
  <si>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</si>
  <si>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</si>
  <si>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</si>
  <si>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</si>
  <si>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</si>
  <si>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</si>
  <si>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</si>
  <si>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</si>
  <si>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</si>
  <si>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</si>
  <si>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</si>
  <si>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</si>
  <si>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</si>
  <si>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</si>
  <si>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</si>
  <si>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</si>
  <si>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</si>
  <si>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</si>
  <si>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</si>
  <si>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</si>
  <si>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</si>
  <si>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</si>
  <si>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</si>
  <si>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</si>
  <si>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</si>
  <si>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</si>
  <si>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</si>
  <si>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</si>
  <si>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</si>
  <si>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</si>
  <si>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</si>
  <si>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</si>
  <si>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</si>
  <si>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</si>
  <si>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</si>
  <si>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</si>
  <si>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</si>
  <si>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</si>
  <si>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</si>
  <si>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</si>
  <si>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</si>
  <si>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</si>
  <si>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</si>
  <si>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</si>
  <si>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</si>
  <si>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</si>
  <si>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</si>
  <si>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</si>
  <si>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</si>
  <si>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</si>
  <si>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</si>
  <si>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</si>
  <si>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</si>
  <si>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</si>
  <si>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</si>
  <si>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</si>
  <si>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</si>
  <si>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</si>
  <si>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</si>
  <si>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</si>
  <si>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</si>
  <si>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</si>
  <si>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</si>
  <si>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</si>
  <si>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</si>
  <si>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</si>
  <si>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</si>
  <si>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</si>
  <si>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</si>
  <si>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</si>
  <si>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</si>
  <si>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</si>
  <si>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</si>
  <si>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</si>
  <si>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</si>
  <si>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</si>
  <si>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</si>
  <si>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</si>
  <si>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</si>
  <si>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</si>
  <si>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</si>
  <si>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</si>
  <si>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</si>
  <si>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</si>
  <si>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</si>
  <si>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</si>
  <si>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</si>
  <si>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</si>
  <si>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</si>
  <si>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</si>
  <si>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</si>
  <si>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</si>
  <si>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</si>
  <si>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</si>
  <si>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</si>
  <si>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</si>
  <si>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</si>
  <si>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</si>
  <si>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</si>
  <si>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</si>
  <si>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</si>
  <si>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</si>
  <si>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</si>
  <si>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</si>
  <si>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</si>
  <si>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</si>
  <si>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</si>
  <si>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</si>
  <si>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</si>
  <si>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</si>
  <si>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</si>
  <si>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</si>
  <si>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</si>
  <si>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</si>
  <si>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</si>
  <si>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</si>
  <si>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</si>
  <si>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</si>
  <si>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</si>
  <si>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</si>
  <si>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</si>
  <si>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</si>
  <si>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</si>
  <si>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</si>
  <si>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</si>
  <si>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</si>
  <si>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</si>
  <si>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</si>
  <si>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</si>
  <si>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</si>
  <si>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</si>
  <si>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</si>
  <si>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</si>
  <si>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</si>
  <si>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</si>
  <si>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</si>
  <si>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</si>
  <si>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</si>
  <si>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</si>
  <si>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</si>
  <si>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</si>
  <si>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</si>
  <si>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</si>
  <si>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</si>
  <si>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</si>
  <si>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</si>
  <si>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</si>
  <si>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</si>
  <si>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</si>
  <si>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</si>
  <si>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</si>
  <si>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</si>
  <si>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</si>
  <si>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</si>
  <si>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</si>
  <si>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</si>
  <si>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</si>
  <si>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</si>
  <si>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</si>
  <si>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</si>
  <si>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</si>
  <si>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</si>
  <si>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</si>
  <si>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</si>
  <si>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</si>
  <si>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</si>
  <si>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</si>
  <si>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</si>
  <si>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</si>
  <si>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</si>
  <si>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</si>
  <si>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</si>
  <si>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</si>
  <si>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</si>
  <si>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</si>
  <si>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</si>
  <si>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</si>
  <si>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</si>
  <si>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</si>
  <si>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</si>
  <si>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</si>
  <si>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</si>
  <si>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</si>
  <si>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</si>
  <si>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</si>
  <si>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</si>
  <si>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</si>
  <si>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</si>
  <si>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</si>
  <si>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</si>
  <si>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</si>
  <si>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</si>
  <si>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</si>
  <si>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</si>
  <si>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</si>
  <si>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</si>
  <si>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</si>
  <si>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</si>
  <si>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</si>
  <si>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</si>
  <si>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</si>
  <si>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</si>
  <si>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</si>
  <si>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</si>
  <si>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</si>
  <si>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</si>
  <si>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</si>
  <si>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</si>
  <si>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</si>
  <si>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</si>
  <si>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</si>
  <si>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</si>
  <si>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</si>
  <si>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</si>
  <si>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</si>
  <si>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</si>
  <si>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</si>
  <si>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</si>
  <si>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</si>
  <si>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</si>
  <si>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</si>
  <si>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</si>
  <si>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</si>
  <si>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</si>
  <si>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</si>
  <si>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</si>
  <si>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</si>
  <si>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</si>
  <si>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</si>
  <si>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</si>
  <si>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</si>
  <si>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</si>
  <si>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</si>
  <si>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</si>
  <si>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</si>
  <si>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</si>
  <si>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</si>
  <si>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</si>
  <si>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</si>
  <si>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</si>
  <si>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</si>
  <si>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</si>
  <si>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</si>
  <si>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</si>
  <si>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</si>
  <si>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</si>
  <si>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</si>
  <si>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</si>
  <si>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</si>
  <si>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</si>
  <si>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</si>
  <si>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</si>
  <si>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</si>
  <si>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</si>
  <si>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</si>
  <si>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</si>
  <si>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</si>
  <si>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</si>
  <si>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</si>
  <si>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</si>
  <si>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</si>
  <si>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</si>
  <si>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</si>
  <si>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</si>
  <si>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</si>
  <si>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</si>
  <si>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</si>
  <si>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</si>
  <si>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</si>
  <si>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</si>
  <si>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</si>
  <si>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</si>
  <si>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</si>
  <si>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</si>
  <si>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</si>
  <si>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</si>
  <si>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</si>
  <si>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</si>
  <si>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</si>
  <si>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</si>
  <si>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</si>
  <si>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</si>
  <si>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</si>
  <si>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</si>
  <si>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</si>
  <si>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</si>
  <si>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</si>
  <si>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</si>
  <si>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</si>
  <si>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</si>
  <si>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</si>
  <si>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</si>
  <si>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</si>
  <si>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</si>
  <si>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</si>
  <si>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</si>
  <si>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</si>
  <si>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</si>
  <si>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</si>
  <si>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</si>
  <si>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</si>
  <si>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</si>
  <si>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</si>
  <si>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</si>
  <si>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</si>
  <si>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</si>
  <si>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</si>
  <si>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</si>
  <si>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</si>
  <si>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</si>
  <si>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</si>
  <si>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</si>
  <si>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</si>
  <si>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</si>
  <si>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</si>
  <si>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</si>
  <si>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</si>
  <si>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</si>
  <si>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</si>
  <si>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</si>
  <si>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</si>
  <si>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</si>
  <si>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</si>
  <si>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</si>
  <si>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</si>
  <si>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</si>
  <si>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</si>
  <si>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</si>
  <si>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</si>
  <si>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</si>
  <si>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</si>
  <si>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</si>
  <si>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</si>
  <si>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</si>
  <si>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</si>
  <si>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</si>
  <si>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</si>
  <si>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</si>
  <si>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</si>
  <si>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</si>
  <si>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</si>
  <si>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</si>
  <si>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</si>
  <si>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</si>
  <si>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</si>
  <si>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</si>
  <si>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</si>
  <si>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</si>
  <si>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</si>
  <si>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</si>
  <si>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</si>
  <si>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</si>
  <si>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</si>
  <si>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</si>
  <si>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</si>
  <si>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</si>
  <si>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</si>
  <si>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</si>
  <si>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</si>
  <si>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</si>
  <si>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</si>
  <si>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</si>
  <si>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</si>
  <si>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</si>
  <si>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</si>
  <si>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</si>
  <si>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</si>
  <si>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</si>
  <si>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</si>
  <si>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</si>
  <si>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</si>
  <si>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</si>
  <si>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</si>
  <si>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</si>
  <si>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</si>
  <si>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</si>
  <si>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</si>
  <si>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</si>
  <si>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</si>
  <si>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</si>
  <si>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</si>
  <si>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</si>
  <si>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</si>
  <si>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</si>
  <si>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</si>
  <si>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</si>
  <si>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</si>
  <si>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</si>
  <si>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</si>
  <si>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</si>
  <si>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</si>
  <si>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</si>
  <si>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</si>
  <si>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</si>
  <si>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</si>
  <si>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</si>
  <si>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</si>
  <si>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</si>
  <si>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</si>
  <si>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</si>
  <si>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</si>
  <si>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</si>
  <si>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</si>
  <si>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</si>
  <si>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</si>
  <si>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</si>
  <si>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</si>
  <si>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</si>
  <si>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</si>
  <si>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</si>
  <si>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</si>
  <si>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</si>
  <si>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</si>
  <si>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</si>
  <si>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</si>
  <si>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</si>
  <si>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</si>
  <si>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</si>
  <si>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</si>
  <si>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</si>
  <si>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</si>
  <si>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</si>
  <si>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</si>
  <si>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</si>
  <si>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</si>
  <si>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</si>
  <si>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</si>
  <si>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</si>
  <si>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</si>
  <si>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</si>
  <si>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</si>
  <si>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</si>
  <si>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</si>
  <si>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</si>
  <si>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</si>
  <si>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</si>
  <si>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</si>
  <si>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</si>
  <si>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</si>
  <si>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</si>
  <si>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</si>
  <si>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</si>
  <si>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</si>
  <si>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</si>
  <si>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</si>
  <si>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</si>
  <si>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</si>
  <si>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</si>
  <si>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</si>
  <si>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</si>
  <si>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</si>
  <si>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</si>
  <si>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</si>
  <si>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</si>
  <si>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</si>
  <si>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</si>
  <si>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</si>
  <si>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</si>
  <si>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</si>
  <si>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</si>
  <si>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</si>
  <si>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</si>
  <si>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</si>
  <si>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</si>
  <si>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</si>
  <si>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</si>
  <si>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</si>
  <si>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</si>
  <si>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</si>
  <si>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</si>
  <si>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</si>
  <si>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</si>
  <si>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</si>
  <si>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</si>
  <si>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</si>
  <si>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</si>
  <si>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</si>
  <si>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</si>
  <si>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</si>
  <si>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</si>
  <si>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</si>
  <si>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</si>
  <si>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</si>
  <si>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</si>
  <si>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</si>
  <si>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</si>
  <si>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</si>
  <si>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</si>
  <si>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</si>
  <si>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</si>
  <si>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</si>
  <si>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</si>
  <si>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</si>
  <si>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</si>
  <si>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</si>
  <si>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</si>
  <si>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</si>
  <si>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</si>
  <si>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</si>
  <si>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</si>
  <si>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</si>
  <si>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</si>
  <si>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</si>
  <si>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</si>
  <si>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</si>
  <si>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</si>
  <si>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</si>
  <si>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</si>
  <si>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</si>
  <si>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</si>
  <si>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</si>
  <si>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</si>
  <si>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</si>
  <si>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</si>
  <si>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</si>
  <si>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</si>
  <si>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</si>
  <si>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</si>
  <si>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</si>
  <si>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</si>
  <si>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</si>
  <si>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</si>
  <si>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</si>
  <si>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</si>
  <si>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</si>
  <si>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</si>
  <si>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</si>
  <si>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</si>
  <si>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</si>
  <si>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</si>
  <si>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</si>
  <si>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</si>
  <si>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</si>
  <si>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</si>
  <si>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</si>
  <si>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</si>
  <si>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</si>
  <si>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</si>
  <si>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</si>
  <si>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</si>
  <si>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</si>
  <si>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</si>
  <si>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</si>
  <si>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</si>
  <si>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</si>
  <si>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</si>
  <si>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</si>
  <si>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</si>
  <si>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</si>
  <si>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</si>
  <si>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</si>
  <si>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</si>
  <si>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</si>
  <si>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</si>
  <si>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</si>
  <si>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</si>
  <si>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</si>
  <si>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</si>
  <si>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</si>
  <si>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</si>
  <si>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</si>
  <si>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</si>
  <si>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</si>
  <si>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</si>
  <si>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</si>
  <si>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</si>
  <si>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</si>
  <si>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</si>
  <si>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</si>
  <si>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</si>
  <si>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</si>
  <si>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</si>
  <si>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</si>
  <si>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</si>
  <si>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</si>
  <si>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</si>
  <si>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</si>
  <si>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</si>
  <si>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</si>
  <si>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</si>
  <si>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</si>
  <si>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</si>
  <si>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</si>
  <si>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</si>
  <si>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</si>
  <si>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</si>
  <si>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</si>
  <si>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</si>
  <si>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</si>
  <si>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</si>
  <si>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</si>
  <si>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</si>
  <si>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</si>
  <si>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</si>
  <si>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</si>
  <si>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</si>
  <si>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</si>
  <si>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</si>
  <si>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</si>
  <si>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</si>
  <si>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</si>
  <si>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</si>
  <si>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</si>
  <si>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</si>
  <si>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</si>
  <si>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</si>
  <si>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</si>
  <si>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</si>
  <si>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</si>
  <si>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</si>
  <si>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</si>
  <si>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</si>
  <si>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</si>
  <si>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</si>
  <si>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</si>
  <si>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</si>
  <si>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</si>
  <si>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</si>
  <si>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</si>
  <si>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</si>
  <si>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</si>
  <si>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</si>
  <si>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</si>
  <si>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</si>
  <si>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</si>
  <si>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</si>
  <si>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</si>
  <si>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</si>
  <si>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</si>
  <si>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</si>
  <si>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</si>
  <si>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</si>
  <si>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</si>
  <si>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</si>
  <si>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</si>
  <si>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</si>
  <si>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</si>
  <si>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</si>
  <si>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</si>
  <si>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</si>
  <si>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</si>
  <si>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</si>
  <si>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</si>
  <si>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</si>
  <si>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</si>
  <si>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</si>
  <si>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</si>
  <si>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</si>
  <si>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</si>
  <si>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</si>
  <si>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</si>
  <si>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</si>
  <si>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</si>
  <si>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</si>
  <si>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</si>
  <si>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</si>
  <si>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</si>
  <si>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</si>
  <si>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</si>
  <si>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</si>
  <si>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</si>
  <si>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</si>
  <si>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</si>
  <si>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</si>
  <si>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</si>
  <si>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</si>
  <si>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</si>
  <si>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</si>
  <si>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</si>
  <si>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</si>
  <si>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</si>
  <si>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</si>
  <si>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</si>
  <si>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</si>
  <si>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MARC VENTURA</t>
  </si>
  <si>
    <t>NOA KONFINO</t>
  </si>
  <si>
    <t>TAL GRAFF</t>
  </si>
  <si>
    <t>ALMOG BAND</t>
  </si>
  <si>
    <t>SHAVIT MICHAELI</t>
  </si>
  <si>
    <t>NIR SEGAL</t>
  </si>
  <si>
    <t>GOOD, PREGAME, MISSING TO PUT BACKUP ONLINE AND TEST ITT</t>
  </si>
  <si>
    <t xml:space="preserve">VERY GOOD JOB. GOOD AT COMMUNICATION. HAVE TO IMPROVE ON CERTAIN ACTIONS, BASICALLY IDENTIFY THE SITUATION PROPERLY TO ACT CONSECUENTLY. </t>
  </si>
  <si>
    <t>4:04</t>
  </si>
  <si>
    <t>00:20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</si>
</sst>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3" sqref="N2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17_163_JER_CLU_U2025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163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46057.833333333336</v>
      </c>
      <c r="C3" s="157"/>
      <c r="D3" s="39">
        <v>769</v>
      </c>
      <c r="E3" s="29"/>
      <c r="F3" s="26">
        <f>SUBTOTAL(3,I17:I106)</f>
        <v>2</v>
      </c>
      <c r="G3" s="27">
        <f>IF(OR(D3="",D3=0),"",F3/D3)</f>
        <v>2.6007802340702211E-3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Hapoel Bank Yahav Jerusalem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JER</v>
      </c>
      <c r="I4" s="5"/>
      <c r="J4" s="119" t="s">
        <v>714</v>
      </c>
      <c r="K4" s="54" t="s">
        <v>743</v>
      </c>
      <c r="L4" s="5"/>
      <c r="M4" s="167" t="s">
        <v>833</v>
      </c>
      <c r="N4" s="168"/>
      <c r="O4" s="2"/>
      <c r="P4" s="2"/>
      <c r="Q4" s="84" t="s">
        <v>175</v>
      </c>
      <c r="R4" s="94">
        <f>(IF(G3="",0,G3))</f>
        <v>2.6007802340702211E-3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U-BT Cluj-Napoca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CLU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0.26007802340702213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827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828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3.2600780234070221</v>
      </c>
      <c r="N7" s="58"/>
      <c r="O7" s="2"/>
      <c r="P7" s="2"/>
      <c r="Q7" s="86">
        <f>SUM(R5,S5,AC16)</f>
        <v>3.2600780234070221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829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3.2600780234070221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830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831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26.2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163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832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163</v>
      </c>
      <c r="D17" s="32" t="s">
        <v>834</v>
      </c>
      <c r="E17" s="33">
        <v>3</v>
      </c>
      <c r="F17" s="36">
        <v>61</v>
      </c>
      <c r="G17" s="36">
        <v>40</v>
      </c>
      <c r="H17" s="38" t="str">
        <f>IF(I17="","",$I$14)</f>
        <v>SCOUTING</v>
      </c>
      <c r="I17" s="34">
        <v>404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163</v>
      </c>
      <c r="D18" s="32" t="s">
        <v>835</v>
      </c>
      <c r="E18" s="33">
        <v>3</v>
      </c>
      <c r="F18" s="36">
        <v>71</v>
      </c>
      <c r="G18" s="36">
        <v>56</v>
      </c>
      <c r="H18" s="38" t="str">
        <f t="shared" ref="H18:H81" si="8">IF(I18="","",$I$14)</f>
        <v>SCOUTING</v>
      </c>
      <c r="I18" s="34">
        <v>465</v>
      </c>
      <c r="J18" s="13" t="s">
        <v>4</v>
      </c>
      <c r="K18" s="13" t="s">
        <v>62</v>
      </c>
      <c r="L18" s="13" t="s">
        <v>48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REPORT_U2025163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"U2025163"</v>
      </c>
      <c r="F3" s="45" t="str">
        <f t="shared" ref="F3:F16" si="0">""""&amp;B3&amp;"""" &amp; " : " &amp;C3&amp;","</f>
        <v>"name" : "U2025163",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"U163"</v>
      </c>
      <c r="F4" s="45" t="str">
        <f t="shared" si="0"/>
        <v>"cod" : "U163",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163</v>
      </c>
      <c r="F6" s="45" t="str">
        <f t="shared" si="0"/>
        <v>"number" : 163,</v>
      </c>
    </row>
    <row r="7" spans="2:6" x14ac:dyDescent="0.2">
      <c r="B7" s="43" t="s">
        <v>116</v>
      </c>
      <c r="C7" s="43" t="str">
        <f ca="1">""""&amp;TEXT('SCOUT &amp; LOGISTICS'!B3,"dd/mm/aaaa")&amp;""""</f>
        <v>"04/02/2026"</v>
      </c>
      <c r="F7" s="45" t="str">
        <f t="shared" ca="1" si="0"/>
        <v>"date" : "04/02/2026",</v>
      </c>
    </row>
    <row r="8" spans="2:6" x14ac:dyDescent="0.2">
      <c r="B8" s="43" t="s">
        <v>125</v>
      </c>
      <c r="C8" s="43" t="str">
        <f>""""&amp;'SCOUT &amp; LOGISTICS'!D4 &amp;""""</f>
        <v>"Hapoel Bank Yahav Jerusalem"</v>
      </c>
      <c r="F8" s="45" t="str">
        <f t="shared" si="0"/>
        <v>"home_team" : "Hapoel Bank Yahav Jerusalem",</v>
      </c>
    </row>
    <row r="9" spans="2:6" x14ac:dyDescent="0.2">
      <c r="B9" s="43" t="s">
        <v>126</v>
      </c>
      <c r="C9" s="43" t="str">
        <f>""""&amp;'SCOUT &amp; LOGISTICS'!D5&amp;""""</f>
        <v>"U-BT Cluj-Napoca"</v>
      </c>
      <c r="F9" s="45" t="str">
        <f t="shared" si="0"/>
        <v>"away_team" : "U-BT Cluj-Napoca",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"NOA KONFINO"</v>
      </c>
      <c r="F10" s="45" t="str">
        <f t="shared" si="0"/>
        <v>"Data_entry" : "NOA KONFINO",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"TAL GRAFF"</v>
      </c>
      <c r="F11" s="45" t="str">
        <f t="shared" si="0"/>
        <v>"Caller_1" : "TAL GRAFF",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"ALMOG BAND"</v>
      </c>
      <c r="F12" s="45" t="str">
        <f t="shared" si="0"/>
        <v>"Caller_2" : "ALMOG BAND",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"SHAVIT MICHAELI"</v>
      </c>
      <c r="F13" s="45" t="str">
        <f t="shared" si="0"/>
        <v>"Timerkeeper" : "SHAVIT MICHAELI",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"NIR SEGAL"</v>
      </c>
      <c r="F14" s="45" t="str">
        <f t="shared" si="0"/>
        <v>"Shotclock" : "NIR SEGAL",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769</v>
      </c>
      <c r="F25" s="45" t="str">
        <f t="shared" ref="F25:F48" si="1">""""&amp;C25&amp;"""" &amp; " : " &amp;D25&amp;","</f>
        <v>"total_actions" : 769,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JOB. GOOD AT COMMUNICATION. HAVE TO IMPROVE ON CERTAIN ACTIONS, BASICALLY IDENTIFY THE SITUATION PROPERLY TO ACT CONSECUENTLY. "</v>
      </c>
      <c r="F51" s="45" t="str">
        <f>""""&amp;B51&amp;"""" &amp; " : " &amp;C51&amp;","</f>
        <v>"comments" : "VERY GOOD JOB. GOOD AT COMMUNICATION. HAVE TO IMPROVE ON CERTAIN ACTIONS, BASICALLY IDENTIFY THE SITUATION PROPERLY TO ACT CONSECUENTLY. ",</v>
      </c>
    </row>
    <row r="52" spans="2:6" x14ac:dyDescent="0.2">
      <c r="B52" s="43" t="s">
        <v>153</v>
      </c>
      <c r="C52" s="43" t="str">
        <f>TEXT('SCOUT &amp; LOGISTICS'!F1,"0,0")</f>
        <v>17_163_JER_CLU_U2025</v>
      </c>
      <c r="F52" s="45" t="str">
        <f>""""&amp;B52&amp;"""" &amp; " : " &amp;C52</f>
        <v>"result" : 17_163_JER_CLU_U2025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U163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04/02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Hapoel Bank Yahav Jerusalem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U-Bt Cluj-Napoca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NOA KONFINO</v>
      </c>
      <c r="C8" s="206"/>
      <c r="D8" s="206"/>
      <c r="E8" s="206"/>
      <c r="F8" s="206"/>
      <c r="G8" s="206" t="str">
        <f>IF('SCOUT &amp; LOGISTICS'!D7="","",'SCOUT &amp; LOGISTICS'!D7)</f>
        <v>TAL GRAFF</v>
      </c>
      <c r="H8" s="206"/>
      <c r="I8" s="206"/>
      <c r="J8" s="206"/>
      <c r="K8" s="206"/>
      <c r="L8" s="206" t="str">
        <f>IF('SCOUT &amp; LOGISTICS'!D8="","",'SCOUT &amp; LOGISTICS'!D8)</f>
        <v>ALMOG BAND</v>
      </c>
      <c r="M8" s="206"/>
      <c r="N8" s="206"/>
      <c r="O8" s="206"/>
      <c r="P8" s="206"/>
      <c r="Q8" s="206" t="str">
        <f>IF('SCOUT &amp; LOGISTICS'!D9="","",'SCOUT &amp; LOGISTICS'!D9)</f>
        <v>SHAVIT MICHAELI</v>
      </c>
      <c r="R8" s="206"/>
      <c r="S8" s="206"/>
      <c r="T8" s="206"/>
      <c r="U8" s="206"/>
      <c r="V8" s="206" t="str">
        <f>IF('SCOUT &amp; LOGISTICS'!D10="","",'SCOUT &amp; LOGISTICS'!D10)</f>
        <v>NIR SEGAL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769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2.6007802340702211E-3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 xml:space="preserve">VERY GOOD JOB. GOOD AT COMMUNICATION. HAVE TO IMPROVE ON CERTAIN ACTIONS, BASICALLY IDENTIFY THE SITUATION PROPERLY TO ACT CONSECUENTLY.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3.2600780234070221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F838B62-36DD-4E4E-9995-BFD8F439156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2026-01-07T21:15:19Z</cp:lastPrinted>
  <dcterms:created xsi:type="dcterms:W3CDTF">2023-09-19T19:50:35Z</dcterms:created>
  <dcterms:modified xsi:type="dcterms:W3CDTF">2026-02-04T22:52:14Z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