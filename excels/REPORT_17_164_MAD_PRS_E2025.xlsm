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13" documentId="8_{E8153CF8-BB1D-467C-A0D9-A43ABCC530D5}" xr6:coauthVersionLast="47" xr6:coauthVersionMax="47" xr10:uidLastSave="{D026BE2D-5648-4AA2-AFBB-0123565E8F71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<sst xmlns="http://schemas.openxmlformats.org/spreadsheetml/2006/main" count="3295" uniqueCount="769">
  <si>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</si>
  <si>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</si>
  <si>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</si>
  <si>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</si>
  <si>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</si>
  <si>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</si>
  <si>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</si>
  <si>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</si>
  <si>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</si>
  <si>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</si>
  <si>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</si>
  <si>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</si>
  <si>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</si>
  <si>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</si>
  <si>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</si>
  <si>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</si>
  <si>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</si>
  <si>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</si>
  <si>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</si>
  <si>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</si>
  <si>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</si>
  <si>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</si>
  <si>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</si>
  <si>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</si>
  <si>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</si>
  <si>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</si>
  <si>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</si>
  <si>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</si>
  <si>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</si>
  <si>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</si>
  <si>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</si>
  <si>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</si>
  <si>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</si>
  <si>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</si>
  <si>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</si>
  <si>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</si>
  <si>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</si>
  <si>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</si>
  <si>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</si>
  <si>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</si>
  <si>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</si>
  <si>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</si>
  <si>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</si>
  <si>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</si>
  <si>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</si>
  <si>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</si>
  <si>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</si>
  <si>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</si>
  <si>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</si>
  <si>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</si>
  <si>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</si>
  <si>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</si>
  <si>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</si>
  <si>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</si>
  <si>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</si>
  <si>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</si>
  <si>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</si>
  <si>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</si>
  <si>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</si>
  <si>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</si>
  <si>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</si>
  <si>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</si>
  <si>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</si>
  <si>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</si>
  <si>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</si>
  <si>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</si>
  <si>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</si>
  <si>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</si>
  <si>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</si>
  <si>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</si>
  <si>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</si>
  <si>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</si>
  <si>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</si>
  <si>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</si>
  <si>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</si>
  <si>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</si>
  <si>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</si>
  <si>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</si>
  <si>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</si>
  <si>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</si>
  <si>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</si>
  <si>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</si>
  <si>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</si>
  <si>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</si>
  <si>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</si>
  <si>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</si>
  <si>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</si>
  <si>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</si>
  <si>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</si>
  <si>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</si>
  <si>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</si>
  <si>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</si>
  <si>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</si>
  <si>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</si>
  <si>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</si>
  <si>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</si>
  <si>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</si>
  <si>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</si>
  <si>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</si>
  <si>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</si>
  <si>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</si>
  <si>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</si>
  <si>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</si>
  <si>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</si>
  <si>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</si>
  <si>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</si>
  <si>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</si>
  <si>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</si>
  <si>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</si>
  <si>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</si>
  <si>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</si>
  <si>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</si>
  <si>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</si>
  <si>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</si>
  <si>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</si>
  <si>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</si>
  <si>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</si>
  <si>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</si>
  <si>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</si>
  <si>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</si>
  <si>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</si>
  <si>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</si>
  <si>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</si>
  <si>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</si>
  <si>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</si>
  <si>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</si>
  <si>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</si>
  <si>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</si>
  <si>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</si>
  <si>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</si>
  <si>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</si>
  <si>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</si>
  <si>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</si>
  <si>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</si>
  <si>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</si>
  <si>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</si>
  <si>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</si>
  <si>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</si>
  <si>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</si>
  <si>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</si>
  <si>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</si>
  <si>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</si>
  <si>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</si>
  <si>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</si>
  <si>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</si>
  <si>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</si>
  <si>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</si>
  <si>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</si>
  <si>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</si>
  <si>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</si>
  <si>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</si>
  <si>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</si>
  <si>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</si>
  <si>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</si>
  <si>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</si>
  <si>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</si>
  <si>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</si>
  <si>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</si>
  <si>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</si>
  <si>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</si>
  <si>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</si>
  <si>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</si>
  <si>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</si>
  <si>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</si>
  <si>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</si>
  <si>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</si>
  <si>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</si>
  <si>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</si>
  <si>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</si>
  <si>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</si>
  <si>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</si>
  <si>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</si>
  <si>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</si>
  <si>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</si>
  <si>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</si>
  <si>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</si>
  <si>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</si>
  <si>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</si>
  <si>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</si>
  <si>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</si>
  <si>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</si>
  <si>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</si>
  <si>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</si>
  <si>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</si>
  <si>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</si>
  <si>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</si>
  <si>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</si>
  <si>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</si>
  <si>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</si>
  <si>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</si>
  <si>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</si>
  <si>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</si>
  <si>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</si>
  <si>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</si>
  <si>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</si>
  <si>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</si>
  <si>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</si>
  <si>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</si>
  <si>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</si>
  <si>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</si>
  <si>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</si>
  <si>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</si>
  <si>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</si>
  <si>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</si>
  <si>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</si>
  <si>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</si>
  <si>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</si>
  <si>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</si>
  <si>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</si>
  <si>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</si>
  <si>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</si>
  <si>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</si>
  <si>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</si>
  <si>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</si>
  <si>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</si>
  <si>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</si>
  <si>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</si>
  <si>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</si>
  <si>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</si>
  <si>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</si>
  <si>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</si>
  <si>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</si>
  <si>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</si>
  <si>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</si>
  <si>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</si>
  <si>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</si>
  <si>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</si>
  <si>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</si>
  <si>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</si>
  <si>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</si>
  <si>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</si>
  <si>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</si>
  <si>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</si>
  <si>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</si>
  <si>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</si>
  <si>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</si>
  <si>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</si>
  <si>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</si>
  <si>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</si>
  <si>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</si>
  <si>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</si>
  <si>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</si>
  <si>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</si>
  <si>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</si>
  <si>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</si>
  <si>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</si>
  <si>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</si>
  <si>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</si>
  <si>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</si>
  <si>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</si>
  <si>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</si>
  <si>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</si>
  <si>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</si>
  <si>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</si>
  <si>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</si>
  <si>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</si>
  <si>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</si>
  <si>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</si>
  <si>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</si>
  <si>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</si>
  <si>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</si>
  <si>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</si>
  <si>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</si>
  <si>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</si>
  <si>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</si>
  <si>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</si>
  <si>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</si>
  <si>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</si>
  <si>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</si>
  <si>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</si>
  <si>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</si>
  <si>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</si>
  <si>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</si>
  <si>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</si>
  <si>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</si>
  <si>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</si>
  <si>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</si>
  <si>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</si>
  <si>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</si>
  <si>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</si>
  <si>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</si>
  <si>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</si>
  <si>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</si>
  <si>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</si>
  <si>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</si>
  <si>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</si>
  <si>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</si>
  <si>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</si>
  <si>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</si>
  <si>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</si>
  <si>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</si>
  <si>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</si>
  <si>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</si>
  <si>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</si>
  <si>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</si>
  <si>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</si>
  <si>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</si>
  <si>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</si>
  <si>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</si>
  <si>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</si>
  <si>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</si>
  <si>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</si>
  <si>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</si>
  <si>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</si>
  <si>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</si>
  <si>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</si>
  <si>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</si>
  <si>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</si>
  <si>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</si>
  <si>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</si>
  <si>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</si>
  <si>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</si>
  <si>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</si>
  <si>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</si>
  <si>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</si>
  <si>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</si>
  <si>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</si>
  <si>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</si>
  <si>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</si>
  <si>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</si>
  <si>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</si>
  <si>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</si>
  <si>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</si>
  <si>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</si>
  <si>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</si>
  <si>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</si>
  <si>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</si>
  <si>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</si>
  <si>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</si>
  <si>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</si>
  <si>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</si>
  <si>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</si>
  <si>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</si>
  <si>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</si>
  <si>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</si>
  <si>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</si>
  <si>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</si>
  <si>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</si>
  <si>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</si>
  <si>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</si>
  <si>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</si>
  <si>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</si>
  <si>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</si>
  <si>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</si>
  <si>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</si>
  <si>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</si>
  <si>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</si>
  <si>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</si>
  <si>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</si>
  <si>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</si>
  <si>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</si>
  <si>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</si>
  <si>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</si>
  <si>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</si>
  <si>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</si>
  <si>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</si>
  <si>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</si>
  <si>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</si>
  <si>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</si>
  <si>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</si>
  <si>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</si>
  <si>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</si>
  <si>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</si>
  <si>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</si>
  <si>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</si>
  <si>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</si>
  <si>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</si>
  <si>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</si>
  <si>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</si>
  <si>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</si>
  <si>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</si>
  <si>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</si>
  <si>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</si>
  <si>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</si>
  <si>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</si>
  <si>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</si>
  <si>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</si>
  <si>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</si>
  <si>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</si>
  <si>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</si>
  <si>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</si>
  <si>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</si>
  <si>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</si>
  <si>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</si>
  <si>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</si>
  <si>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</si>
  <si>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</si>
  <si>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</si>
  <si>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</si>
  <si>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</si>
  <si>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</si>
  <si>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</si>
  <si>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</si>
  <si>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</si>
  <si>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</si>
  <si>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</si>
  <si>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</si>
  <si>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</si>
  <si>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</si>
  <si>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</si>
  <si>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</si>
  <si>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</si>
  <si>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</si>
  <si>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</si>
  <si>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</si>
  <si>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</si>
  <si>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</si>
  <si>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</si>
  <si>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</si>
  <si>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</si>
  <si>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</si>
  <si>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</si>
  <si>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</si>
  <si>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</si>
  <si>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</si>
  <si>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</si>
  <si>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</si>
  <si>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</si>
  <si>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</si>
  <si>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</si>
  <si>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</si>
  <si>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</si>
  <si>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</si>
  <si>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</si>
  <si>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</si>
  <si>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</si>
  <si>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</si>
  <si>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</si>
  <si>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</si>
  <si>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</si>
  <si>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</si>
  <si>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</si>
  <si>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</si>
  <si>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</si>
  <si>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</si>
  <si>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</si>
  <si>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</si>
  <si>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</si>
  <si>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</si>
  <si>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</si>
  <si>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</si>
  <si>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</si>
  <si>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</si>
  <si>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</si>
  <si>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</si>
  <si>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</si>
  <si>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</si>
  <si>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</si>
  <si>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</si>
  <si>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</si>
  <si>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</si>
  <si>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</si>
  <si>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</si>
  <si>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</si>
  <si>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</si>
  <si>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</si>
  <si>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</si>
  <si>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</si>
  <si>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</si>
  <si>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</si>
  <si>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</si>
  <si>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</si>
  <si>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</si>
  <si>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</si>
  <si>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</si>
  <si>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</si>
  <si>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</si>
  <si>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</si>
  <si>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</si>
  <si>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</si>
  <si>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</si>
  <si>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</si>
  <si>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</si>
  <si>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</si>
  <si>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</si>
  <si>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</si>
  <si>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</si>
  <si>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</si>
  <si>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</si>
  <si>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</si>
  <si>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</si>
  <si>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</si>
  <si>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</si>
  <si>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</si>
  <si>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</si>
  <si>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</si>
  <si>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</si>
  <si>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</si>
  <si>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</si>
  <si>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</si>
  <si>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</si>
  <si>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</si>
  <si>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</si>
  <si>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</si>
  <si>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</si>
  <si>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</si>
  <si>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</si>
  <si>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</si>
  <si>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</si>
  <si>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</si>
  <si>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</si>
  <si>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</si>
  <si>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</si>
  <si>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</si>
  <si>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</si>
  <si>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</si>
  <si>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</si>
  <si>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</si>
  <si>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</si>
  <si>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</si>
  <si>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</si>
  <si>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</si>
  <si>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</si>
  <si>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</si>
  <si>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</si>
  <si>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</si>
  <si>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</si>
  <si>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</si>
  <si>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</si>
  <si>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</si>
  <si>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</si>
  <si>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</si>
  <si>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</si>
  <si>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</si>
  <si>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</si>
  <si>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</si>
  <si>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</si>
  <si>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</si>
  <si>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</si>
  <si>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</si>
  <si>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</si>
  <si>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</si>
  <si>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</si>
  <si>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</si>
  <si>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</si>
  <si>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</si>
  <si>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</si>
  <si>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</si>
  <si>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</si>
  <si>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</si>
  <si>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</si>
  <si>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</si>
  <si>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</si>
  <si>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</si>
  <si>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</si>
  <si>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</si>
  <si>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</si>
  <si>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</si>
  <si>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</si>
  <si>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</si>
  <si>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</si>
  <si>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</si>
  <si>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</si>
  <si>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</si>
  <si>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</si>
  <si>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</si>
  <si>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</si>
  <si>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</si>
  <si>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</si>
  <si>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</si>
  <si>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</si>
  <si>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</si>
  <si>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</si>
  <si>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</si>
  <si>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</si>
  <si>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</si>
  <si>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</si>
  <si>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</si>
  <si>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</si>
  <si>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</si>
  <si>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</si>
  <si>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</si>
  <si>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</si>
  <si>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</si>
  <si>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</si>
  <si>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</si>
  <si>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</si>
  <si>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</si>
  <si>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</si>
  <si>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</si>
  <si>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</si>
  <si>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</si>
  <si>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</si>
  <si>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</si>
  <si>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</si>
  <si>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</si>
  <si>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</si>
  <si>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</si>
  <si>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</si>
  <si>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</si>
  <si>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</si>
  <si>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</si>
  <si>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</si>
  <si>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</si>
  <si>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</si>
  <si>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</si>
  <si>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</si>
  <si>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</si>
  <si>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</si>
  <si>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</si>
  <si>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</si>
  <si>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</si>
  <si>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</si>
  <si>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</si>
  <si>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</si>
  <si>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</si>
  <si>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</si>
  <si>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</si>
  <si>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</si>
  <si>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</si>
  <si>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</si>
  <si>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</si>
  <si>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</si>
  <si>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</si>
  <si>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</si>
  <si>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</si>
  <si>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</si>
  <si>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</si>
  <si>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</si>
  <si>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</si>
  <si>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</si>
  <si>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</si>
  <si>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</si>
  <si>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</si>
  <si>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</si>
  <si>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</si>
  <si>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</si>
  <si>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</si>
  <si>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</si>
  <si>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</si>
  <si>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</si>
  <si>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</si>
  <si>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</si>
  <si>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</si>
  <si>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</si>
  <si>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</si>
  <si>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</si>
  <si>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</si>
  <si>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</si>
  <si>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</si>
  <si>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</si>
  <si>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</si>
  <si>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</si>
  <si>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</si>
  <si>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</si>
  <si>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</si>
  <si>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</si>
  <si>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</si>
  <si>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</si>
  <si>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</si>
  <si>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</si>
  <si>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</si>
  <si>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</si>
  <si>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</si>
  <si>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</si>
  <si>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</si>
  <si>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</si>
  <si>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</si>
  <si>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</si>
  <si>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</si>
  <si>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</si>
  <si>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</si>
  <si>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</si>
  <si>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</si>
  <si>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</si>
  <si>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</si>
  <si>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</si>
  <si>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</si>
  <si>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</si>
  <si>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</si>
  <si>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</si>
  <si>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</si>
  <si>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</si>
  <si>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</si>
  <si>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</si>
  <si>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</si>
  <si>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</si>
  <si>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</si>
  <si>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</si>
  <si>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</si>
  <si>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</si>
  <si>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</si>
  <si>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</si>
  <si>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</si>
  <si>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</si>
  <si>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</si>
  <si>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</si>
  <si>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</si>
  <si>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</si>
  <si>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</si>
  <si>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</si>
  <si>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</si>
  <si>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</si>
  <si>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</si>
  <si>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</si>
  <si>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</si>
  <si>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</si>
  <si>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</si>
  <si>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</si>
  <si>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</si>
  <si>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</si>
  <si>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</si>
  <si>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</si>
  <si>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</si>
  <si>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</si>
  <si>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</si>
  <si>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</si>
  <si>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</si>
  <si>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</si>
  <si>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</si>
  <si>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</si>
  <si>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</si>
  <si>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</si>
  <si>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</si>
  <si>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</si>
  <si>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</si>
  <si>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</si>
  <si>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</si>
  <si>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</si>
  <si>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</si>
  <si>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</si>
  <si>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</si>
  <si>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</si>
  <si>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</si>
  <si>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</si>
  <si>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</si>
  <si>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</si>
  <si>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</si>
  <si>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</si>
  <si>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</si>
  <si>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</si>
  <si>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</si>
  <si>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</si>
  <si>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</si>
  <si>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</si>
  <si>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</si>
  <si>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</si>
  <si>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</si>
  <si>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</si>
  <si>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</si>
  <si>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</si>
  <si>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</si>
  <si>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</si>
  <si>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</si>
  <si>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</si>
  <si>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</si>
  <si>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</si>
  <si>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</si>
  <si>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</si>
  <si>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LUIS CALLEJA</t>
  </si>
  <si>
    <t>MARIA LUZ DEL PINO</t>
  </si>
  <si>
    <t>PABLO KELLER</t>
  </si>
  <si>
    <t>DANIEL MARTIN</t>
  </si>
  <si>
    <t>ANA MARTIN</t>
  </si>
  <si>
    <t>ALVARO PENALBA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</si>
  <si>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</si>
  <si>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</si>
  <si>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</si>
  <si>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5:12</t>
  </si>
  <si>
    <t>5:00</t>
  </si>
  <si>
    <t>2:13</t>
  </si>
  <si>
    <t>8:13</t>
  </si>
  <si>
    <t>6:07</t>
  </si>
  <si>
    <t>9:00</t>
  </si>
  <si>
    <t>6:59</t>
  </si>
  <si>
    <t>4:28</t>
  </si>
  <si>
    <t>7:45</t>
  </si>
  <si>
    <t>5:32</t>
  </si>
  <si>
    <t>e careful with the substitutions. If you notice any mistakes, please let us know so we can help you. Also, it would be good to review the assist criteria. Have a great holiday season!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</si>
</sst>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17_164_MAD_PRS_E2025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46009.864583333336</v>
      </c>
      <c r="C3" s="157"/>
      <c r="D3" s="39">
        <v>621</v>
      </c>
      <c r="E3" s="29"/>
      <c r="F3" s="26">
        <f>SUBTOTAL(3,I17:I106)</f>
        <v>10</v>
      </c>
      <c r="G3" s="27">
        <f>IF(OR(D3="",D3=0),"",F3/D3)</f>
        <v>1.610305958132045E-2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67" t="s">
        <v>768</v>
      </c>
      <c r="N4" s="168"/>
      <c r="O4" s="2"/>
      <c r="P4" s="2"/>
      <c r="Q4" s="84" t="s">
        <v>175</v>
      </c>
      <c r="R4" s="94">
        <f>(IF(G3="",0,G3))</f>
        <v>1.610305958132045E-2</v>
      </c>
      <c r="S4" s="61">
        <f>SUM(I13:M13)</f>
        <v>0</v>
      </c>
      <c r="T4" s="78"/>
      <c r="U4" s="61">
        <f>AC18</f>
        <v>9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1.6103059581320449</v>
      </c>
      <c r="S5" s="70">
        <f t="shared" ref="S5" si="0">S4*S3</f>
        <v>0</v>
      </c>
      <c r="T5" s="92"/>
      <c r="U5" s="70">
        <f t="shared" ref="U5:AG5" si="1">U4*U3</f>
        <v>4.5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11.110305958132045</v>
      </c>
      <c r="N7" s="58"/>
      <c r="O7" s="2"/>
      <c r="P7" s="2"/>
      <c r="Q7" s="86">
        <f>SUM(R5,S5,AC16)</f>
        <v>11.110305958132045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11.110305958132045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164</v>
      </c>
      <c r="D17" s="32" t="s">
        <v>758</v>
      </c>
      <c r="E17" s="33">
        <v>1</v>
      </c>
      <c r="F17" s="36">
        <v>14</v>
      </c>
      <c r="G17" s="36">
        <v>9</v>
      </c>
      <c r="H17" s="38" t="str">
        <f>IF(I17="","",$I$14)</f>
        <v>SCOUTING</v>
      </c>
      <c r="I17" s="34">
        <v>64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6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164</v>
      </c>
      <c r="D18" s="32" t="s">
        <v>759</v>
      </c>
      <c r="E18" s="33">
        <v>1</v>
      </c>
      <c r="F18" s="36">
        <v>14</v>
      </c>
      <c r="G18" s="36">
        <v>9</v>
      </c>
      <c r="H18" s="38" t="str">
        <f t="shared" ref="H18:H81" si="8">IF(I18="","",$I$14)</f>
        <v>SCOUTING</v>
      </c>
      <c r="I18" s="34">
        <v>66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9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164</v>
      </c>
      <c r="D19" s="32" t="s">
        <v>760</v>
      </c>
      <c r="E19" s="33">
        <v>1</v>
      </c>
      <c r="F19" s="36">
        <v>16</v>
      </c>
      <c r="G19" s="36">
        <v>20</v>
      </c>
      <c r="H19" s="38" t="str">
        <f t="shared" si="8"/>
        <v>SCOUTING</v>
      </c>
      <c r="I19" s="34">
        <v>113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164</v>
      </c>
      <c r="D20" s="32" t="s">
        <v>761</v>
      </c>
      <c r="E20" s="33">
        <v>2</v>
      </c>
      <c r="F20" s="36">
        <v>25</v>
      </c>
      <c r="G20" s="36">
        <v>23</v>
      </c>
      <c r="H20" s="38" t="str">
        <f t="shared" si="8"/>
        <v>SCOUTING</v>
      </c>
      <c r="I20" s="34">
        <v>165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164</v>
      </c>
      <c r="D21" s="32" t="s">
        <v>762</v>
      </c>
      <c r="E21" s="33">
        <v>2</v>
      </c>
      <c r="F21" s="36">
        <v>34</v>
      </c>
      <c r="G21" s="36">
        <v>30</v>
      </c>
      <c r="H21" s="38" t="str">
        <f t="shared" si="8"/>
        <v>SCOUTING</v>
      </c>
      <c r="I21" s="34">
        <v>194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164</v>
      </c>
      <c r="D22" s="32" t="s">
        <v>763</v>
      </c>
      <c r="E22" s="33">
        <v>3</v>
      </c>
      <c r="F22" s="36">
        <v>49</v>
      </c>
      <c r="G22" s="36">
        <v>56</v>
      </c>
      <c r="H22" s="38" t="str">
        <f t="shared" si="8"/>
        <v>SCOUTING</v>
      </c>
      <c r="I22" s="34">
        <v>317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164</v>
      </c>
      <c r="D23" s="32" t="s">
        <v>764</v>
      </c>
      <c r="E23" s="33">
        <v>3</v>
      </c>
      <c r="F23" s="36">
        <v>52</v>
      </c>
      <c r="G23" s="36">
        <v>58</v>
      </c>
      <c r="H23" s="38" t="str">
        <f t="shared" si="8"/>
        <v>SCOUTING</v>
      </c>
      <c r="I23" s="34">
        <v>336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164</v>
      </c>
      <c r="D24" s="32" t="s">
        <v>765</v>
      </c>
      <c r="E24" s="33">
        <v>3</v>
      </c>
      <c r="F24" s="36">
        <v>60</v>
      </c>
      <c r="G24" s="36">
        <v>63</v>
      </c>
      <c r="H24" s="38" t="str">
        <f t="shared" si="8"/>
        <v>SCOUTING</v>
      </c>
      <c r="I24" s="34">
        <v>380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164</v>
      </c>
      <c r="D25" s="32" t="s">
        <v>766</v>
      </c>
      <c r="E25" s="33">
        <v>2</v>
      </c>
      <c r="F25" s="36">
        <v>25</v>
      </c>
      <c r="G25" s="36">
        <v>23</v>
      </c>
      <c r="H25" s="38" t="str">
        <f t="shared" si="8"/>
        <v>SCOUTING</v>
      </c>
      <c r="I25" s="34">
        <v>169</v>
      </c>
      <c r="J25" s="13" t="s">
        <v>4</v>
      </c>
      <c r="K25" s="13" t="s">
        <v>63</v>
      </c>
      <c r="L25" s="13" t="s">
        <v>78</v>
      </c>
      <c r="M25" s="13" t="s">
        <v>78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164</v>
      </c>
      <c r="D26" s="32" t="s">
        <v>767</v>
      </c>
      <c r="E26" s="33">
        <v>4</v>
      </c>
      <c r="F26" s="36">
        <v>86</v>
      </c>
      <c r="G26" s="36">
        <v>81</v>
      </c>
      <c r="H26" s="38" t="str">
        <f t="shared" si="8"/>
        <v>SCOUTING</v>
      </c>
      <c r="I26" s="34">
        <v>532</v>
      </c>
      <c r="J26" s="13" t="s">
        <v>4</v>
      </c>
      <c r="K26" s="13" t="s">
        <v>62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"E2025164"</v>
      </c>
      <c r="F3" s="45" t="str">
        <f t="shared" ref="F3:F16" si="0">""""&amp;B3&amp;"""" &amp; " : " &amp;C3&amp;","</f>
        <v>"name" : "E2025164",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"E164"</v>
      </c>
      <c r="F4" s="45" t="str">
        <f t="shared" si="0"/>
        <v>"cod" : "E164",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164</v>
      </c>
      <c r="F6" s="45" t="str">
        <f t="shared" si="0"/>
        <v>"number" : 164,</v>
      </c>
    </row>
    <row r="7" spans="2:6" x14ac:dyDescent="0.25">
      <c r="B7" s="43" t="s">
        <v>116</v>
      </c>
      <c r="C7" s="43" t="str">
        <f ca="1">""""&amp;TEXT('SCOUT &amp; LOGISTICS'!B3,"dd/mm/aaaa")&amp;""""</f>
        <v>"18/12/Thursday"</v>
      </c>
      <c r="F7" s="45" t="str">
        <f t="shared" ca="1" si="0"/>
        <v>"date" : "18/12/Thursday",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"LUIS CALLEJA"</v>
      </c>
      <c r="F10" s="45" t="str">
        <f t="shared" si="0"/>
        <v>"Data_entry" : "LUIS CALLEJA",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"MARIA LUZ DEL PINO"</v>
      </c>
      <c r="F11" s="45" t="str">
        <f t="shared" si="0"/>
        <v>"Caller_1" : "MARIA LUZ DEL PINO",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"PABLO KELLER"</v>
      </c>
      <c r="F12" s="45" t="str">
        <f t="shared" si="0"/>
        <v>"Caller_2" : "PABLO KELLER",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"DANIEL MARTIN"</v>
      </c>
      <c r="F13" s="45" t="str">
        <f t="shared" si="0"/>
        <v>"Timerkeeper" : "DANIEL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"ANA MARTIN"</v>
      </c>
      <c r="F14" s="45" t="str">
        <f t="shared" si="0"/>
        <v>"Shotclock" : "ANA MARTIN",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PENALBA"</v>
      </c>
      <c r="F15" s="45" t="str">
        <f t="shared" si="0"/>
        <v>"IRS" : "ALVARO PENALBA",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621</v>
      </c>
      <c r="F25" s="45" t="str">
        <f t="shared" ref="F25:F48" si="1">""""&amp;C25&amp;"""" &amp; " : " &amp;D25&amp;","</f>
        <v>"total_actions" : 621,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9</v>
      </c>
      <c r="F39" s="45" t="str">
        <f t="shared" si="1"/>
        <v>"missidentity" : 9,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 careful with the substitutions. If you notice any mistakes, please let us know so we can help you. Also, it would be good to review the assist criteria. Have a great holiday season!"</v>
      </c>
      <c r="F51" s="45" t="str">
        <f>""""&amp;B51&amp;"""" &amp; " : " &amp;C51&amp;","</f>
        <v>"comments" : "e careful with the substitutions. If you notice any mistakes, please let us know so we can help you. Also, it would be good to review the assist criteria. Have a great holiday season!",</v>
      </c>
    </row>
    <row r="52" spans="2:6" x14ac:dyDescent="0.25">
      <c r="B52" s="43" t="s">
        <v>153</v>
      </c>
      <c r="C52" s="43" t="str">
        <f>TEXT('SCOUT &amp; LOGISTICS'!F1,"0,0")</f>
        <v>17_164_MAD_PRS_E2025</v>
      </c>
      <c r="F52" s="45" t="str">
        <f>""""&amp;B52&amp;"""" &amp; " : " &amp;C52</f>
        <v>"result" : 17_164_MAD_PRS_E2025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18/12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LUIS CALLEJA</v>
      </c>
      <c r="C8" s="206"/>
      <c r="D8" s="206"/>
      <c r="E8" s="206"/>
      <c r="F8" s="206"/>
      <c r="G8" s="206" t="str">
        <f>IF('SCOUT &amp; LOGISTICS'!D7="","",'SCOUT &amp; LOGISTICS'!D7)</f>
        <v>MARIA LUZ DEL PINO</v>
      </c>
      <c r="H8" s="206"/>
      <c r="I8" s="206"/>
      <c r="J8" s="206"/>
      <c r="K8" s="206"/>
      <c r="L8" s="206" t="str">
        <f>IF('SCOUT &amp; LOGISTICS'!D8="","",'SCOUT &amp; LOGISTICS'!D8)</f>
        <v>PABLO KELLER</v>
      </c>
      <c r="M8" s="206"/>
      <c r="N8" s="206"/>
      <c r="O8" s="206"/>
      <c r="P8" s="206"/>
      <c r="Q8" s="206" t="str">
        <f>IF('SCOUT &amp; LOGISTICS'!D9="","",'SCOUT &amp; LOGISTICS'!D9)</f>
        <v>DANIEL MARTIN</v>
      </c>
      <c r="R8" s="206"/>
      <c r="S8" s="206"/>
      <c r="T8" s="206"/>
      <c r="U8" s="206"/>
      <c r="V8" s="206" t="str">
        <f>IF('SCOUT &amp; LOGISTICS'!D10="","",'SCOUT &amp; LOGISTICS'!D10)</f>
        <v>ANA MARTIN</v>
      </c>
      <c r="W8" s="206"/>
      <c r="X8" s="206"/>
      <c r="Y8" s="206"/>
      <c r="Z8" s="206"/>
      <c r="AA8" s="206" t="str">
        <f>IF('SCOUT &amp; LOGISTICS'!D11="","",'SCOUT &amp; LOGISTICS'!D11)</f>
        <v>ALVARO PENALBA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621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1.610305958132045E-2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8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9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 careful with the substitutions. If you notice any mistakes, please let us know so we can help you. Also, it would be good to review the assist criteria. Have a great holiday season!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11.110305958132045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04A957-D535-4536-B5C6-1604918020AC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2025-12-23T16:37:01Z</cp:lastPrinted>
  <dcterms:created xsi:type="dcterms:W3CDTF">2023-09-19T19:50:35Z</dcterms:created>
  <dcterms:modified xsi:type="dcterms:W3CDTF">2025-12-23T16:37:02Z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