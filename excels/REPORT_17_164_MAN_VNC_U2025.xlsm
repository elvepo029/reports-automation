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43F64EC-F9CF-4ED4-B4B7-8B92AB65DD38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<sst xmlns="http://schemas.openxmlformats.org/spreadsheetml/2006/main" count="3442" uniqueCount="855">
  <si>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</si>
  <si>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</si>
  <si>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</si>
  <si>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</si>
  <si>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</si>
  <si>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</si>
  <si>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</si>
  <si>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</si>
  <si>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</si>
  <si>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</si>
  <si>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</si>
  <si>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</si>
  <si>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</si>
  <si>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</si>
  <si>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</si>
  <si>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</si>
  <si>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</si>
  <si>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</si>
  <si>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</si>
  <si>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</si>
  <si>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</si>
  <si>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</si>
  <si>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</si>
  <si>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</si>
  <si>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</si>
  <si>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</si>
  <si>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</si>
  <si>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</si>
  <si>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</si>
  <si>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</si>
  <si>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</si>
  <si>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</si>
  <si>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</si>
  <si>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</si>
  <si>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</si>
  <si>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</si>
  <si>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</si>
  <si>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</si>
  <si>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</si>
  <si>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</si>
  <si>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</si>
  <si>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</si>
  <si>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</si>
  <si>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</si>
  <si>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</si>
  <si>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</si>
  <si>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</si>
  <si>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</si>
  <si>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</si>
  <si>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</si>
  <si>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</si>
  <si>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</si>
  <si>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</si>
  <si>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</si>
  <si>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</si>
  <si>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</si>
  <si>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</si>
  <si>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</si>
  <si>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</si>
  <si>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</si>
  <si>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</si>
  <si>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</si>
  <si>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</si>
  <si>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</si>
  <si>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</si>
  <si>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</si>
  <si>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</si>
  <si>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</si>
  <si>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</si>
  <si>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</si>
  <si>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</si>
  <si>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</si>
  <si>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</si>
  <si>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</si>
  <si>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</si>
  <si>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</si>
  <si>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</si>
  <si>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</si>
  <si>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</si>
  <si>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</si>
  <si>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</si>
  <si>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</si>
  <si>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</si>
  <si>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</si>
  <si>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</si>
  <si>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</si>
  <si>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</si>
  <si>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</si>
  <si>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</si>
  <si>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</si>
  <si>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</si>
  <si>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</si>
  <si>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</si>
  <si>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</si>
  <si>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</si>
  <si>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</si>
  <si>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</si>
  <si>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</si>
  <si>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</si>
  <si>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</si>
  <si>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</si>
  <si>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</si>
  <si>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</si>
  <si>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</si>
  <si>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</si>
  <si>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</si>
  <si>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</si>
  <si>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</si>
  <si>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</si>
  <si>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</si>
  <si>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</si>
  <si>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</si>
  <si>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</si>
  <si>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</si>
  <si>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</si>
  <si>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</si>
  <si>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</si>
  <si>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</si>
  <si>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</si>
  <si>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</si>
  <si>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</si>
  <si>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</si>
  <si>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</si>
  <si>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</si>
  <si>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</si>
  <si>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</si>
  <si>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</si>
  <si>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</si>
  <si>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</si>
  <si>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</si>
  <si>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</si>
  <si>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</si>
  <si>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</si>
  <si>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</si>
  <si>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</si>
  <si>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</si>
  <si>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</si>
  <si>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</si>
  <si>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</si>
  <si>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</si>
  <si>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</si>
  <si>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</si>
  <si>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</si>
  <si>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</si>
  <si>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</si>
  <si>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</si>
  <si>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</si>
  <si>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</si>
  <si>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</si>
  <si>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</si>
  <si>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</si>
  <si>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</si>
  <si>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</si>
  <si>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</si>
  <si>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</si>
  <si>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</si>
  <si>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</si>
  <si>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</si>
  <si>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</si>
  <si>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</si>
  <si>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</si>
  <si>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</si>
  <si>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</si>
  <si>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</si>
  <si>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</si>
  <si>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</si>
  <si>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</si>
  <si>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</si>
  <si>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</si>
  <si>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</si>
  <si>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</si>
  <si>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</si>
  <si>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</si>
  <si>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</si>
  <si>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</si>
  <si>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</si>
  <si>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</si>
  <si>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</si>
  <si>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</si>
  <si>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</si>
  <si>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</si>
  <si>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</si>
  <si>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</si>
  <si>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</si>
  <si>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</si>
  <si>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</si>
  <si>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</si>
  <si>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</si>
  <si>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</si>
  <si>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</si>
  <si>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</si>
  <si>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</si>
  <si>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</si>
  <si>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</si>
  <si>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</si>
  <si>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</si>
  <si>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</si>
  <si>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</si>
  <si>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</si>
  <si>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</si>
  <si>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</si>
  <si>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</si>
  <si>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</si>
  <si>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</si>
  <si>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</si>
  <si>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</si>
  <si>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</si>
  <si>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</si>
  <si>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</si>
  <si>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</si>
  <si>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</si>
  <si>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</si>
  <si>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</si>
  <si>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</si>
  <si>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</si>
  <si>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</si>
  <si>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</si>
  <si>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</si>
  <si>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</si>
  <si>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</si>
  <si>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</si>
  <si>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</si>
  <si>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</si>
  <si>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</si>
  <si>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</si>
  <si>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</si>
  <si>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</si>
  <si>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</si>
  <si>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</si>
  <si>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</si>
  <si>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</si>
  <si>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</si>
  <si>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</si>
  <si>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</si>
  <si>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</si>
  <si>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</si>
  <si>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</si>
  <si>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</si>
  <si>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</si>
  <si>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</si>
  <si>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</si>
  <si>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</si>
  <si>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</si>
  <si>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</si>
  <si>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</si>
  <si>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</si>
  <si>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</si>
  <si>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</si>
  <si>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</si>
  <si>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</si>
  <si>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</si>
  <si>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</si>
  <si>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</si>
  <si>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</si>
  <si>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</si>
  <si>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</si>
  <si>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</si>
  <si>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</si>
  <si>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</si>
  <si>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</si>
  <si>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</si>
  <si>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</si>
  <si>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</si>
  <si>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</si>
  <si>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</si>
  <si>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</si>
  <si>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</si>
  <si>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</si>
  <si>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</si>
  <si>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</si>
  <si>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</si>
  <si>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</si>
  <si>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</si>
  <si>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</si>
  <si>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</si>
  <si>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</si>
  <si>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</si>
  <si>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</si>
  <si>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</si>
  <si>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</si>
  <si>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</si>
  <si>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</si>
  <si>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</si>
  <si>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</si>
  <si>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</si>
  <si>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</si>
  <si>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</si>
  <si>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</si>
  <si>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</si>
  <si>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</si>
  <si>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</si>
  <si>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</si>
  <si>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</si>
  <si>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</si>
  <si>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</si>
  <si>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</si>
  <si>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</si>
  <si>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</si>
  <si>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</si>
  <si>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</si>
  <si>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</si>
  <si>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</si>
  <si>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</si>
  <si>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</si>
  <si>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</si>
  <si>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</si>
  <si>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</si>
  <si>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</si>
  <si>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</si>
  <si>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</si>
  <si>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</si>
  <si>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</si>
  <si>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</si>
  <si>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</si>
  <si>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</si>
  <si>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</si>
  <si>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</si>
  <si>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</si>
  <si>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</si>
  <si>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</si>
  <si>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</si>
  <si>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</si>
  <si>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</si>
  <si>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</si>
  <si>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</si>
  <si>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</si>
  <si>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</si>
  <si>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</si>
  <si>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</si>
  <si>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</si>
  <si>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</si>
  <si>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</si>
  <si>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</si>
  <si>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</si>
  <si>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</si>
  <si>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</si>
  <si>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</si>
  <si>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</si>
  <si>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</si>
  <si>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</si>
  <si>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</si>
  <si>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</si>
  <si>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</si>
  <si>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</si>
  <si>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</si>
  <si>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</si>
  <si>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</si>
  <si>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</si>
  <si>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</si>
  <si>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</si>
  <si>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</si>
  <si>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</si>
  <si>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</si>
  <si>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</si>
  <si>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</si>
  <si>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</si>
  <si>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</si>
  <si>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</si>
  <si>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</si>
  <si>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</si>
  <si>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</si>
  <si>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</si>
  <si>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</si>
  <si>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</si>
  <si>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</si>
  <si>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</si>
  <si>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</si>
  <si>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</si>
  <si>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</si>
  <si>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</si>
  <si>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</si>
  <si>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</si>
  <si>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</si>
  <si>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</si>
  <si>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</si>
  <si>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</si>
  <si>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</si>
  <si>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</si>
  <si>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</si>
  <si>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</si>
  <si>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</si>
  <si>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</si>
  <si>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</si>
  <si>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</si>
  <si>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</si>
  <si>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</si>
  <si>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</si>
  <si>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</si>
  <si>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</si>
  <si>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</si>
  <si>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</si>
  <si>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</si>
  <si>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</si>
  <si>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</si>
  <si>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</si>
  <si>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</si>
  <si>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</si>
  <si>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</si>
  <si>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</si>
  <si>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</si>
  <si>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</si>
  <si>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</si>
  <si>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</si>
  <si>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</si>
  <si>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</si>
  <si>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</si>
  <si>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</si>
  <si>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</si>
  <si>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</si>
  <si>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</si>
  <si>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</si>
  <si>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</si>
  <si>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</si>
  <si>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</si>
  <si>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</si>
  <si>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</si>
  <si>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</si>
  <si>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</si>
  <si>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</si>
  <si>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</si>
  <si>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</si>
  <si>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</si>
  <si>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</si>
  <si>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</si>
  <si>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</si>
  <si>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</si>
  <si>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</si>
  <si>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</si>
  <si>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</si>
  <si>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</si>
  <si>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</si>
  <si>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</si>
  <si>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</si>
  <si>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</si>
  <si>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</si>
  <si>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</si>
  <si>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</si>
  <si>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</si>
  <si>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</si>
  <si>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</si>
  <si>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</si>
  <si>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</si>
  <si>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</si>
  <si>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</si>
  <si>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</si>
  <si>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</si>
  <si>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</si>
  <si>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</si>
  <si>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</si>
  <si>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</si>
  <si>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</si>
  <si>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</si>
  <si>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</si>
  <si>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</si>
  <si>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</si>
  <si>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</si>
  <si>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</si>
  <si>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</si>
  <si>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</si>
  <si>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</si>
  <si>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</si>
  <si>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</si>
  <si>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</si>
  <si>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</si>
  <si>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</si>
  <si>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</si>
  <si>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</si>
  <si>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</si>
  <si>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</si>
  <si>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</si>
  <si>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</si>
  <si>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</si>
  <si>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</si>
  <si>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</si>
  <si>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</si>
  <si>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</si>
  <si>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</si>
  <si>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</si>
  <si>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</si>
  <si>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</si>
  <si>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</si>
  <si>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</si>
  <si>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</si>
  <si>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</si>
  <si>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</si>
  <si>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</si>
  <si>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</si>
  <si>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</si>
  <si>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</si>
  <si>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</si>
  <si>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</si>
  <si>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</si>
  <si>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</si>
  <si>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</si>
  <si>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</si>
  <si>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</si>
  <si>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</si>
  <si>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</si>
  <si>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</si>
  <si>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</si>
  <si>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</si>
  <si>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</si>
  <si>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</si>
  <si>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</si>
  <si>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</si>
  <si>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</si>
  <si>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</si>
  <si>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</si>
  <si>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</si>
  <si>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</si>
  <si>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</si>
  <si>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</si>
  <si>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</si>
  <si>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</si>
  <si>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</si>
  <si>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</si>
  <si>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</si>
  <si>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</si>
  <si>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</si>
  <si>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</si>
  <si>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</si>
  <si>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</si>
  <si>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</si>
  <si>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</si>
  <si>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</si>
  <si>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</si>
  <si>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</si>
  <si>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</si>
  <si>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</si>
  <si>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</si>
  <si>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</si>
  <si>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</si>
  <si>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</si>
  <si>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</si>
  <si>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</si>
  <si>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</si>
  <si>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</si>
  <si>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</si>
  <si>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</si>
  <si>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</si>
  <si>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</si>
  <si>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</si>
  <si>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</si>
  <si>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</si>
  <si>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</si>
  <si>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</si>
  <si>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</si>
  <si>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</si>
  <si>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</si>
  <si>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</si>
  <si>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</si>
  <si>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</si>
  <si>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</si>
  <si>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</si>
  <si>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</si>
  <si>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</si>
  <si>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</si>
  <si>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</si>
  <si>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</si>
  <si>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</si>
  <si>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</si>
  <si>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</si>
  <si>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</si>
  <si>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</si>
  <si>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</si>
  <si>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</si>
  <si>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</si>
  <si>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</si>
  <si>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</si>
  <si>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</si>
  <si>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</si>
  <si>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</si>
  <si>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</si>
  <si>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</si>
  <si>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</si>
  <si>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</si>
  <si>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</si>
  <si>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</si>
  <si>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</si>
  <si>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</si>
  <si>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</si>
  <si>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</si>
  <si>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</si>
  <si>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</si>
  <si>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</si>
  <si>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</si>
  <si>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</si>
  <si>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</si>
  <si>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</si>
  <si>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</si>
  <si>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</si>
  <si>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</si>
  <si>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</si>
  <si>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</si>
  <si>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</si>
  <si>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</si>
  <si>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</si>
  <si>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</si>
  <si>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</si>
  <si>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</si>
  <si>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</si>
  <si>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</si>
  <si>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</si>
  <si>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</si>
  <si>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</si>
  <si>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</si>
  <si>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</si>
  <si>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</si>
  <si>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</si>
  <si>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</si>
  <si>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</si>
  <si>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</si>
  <si>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</si>
  <si>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</si>
  <si>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</si>
  <si>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</si>
  <si>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</si>
  <si>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</si>
  <si>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</si>
  <si>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</si>
  <si>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</si>
  <si>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</si>
  <si>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</si>
  <si>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</si>
  <si>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</si>
  <si>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</si>
  <si>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</si>
  <si>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</si>
  <si>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</si>
  <si>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</si>
  <si>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</si>
  <si>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</si>
  <si>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</si>
  <si>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</si>
  <si>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</si>
  <si>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</si>
  <si>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</si>
  <si>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</si>
  <si>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</si>
  <si>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</si>
  <si>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</si>
  <si>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</si>
  <si>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</si>
  <si>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</si>
  <si>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</si>
  <si>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</si>
  <si>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</si>
  <si>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</si>
  <si>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</si>
  <si>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</si>
  <si>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</si>
  <si>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</si>
  <si>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</si>
  <si>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</si>
  <si>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</si>
  <si>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</si>
  <si>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</si>
  <si>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</si>
  <si>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</si>
  <si>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</si>
  <si>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</si>
  <si>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</si>
  <si>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</si>
  <si>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</si>
  <si>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</si>
  <si>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</si>
  <si>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</si>
  <si>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</si>
  <si>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</si>
  <si>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</si>
  <si>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</si>
  <si>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</si>
  <si>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</si>
  <si>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</si>
  <si>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</si>
  <si>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</si>
  <si>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</si>
  <si>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</si>
  <si>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</si>
  <si>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</si>
  <si>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</si>
  <si>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</si>
  <si>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</si>
  <si>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</si>
  <si>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</si>
  <si>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</si>
  <si>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</si>
  <si>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</si>
  <si>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</si>
  <si>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</si>
  <si>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</si>
  <si>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</si>
  <si>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</si>
  <si>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</si>
  <si>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</si>
  <si>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</si>
  <si>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</si>
  <si>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</si>
  <si>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</si>
  <si>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</si>
  <si>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</si>
  <si>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</si>
  <si>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</si>
  <si>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</si>
  <si>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</si>
  <si>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</si>
  <si>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</si>
  <si>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</si>
  <si>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</si>
  <si>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</si>
  <si>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</si>
  <si>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</si>
  <si>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</si>
  <si>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</si>
  <si>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</si>
  <si>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</si>
  <si>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</si>
  <si>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</si>
  <si>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</si>
  <si>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</si>
  <si>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</si>
  <si>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</si>
  <si>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</si>
  <si>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</si>
  <si>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</si>
  <si>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</si>
  <si>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</si>
  <si>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</si>
  <si>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</si>
  <si>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</si>
  <si>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</si>
  <si>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</si>
  <si>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</si>
  <si>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</si>
  <si>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</si>
  <si>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</si>
  <si>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</si>
  <si>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</si>
  <si>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</si>
  <si>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</si>
  <si>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</si>
  <si>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</si>
  <si>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</si>
  <si>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</si>
  <si>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</si>
  <si>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</si>
  <si>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</si>
  <si>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</si>
  <si>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</si>
  <si>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</si>
  <si>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</si>
  <si>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</si>
  <si>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</si>
  <si>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</si>
  <si>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</si>
  <si>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</si>
  <si>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</si>
  <si>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</si>
  <si>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</si>
  <si>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</si>
  <si>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</si>
  <si>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</si>
  <si>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</si>
  <si>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</si>
  <si>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</si>
  <si>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</si>
  <si>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</si>
  <si>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</si>
  <si>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</si>
  <si>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</si>
  <si>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</si>
  <si>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</si>
  <si>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</si>
  <si>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</si>
  <si>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</si>
  <si>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</si>
  <si>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</si>
  <si>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</si>
  <si>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</si>
  <si>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</si>
  <si>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</si>
  <si>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</si>
  <si>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</si>
  <si>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</si>
  <si>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</si>
  <si>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</si>
  <si>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</si>
  <si>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</si>
  <si>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</si>
  <si>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</si>
  <si>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</si>
  <si>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</si>
  <si>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</si>
  <si>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</si>
  <si>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</si>
  <si>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</si>
  <si>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</si>
  <si>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</si>
  <si>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</si>
  <si>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</si>
  <si>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</si>
  <si>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</si>
  <si>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</si>
  <si>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</si>
  <si>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</si>
  <si>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</si>
  <si>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</si>
  <si>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</si>
  <si>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</si>
  <si>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</si>
  <si>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</si>
  <si>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</si>
  <si>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</si>
  <si>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</si>
  <si>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</si>
  <si>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</si>
  <si>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</si>
  <si>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</si>
  <si>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</si>
  <si>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</si>
  <si>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</si>
  <si>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</si>
  <si>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</si>
  <si>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</si>
  <si>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</si>
  <si>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</si>
  <si>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8:07</t>
  </si>
  <si>
    <t>5:57</t>
  </si>
  <si>
    <t>4:27</t>
  </si>
  <si>
    <t>0:53</t>
  </si>
  <si>
    <t>6:46</t>
  </si>
  <si>
    <t>5:21</t>
  </si>
  <si>
    <t>2:04</t>
  </si>
  <si>
    <t>1:42</t>
  </si>
  <si>
    <t>1:31</t>
  </si>
  <si>
    <t>0:02</t>
  </si>
  <si>
    <t>9:33</t>
  </si>
  <si>
    <t>8:35</t>
  </si>
  <si>
    <t>6:21</t>
  </si>
  <si>
    <t>4:14</t>
  </si>
  <si>
    <t>3:32</t>
  </si>
  <si>
    <t>La falta es fa abans del tir</t>
  </si>
  <si>
    <t>1:46</t>
  </si>
  <si>
    <t>1:29</t>
  </si>
  <si>
    <t>9:45</t>
  </si>
  <si>
    <t>5.36</t>
  </si>
  <si>
    <t>5.16</t>
  </si>
  <si>
    <t>4:03</t>
  </si>
  <si>
    <t>2:44</t>
  </si>
  <si>
    <t>Massa errors d'identificació, de criteri als Steals. Necessiteu moltíssima més concentració i control dels jugadors de l'equip rival, perquè heu confós dos jugadors entre ells massa vegades. Per últim, molt de compte sempre a l'hora d'identificar les línies a corregir. Estalvia un temps molt preuat. Ànims! Segur que millorareu</t>
  </si>
  <si>
    <t>LAIA GONELL</t>
  </si>
  <si>
    <t>VERONICA NAVARRO</t>
  </si>
  <si>
    <t>MARTA SOLA</t>
  </si>
  <si>
    <t>GEMMA BOERA</t>
  </si>
  <si>
    <t>OSCAR CUESTA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</si>
</sst>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17_164_MAN_VNC_U2025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46057.864583333336</v>
      </c>
      <c r="C3" s="178"/>
      <c r="D3" s="39">
        <v>650</v>
      </c>
      <c r="E3" s="29"/>
      <c r="F3" s="26">
        <f>SUBTOTAL(3,I17:I106)</f>
        <v>22</v>
      </c>
      <c r="G3" s="27">
        <f>IF(OR(D3="",D3=0),"",F3/D3)</f>
        <v>3.3846153846153845E-2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743</v>
      </c>
      <c r="L4" s="5"/>
      <c r="M4" s="185" t="s">
        <v>849</v>
      </c>
      <c r="N4" s="186"/>
      <c r="O4" s="2"/>
      <c r="P4" s="2"/>
      <c r="Q4" s="84" t="s">
        <v>175</v>
      </c>
      <c r="R4" s="94">
        <f>(IF(G3="",0,G3))</f>
        <v>3.3846153846153845E-2</v>
      </c>
      <c r="S4" s="61">
        <f>SUM(I13:M13)</f>
        <v>0</v>
      </c>
      <c r="T4" s="78"/>
      <c r="U4" s="61">
        <f>AC18</f>
        <v>10</v>
      </c>
      <c r="V4" s="61">
        <f>+AC22</f>
        <v>6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5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Umana Reyer Venice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3.3846153846153846</v>
      </c>
      <c r="S5" s="70">
        <f t="shared" ref="S5" si="0">S4*S3</f>
        <v>0</v>
      </c>
      <c r="T5" s="92"/>
      <c r="U5" s="70">
        <f t="shared" ref="U5:AG5" si="1">U4*U3</f>
        <v>5</v>
      </c>
      <c r="V5" s="70">
        <f t="shared" si="1"/>
        <v>6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12.5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850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766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31.884615384615383</v>
      </c>
      <c r="N7" s="58"/>
      <c r="O7" s="2"/>
      <c r="P7" s="2"/>
      <c r="Q7" s="86">
        <f>SUM(R5,S5,AC16)</f>
        <v>31.884615384615383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851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31.884615384615387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852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853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854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22</v>
      </c>
      <c r="J15" s="24">
        <f>SUBTOTAL(3,J17:J106)</f>
        <v>22</v>
      </c>
      <c r="K15" s="24">
        <f>SUBTOTAL(3,K17:K106)</f>
        <v>22</v>
      </c>
      <c r="L15" s="24">
        <f>SUBTOTAL(3,L17:L106)</f>
        <v>22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2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22</v>
      </c>
      <c r="Z16" s="90" t="s">
        <v>110</v>
      </c>
      <c r="AA16" s="75">
        <f>SUM(AA17:AA24)</f>
        <v>22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28.5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22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164</v>
      </c>
      <c r="D17" s="32" t="s">
        <v>826</v>
      </c>
      <c r="E17" s="33">
        <v>1</v>
      </c>
      <c r="F17" s="36">
        <v>4</v>
      </c>
      <c r="G17" s="36">
        <v>2</v>
      </c>
      <c r="H17" s="38" t="str">
        <f>IF(I17="","",$I$14)</f>
        <v>SCOUTING</v>
      </c>
      <c r="I17" s="34">
        <v>15</v>
      </c>
      <c r="J17" s="13" t="s">
        <v>4</v>
      </c>
      <c r="K17" s="13" t="s">
        <v>62</v>
      </c>
      <c r="L17" s="13" t="s">
        <v>6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22</v>
      </c>
      <c r="Z17" s="105" t="s">
        <v>63</v>
      </c>
      <c r="AA17" s="62">
        <f>COUNTIF($K$17:$K$106,Z17)</f>
        <v>14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164</v>
      </c>
      <c r="D18" s="32" t="s">
        <v>827</v>
      </c>
      <c r="E18" s="33">
        <v>1</v>
      </c>
      <c r="F18" s="36">
        <v>11</v>
      </c>
      <c r="G18" s="36">
        <v>7</v>
      </c>
      <c r="H18" s="38" t="str">
        <f t="shared" ref="H18:H81" si="8">IF(I18="","",$I$14)</f>
        <v>SCOUTING</v>
      </c>
      <c r="I18" s="34">
        <v>48</v>
      </c>
      <c r="J18" s="13" t="s">
        <v>4</v>
      </c>
      <c r="K18" s="13" t="s">
        <v>63</v>
      </c>
      <c r="L18" s="13" t="s">
        <v>7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1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10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6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164</v>
      </c>
      <c r="D19" s="32" t="s">
        <v>828</v>
      </c>
      <c r="E19" s="33">
        <v>1</v>
      </c>
      <c r="F19" s="36">
        <v>15</v>
      </c>
      <c r="G19" s="36">
        <v>11</v>
      </c>
      <c r="H19" s="38" t="str">
        <f t="shared" si="8"/>
        <v>SCOUTING</v>
      </c>
      <c r="I19" s="34">
        <v>67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7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164</v>
      </c>
      <c r="D20" s="32" t="s">
        <v>829</v>
      </c>
      <c r="E20" s="33">
        <v>1</v>
      </c>
      <c r="F20" s="36">
        <v>24</v>
      </c>
      <c r="G20" s="36">
        <v>24</v>
      </c>
      <c r="H20" s="38" t="str">
        <f t="shared" si="8"/>
        <v>SCOUTING</v>
      </c>
      <c r="I20" s="34">
        <v>128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5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164</v>
      </c>
      <c r="D21" s="32" t="s">
        <v>830</v>
      </c>
      <c r="E21" s="33">
        <v>2</v>
      </c>
      <c r="F21" s="36">
        <v>31</v>
      </c>
      <c r="G21" s="36">
        <v>31</v>
      </c>
      <c r="H21" s="38" t="str">
        <f t="shared" si="8"/>
        <v>SCOUTING</v>
      </c>
      <c r="I21" s="34">
        <v>200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U2025</v>
      </c>
      <c r="C22" s="31">
        <f t="shared" si="3"/>
        <v>164</v>
      </c>
      <c r="D22" s="32" t="s">
        <v>831</v>
      </c>
      <c r="E22" s="33">
        <v>2</v>
      </c>
      <c r="F22" s="36">
        <v>36</v>
      </c>
      <c r="G22" s="36">
        <v>31</v>
      </c>
      <c r="H22" s="38" t="str">
        <f t="shared" si="8"/>
        <v>SCOUTING</v>
      </c>
      <c r="I22" s="34">
        <v>224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U2025</v>
      </c>
      <c r="C23" s="31">
        <f t="shared" si="3"/>
        <v>164</v>
      </c>
      <c r="D23" s="32" t="s">
        <v>832</v>
      </c>
      <c r="E23" s="33">
        <v>2</v>
      </c>
      <c r="F23" s="36">
        <v>47</v>
      </c>
      <c r="G23" s="36">
        <v>39</v>
      </c>
      <c r="H23" s="38" t="str">
        <f t="shared" si="8"/>
        <v>SCOUTING</v>
      </c>
      <c r="I23" s="34">
        <v>283</v>
      </c>
      <c r="J23" s="13" t="s">
        <v>4</v>
      </c>
      <c r="K23" s="13" t="s">
        <v>63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5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U2025</v>
      </c>
      <c r="C24" s="31">
        <f t="shared" si="3"/>
        <v>164</v>
      </c>
      <c r="D24" s="32" t="s">
        <v>833</v>
      </c>
      <c r="E24" s="33">
        <v>2</v>
      </c>
      <c r="F24" s="36">
        <v>47</v>
      </c>
      <c r="G24" s="36">
        <v>41</v>
      </c>
      <c r="H24" s="38" t="str">
        <f t="shared" si="8"/>
        <v>SCOUTING</v>
      </c>
      <c r="I24" s="34">
        <v>288</v>
      </c>
      <c r="J24" s="13" t="s">
        <v>4</v>
      </c>
      <c r="K24" s="13" t="s">
        <v>63</v>
      </c>
      <c r="L24" s="13" t="s">
        <v>6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U2025</v>
      </c>
      <c r="C25" s="31">
        <f t="shared" si="3"/>
        <v>164</v>
      </c>
      <c r="D25" s="32" t="s">
        <v>834</v>
      </c>
      <c r="E25" s="33">
        <v>2</v>
      </c>
      <c r="F25" s="36">
        <v>49</v>
      </c>
      <c r="G25" s="36">
        <v>41</v>
      </c>
      <c r="H25" s="38" t="str">
        <f t="shared" si="8"/>
        <v>SCOUTING</v>
      </c>
      <c r="I25" s="34">
        <v>296</v>
      </c>
      <c r="J25" s="13" t="s">
        <v>4</v>
      </c>
      <c r="K25" s="13" t="s">
        <v>62</v>
      </c>
      <c r="L25" s="13" t="s">
        <v>78</v>
      </c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U2025</v>
      </c>
      <c r="C26" s="31">
        <f t="shared" si="3"/>
        <v>164</v>
      </c>
      <c r="D26" s="32" t="s">
        <v>835</v>
      </c>
      <c r="E26" s="33">
        <v>2</v>
      </c>
      <c r="F26" s="36">
        <v>49</v>
      </c>
      <c r="G26" s="36">
        <v>46</v>
      </c>
      <c r="H26" s="38" t="str">
        <f t="shared" si="8"/>
        <v>SCOUTING</v>
      </c>
      <c r="I26" s="34">
        <v>317</v>
      </c>
      <c r="J26" s="13" t="s">
        <v>4</v>
      </c>
      <c r="K26" s="13" t="s">
        <v>63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>U2025</v>
      </c>
      <c r="C27" s="31">
        <f t="shared" si="3"/>
        <v>164</v>
      </c>
      <c r="D27" s="32" t="s">
        <v>836</v>
      </c>
      <c r="E27" s="33">
        <v>3</v>
      </c>
      <c r="F27" s="36">
        <v>49</v>
      </c>
      <c r="G27" s="36">
        <v>47</v>
      </c>
      <c r="H27" s="38" t="str">
        <f t="shared" si="8"/>
        <v>SCOUTING</v>
      </c>
      <c r="I27" s="34">
        <v>341</v>
      </c>
      <c r="J27" s="13" t="s">
        <v>4</v>
      </c>
      <c r="K27" s="13" t="s">
        <v>63</v>
      </c>
      <c r="L27" s="13" t="s">
        <v>7</v>
      </c>
      <c r="M27" s="13" t="s">
        <v>22</v>
      </c>
      <c r="N27" s="35"/>
      <c r="O27" s="5" t="s">
        <v>78</v>
      </c>
      <c r="P27" s="5">
        <v>5</v>
      </c>
      <c r="Q27" s="84">
        <f t="shared" si="4"/>
        <v>1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>U2025</v>
      </c>
      <c r="C28" s="31">
        <f t="shared" si="3"/>
        <v>164</v>
      </c>
      <c r="D28" s="32" t="s">
        <v>837</v>
      </c>
      <c r="E28" s="33">
        <v>3</v>
      </c>
      <c r="F28" s="36">
        <v>51</v>
      </c>
      <c r="G28" s="36">
        <v>50</v>
      </c>
      <c r="H28" s="38" t="str">
        <f t="shared" si="8"/>
        <v>SCOUTING</v>
      </c>
      <c r="I28" s="34">
        <v>361</v>
      </c>
      <c r="J28" s="13" t="s">
        <v>4</v>
      </c>
      <c r="K28" s="13" t="s">
        <v>63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>U2025</v>
      </c>
      <c r="C29" s="31">
        <f t="shared" si="3"/>
        <v>164</v>
      </c>
      <c r="D29" s="32" t="s">
        <v>838</v>
      </c>
      <c r="E29" s="33">
        <v>3</v>
      </c>
      <c r="F29" s="36">
        <v>54</v>
      </c>
      <c r="G29" s="36">
        <v>56</v>
      </c>
      <c r="H29" s="38" t="str">
        <f t="shared" si="8"/>
        <v>SCOUTING</v>
      </c>
      <c r="I29" s="34">
        <v>395</v>
      </c>
      <c r="J29" s="13" t="s">
        <v>4</v>
      </c>
      <c r="K29" s="13" t="s">
        <v>63</v>
      </c>
      <c r="L29" s="13" t="s">
        <v>5</v>
      </c>
      <c r="M29" s="13" t="s">
        <v>9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>U2025</v>
      </c>
      <c r="C30" s="31">
        <f t="shared" si="3"/>
        <v>164</v>
      </c>
      <c r="D30" s="32" t="s">
        <v>839</v>
      </c>
      <c r="E30" s="33">
        <v>3</v>
      </c>
      <c r="F30" s="36">
        <v>57</v>
      </c>
      <c r="G30" s="36">
        <v>59</v>
      </c>
      <c r="H30" s="38" t="str">
        <f t="shared" si="8"/>
        <v>SCOUTING</v>
      </c>
      <c r="I30" s="34">
        <v>426</v>
      </c>
      <c r="J30" s="13" t="s">
        <v>4</v>
      </c>
      <c r="K30" s="13" t="s">
        <v>63</v>
      </c>
      <c r="L30" s="13" t="s">
        <v>6</v>
      </c>
      <c r="M30" s="13" t="s">
        <v>10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>U2025</v>
      </c>
      <c r="C31" s="31">
        <f t="shared" si="3"/>
        <v>164</v>
      </c>
      <c r="D31" s="32" t="s">
        <v>840</v>
      </c>
      <c r="E31" s="33">
        <v>3</v>
      </c>
      <c r="F31" s="36">
        <v>57</v>
      </c>
      <c r="G31" s="36">
        <v>61</v>
      </c>
      <c r="H31" s="38" t="str">
        <f t="shared" si="8"/>
        <v>SCOUTING</v>
      </c>
      <c r="I31" s="34">
        <v>434</v>
      </c>
      <c r="J31" s="13" t="s">
        <v>4</v>
      </c>
      <c r="K31" s="13" t="s">
        <v>62</v>
      </c>
      <c r="L31" s="13" t="s">
        <v>5</v>
      </c>
      <c r="M31" s="13" t="s">
        <v>29</v>
      </c>
      <c r="N31" s="35" t="s">
        <v>841</v>
      </c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>U2025</v>
      </c>
      <c r="C32" s="31">
        <f t="shared" si="3"/>
        <v>164</v>
      </c>
      <c r="D32" s="32" t="s">
        <v>842</v>
      </c>
      <c r="E32" s="33">
        <v>3</v>
      </c>
      <c r="F32" s="36">
        <v>59</v>
      </c>
      <c r="G32" s="36">
        <v>65</v>
      </c>
      <c r="H32" s="38" t="str">
        <f t="shared" si="8"/>
        <v>SCOUTING</v>
      </c>
      <c r="I32" s="34">
        <v>463</v>
      </c>
      <c r="J32" s="13" t="s">
        <v>4</v>
      </c>
      <c r="K32" s="13" t="s">
        <v>63</v>
      </c>
      <c r="L32" s="13" t="s">
        <v>6</v>
      </c>
      <c r="M32" s="13" t="s">
        <v>9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>U2025</v>
      </c>
      <c r="C33" s="31">
        <f t="shared" si="3"/>
        <v>164</v>
      </c>
      <c r="D33" s="32" t="s">
        <v>843</v>
      </c>
      <c r="E33" s="33">
        <v>3</v>
      </c>
      <c r="F33" s="36">
        <v>59</v>
      </c>
      <c r="G33" s="36">
        <v>65</v>
      </c>
      <c r="H33" s="38" t="str">
        <f t="shared" si="8"/>
        <v>SCOUTING</v>
      </c>
      <c r="I33" s="34">
        <v>470</v>
      </c>
      <c r="J33" s="13" t="s">
        <v>4</v>
      </c>
      <c r="K33" s="13" t="s">
        <v>63</v>
      </c>
      <c r="L33" s="13" t="s">
        <v>7</v>
      </c>
      <c r="M33" s="13" t="s">
        <v>28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>U2025</v>
      </c>
      <c r="C34" s="31">
        <f t="shared" si="3"/>
        <v>164</v>
      </c>
      <c r="D34" s="32" t="s">
        <v>844</v>
      </c>
      <c r="E34" s="33">
        <v>4</v>
      </c>
      <c r="F34" s="36">
        <v>66</v>
      </c>
      <c r="G34" s="36">
        <v>69</v>
      </c>
      <c r="H34" s="38" t="str">
        <f t="shared" si="8"/>
        <v>SCOUTING</v>
      </c>
      <c r="I34" s="34">
        <v>511</v>
      </c>
      <c r="J34" s="13" t="s">
        <v>4</v>
      </c>
      <c r="K34" s="13" t="s">
        <v>63</v>
      </c>
      <c r="L34" s="13" t="s">
        <v>5</v>
      </c>
      <c r="M34" s="13" t="s">
        <v>11</v>
      </c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>U2025</v>
      </c>
      <c r="C35" s="31">
        <f t="shared" si="3"/>
        <v>164</v>
      </c>
      <c r="D35" s="32" t="s">
        <v>845</v>
      </c>
      <c r="E35" s="33">
        <v>4</v>
      </c>
      <c r="F35" s="36">
        <v>71</v>
      </c>
      <c r="G35" s="36">
        <v>75</v>
      </c>
      <c r="H35" s="38" t="str">
        <f t="shared" si="8"/>
        <v>SCOUTING</v>
      </c>
      <c r="I35" s="34">
        <v>567</v>
      </c>
      <c r="J35" s="13" t="s">
        <v>4</v>
      </c>
      <c r="K35" s="13" t="s">
        <v>63</v>
      </c>
      <c r="L35" s="13" t="s">
        <v>7</v>
      </c>
      <c r="M35" s="13" t="s">
        <v>12</v>
      </c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6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>U2025</v>
      </c>
      <c r="C36" s="31">
        <f t="shared" si="3"/>
        <v>164</v>
      </c>
      <c r="D36" s="32" t="s">
        <v>846</v>
      </c>
      <c r="E36" s="33">
        <v>4</v>
      </c>
      <c r="F36" s="36">
        <v>71</v>
      </c>
      <c r="G36" s="36">
        <v>75</v>
      </c>
      <c r="H36" s="38" t="str">
        <f t="shared" si="8"/>
        <v>SCOUTING</v>
      </c>
      <c r="I36" s="34">
        <v>572</v>
      </c>
      <c r="J36" s="13" t="s">
        <v>4</v>
      </c>
      <c r="K36" s="13" t="s">
        <v>62</v>
      </c>
      <c r="L36" s="13" t="s">
        <v>5</v>
      </c>
      <c r="M36" s="13" t="s">
        <v>10</v>
      </c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>U2025</v>
      </c>
      <c r="C37" s="31">
        <f t="shared" si="3"/>
        <v>164</v>
      </c>
      <c r="D37" s="32" t="s">
        <v>847</v>
      </c>
      <c r="E37" s="33">
        <v>4</v>
      </c>
      <c r="F37" s="36">
        <v>71</v>
      </c>
      <c r="G37" s="36">
        <v>79</v>
      </c>
      <c r="H37" s="38" t="str">
        <f t="shared" si="8"/>
        <v>SCOUTING</v>
      </c>
      <c r="I37" s="34">
        <v>592</v>
      </c>
      <c r="J37" s="13" t="s">
        <v>4</v>
      </c>
      <c r="K37" s="13" t="s">
        <v>62</v>
      </c>
      <c r="L37" s="13" t="s">
        <v>7</v>
      </c>
      <c r="M37" s="13" t="s">
        <v>12</v>
      </c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>U2025</v>
      </c>
      <c r="C38" s="31">
        <f t="shared" si="3"/>
        <v>164</v>
      </c>
      <c r="D38" s="32" t="s">
        <v>848</v>
      </c>
      <c r="E38" s="33">
        <v>4</v>
      </c>
      <c r="F38" s="36">
        <v>71</v>
      </c>
      <c r="G38" s="36">
        <v>83</v>
      </c>
      <c r="H38" s="38" t="str">
        <f t="shared" si="8"/>
        <v>SCOUTING</v>
      </c>
      <c r="I38" s="34">
        <v>608</v>
      </c>
      <c r="J38" s="13" t="s">
        <v>4</v>
      </c>
      <c r="K38" s="13" t="s">
        <v>63</v>
      </c>
      <c r="L38" s="13" t="s">
        <v>5</v>
      </c>
      <c r="M38" s="13" t="s">
        <v>10</v>
      </c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REPORT_U2025164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"U2025164"</v>
      </c>
      <c r="F3" s="45" t="str">
        <f t="shared" ref="F3:F16" si="0">""""&amp;B3&amp;"""" &amp; " : " &amp;C3&amp;","</f>
        <v>"name" : "U2025164",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"U164"</v>
      </c>
      <c r="F4" s="45" t="str">
        <f t="shared" si="0"/>
        <v>"cod" : "U164",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164</v>
      </c>
      <c r="F6" s="45" t="str">
        <f t="shared" si="0"/>
        <v>"number" : 164,</v>
      </c>
    </row>
    <row r="7" spans="2:6" x14ac:dyDescent="0.25">
      <c r="B7" s="43" t="s">
        <v>116</v>
      </c>
      <c r="C7" s="43" t="str">
        <f ca="1">""""&amp;TEXT('SCOUT &amp; LOGISTICS'!B3,"dd/mm/aaaa")&amp;""""</f>
        <v>"04/02/2026"</v>
      </c>
      <c r="F7" s="45" t="str">
        <f t="shared" ca="1" si="0"/>
        <v>"date" : "04/02/2026",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"LAIA GONELL"</v>
      </c>
      <c r="F10" s="45" t="str">
        <f t="shared" si="0"/>
        <v>"Data_entry" : "LAIA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"VERONICA NAVARRO"</v>
      </c>
      <c r="F12" s="45" t="str">
        <f t="shared" si="0"/>
        <v>"Caller_2" : "VERONICA NAVARRO",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"MARTA SOLA"</v>
      </c>
      <c r="F13" s="45" t="str">
        <f t="shared" si="0"/>
        <v>"Timerkeeper" : "MARTA SOLA",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"GEMMA BOERA"</v>
      </c>
      <c r="F14" s="45" t="str">
        <f t="shared" si="0"/>
        <v>"Shotclock" : "GEMMA BOERA",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650</v>
      </c>
      <c r="F25" s="45" t="str">
        <f t="shared" ref="F25:F48" si="1">""""&amp;C25&amp;"""" &amp; " : " &amp;D25&amp;","</f>
        <v>"total_actions" : 650,</v>
      </c>
    </row>
    <row r="26" spans="2:6" x14ac:dyDescent="0.25">
      <c r="C26" s="43" t="s">
        <v>132</v>
      </c>
      <c r="D26" s="43">
        <f>'SCOUT &amp; LOGISTICS'!F3</f>
        <v>22</v>
      </c>
      <c r="F26" s="45" t="str">
        <f t="shared" si="1"/>
        <v>"total_correcions" : 22,</v>
      </c>
    </row>
    <row r="27" spans="2:6" x14ac:dyDescent="0.25">
      <c r="C27" s="43" t="s">
        <v>133</v>
      </c>
      <c r="D27" s="43" t="str">
        <f>""""&amp;IF(OR(D25="",D25=0),"",TEXT(D26/D25,"0,0%"))&amp;""""</f>
        <v>"3,4%"</v>
      </c>
      <c r="F27" s="45" t="str">
        <f t="shared" si="1"/>
        <v>"%_corrections" : "3,4%",</v>
      </c>
    </row>
    <row r="28" spans="2:6" x14ac:dyDescent="0.25">
      <c r="C28" s="43" t="s">
        <v>125</v>
      </c>
      <c r="D28" s="43">
        <f>IF('SCOUT &amp; LOGISTICS'!AA17="","",'SCOUT &amp; LOGISTICS'!AA17)</f>
        <v>14</v>
      </c>
      <c r="F28" s="45" t="str">
        <f t="shared" si="1"/>
        <v>"home_team" : 14,</v>
      </c>
    </row>
    <row r="29" spans="2:6" x14ac:dyDescent="0.25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6</v>
      </c>
      <c r="F32" s="45" t="str">
        <f t="shared" si="1"/>
        <v>"q2" : 6,</v>
      </c>
    </row>
    <row r="33" spans="3:6" x14ac:dyDescent="0.25">
      <c r="C33" s="43" t="s">
        <v>137</v>
      </c>
      <c r="D33" s="43">
        <f>'SCOUT &amp; LOGISTICS'!AG19</f>
        <v>7</v>
      </c>
      <c r="F33" s="45" t="str">
        <f t="shared" si="1"/>
        <v>"q3" : 7,</v>
      </c>
    </row>
    <row r="34" spans="3:6" x14ac:dyDescent="0.25">
      <c r="C34" s="43" t="s">
        <v>138</v>
      </c>
      <c r="D34" s="43">
        <f>'SCOUT &amp; LOGISTICS'!AG20</f>
        <v>5</v>
      </c>
      <c r="F34" s="45" t="str">
        <f t="shared" si="1"/>
        <v>"q4" : 5,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22</v>
      </c>
      <c r="F37" s="45" t="str">
        <f t="shared" si="1"/>
        <v>"scoresheet_corrections" : 22,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10</v>
      </c>
      <c r="F39" s="45" t="str">
        <f t="shared" si="1"/>
        <v>"missidentity" : 10,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5</v>
      </c>
      <c r="F46" s="45" t="str">
        <f t="shared" si="1"/>
        <v>"part_of_a_sequence" : 5,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2</v>
      </c>
      <c r="F49" s="45" t="str">
        <f>""""&amp;C49&amp;"""" &amp; " : " &amp;D49</f>
        <v>"points" : 2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"Massa errors d'identificació, de criteri als Steals. Necessiteu moltíssima més concentració i control dels jugadors de l'equip rival, perquè heu confós dos jugadors entre ells massa vegades. Per últim, molt de compte sempre a l'hora d'identificar les línies a corregir. Estalvia un temps molt preuat. Ànims! Segur que millorareu"</v>
      </c>
      <c r="F51" s="45" t="str">
        <f>""""&amp;B51&amp;"""" &amp; " : " &amp;C51&amp;","</f>
        <v>"comments" : "Massa errors d'identificació, de criteri als Steals. Necessiteu moltíssima més concentració i control dels jugadors de l'equip rival, perquè heu confós dos jugadors entre ells massa vegades. Per últim, molt de compte sempre a l'hora d'identificar les línies a corregir. Estalvia un temps molt preuat. Ànims! Segur que millorareu",</v>
      </c>
    </row>
    <row r="52" spans="2:6" x14ac:dyDescent="0.25">
      <c r="B52" s="43" t="s">
        <v>153</v>
      </c>
      <c r="C52" s="43" t="str">
        <f>TEXT('SCOUT &amp; LOGISTICS'!F1,"0,0")</f>
        <v>17_164_MAN_VNC_U2025</v>
      </c>
      <c r="F52" s="45" t="str">
        <f>""""&amp;B52&amp;"""" &amp; " : " &amp;C52</f>
        <v>"result" : 17_164_MAN_VNC_U2025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U164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Umana Reyer Venice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LAIA GONELL</v>
      </c>
      <c r="C8" s="201"/>
      <c r="D8" s="201"/>
      <c r="E8" s="201"/>
      <c r="F8" s="201"/>
      <c r="G8" s="201" t="str">
        <f>IF('SCOUT &amp; LOGISTICS'!D7="","",'SCOUT &amp; LOGISTICS'!D7)</f>
        <v>LLUIS ESPINOSA</v>
      </c>
      <c r="H8" s="201"/>
      <c r="I8" s="201"/>
      <c r="J8" s="201"/>
      <c r="K8" s="201"/>
      <c r="L8" s="201" t="str">
        <f>IF('SCOUT &amp; LOGISTICS'!D8="","",'SCOUT &amp; LOGISTICS'!D8)</f>
        <v>VERONICA NAVARRO</v>
      </c>
      <c r="M8" s="201"/>
      <c r="N8" s="201"/>
      <c r="O8" s="201"/>
      <c r="P8" s="201"/>
      <c r="Q8" s="201" t="str">
        <f>IF('SCOUT &amp; LOGISTICS'!D9="","",'SCOUT &amp; LOGISTICS'!D9)</f>
        <v>MARTA SOLA</v>
      </c>
      <c r="R8" s="201"/>
      <c r="S8" s="201"/>
      <c r="T8" s="201"/>
      <c r="U8" s="201"/>
      <c r="V8" s="201" t="str">
        <f>IF('SCOUT &amp; LOGISTICS'!D10="","",'SCOUT &amp; LOGISTICS'!D10)</f>
        <v>GEMMA BOERA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650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3.3846153846153845E-2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14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8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6</v>
      </c>
      <c r="I22" s="199"/>
      <c r="J22" s="199"/>
      <c r="K22" s="199"/>
      <c r="L22" s="199"/>
      <c r="M22" s="199"/>
      <c r="N22" s="199">
        <f>'SCOUT &amp; LOGISTICS'!AG19</f>
        <v>7</v>
      </c>
      <c r="O22" s="199"/>
      <c r="P22" s="199"/>
      <c r="Q22" s="199"/>
      <c r="R22" s="199"/>
      <c r="S22" s="199"/>
      <c r="T22" s="199">
        <f>'SCOUT &amp; LOGISTICS'!AG20</f>
        <v>5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22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10</v>
      </c>
      <c r="C27" s="199"/>
      <c r="D27" s="199"/>
      <c r="E27" s="199"/>
      <c r="F27" s="199"/>
      <c r="G27" s="199">
        <f>'SCOUT &amp; LOGISTICS'!AC22</f>
        <v>6</v>
      </c>
      <c r="H27" s="199"/>
      <c r="I27" s="199"/>
      <c r="J27" s="199"/>
      <c r="K27" s="199"/>
      <c r="L27" s="199">
        <f>'SCOUT &amp; LOGISTICS'!AC23</f>
        <v>5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1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Massa errors d'identificació, de criteri als Steals. Necessiteu moltíssima més concentració i control dels jugadors de l'equip rival, perquè heu confós dos jugadors entre ells massa vegades. Per últim, molt de compte sempre a l'hora d'identificar les línies a corregir. Estalvia un temps molt preuat. Ànims! Segur que millorareu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31.884615384615383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A527CBB-FD5B-48E0-B80B-F44FFB7120A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2026-02-05T14:20:04Z</cp:lastPrinted>
  <dcterms:created xsi:type="dcterms:W3CDTF">2023-09-19T19:50:35Z</dcterms:created>
  <dcterms:modified xsi:type="dcterms:W3CDTF">2026-02-05T14:20:13Z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