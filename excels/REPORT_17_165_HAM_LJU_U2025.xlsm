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8_{95433EED-95F6-41F6-804C-E95922C0A80E}" xr6:coauthVersionLast="47" xr6:coauthVersionMax="47" xr10:uidLastSave="{00000000-0000-0000-0000-000000000000}"/>
  <bookViews>
    <workbookView xWindow="-6345" yWindow="-16320" windowWidth="29040" windowHeight="15720" xr2:uid="{00000000-000D-0000-FFFF-FFFF00000000}"/>
  </bookViews>
  <sheets>
    <sheet name="SCOUT &amp; LOGISTICS" sheetId="1" r:id="rId1"/>
    <sheet name="Teams" sheetId="5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1" i="1" l="1"/>
  <c r="D10" i="1"/>
  <c r="D9" i="1"/>
  <c r="D8" i="1"/>
  <c r="D7" i="1"/>
  <c r="D6" i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<sst xmlns="http://schemas.openxmlformats.org/spreadsheetml/2006/main" count="3321" uniqueCount="826">
  <si>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</si>
  <si>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</si>
  <si>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</si>
  <si>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</si>
  <si>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</si>
  <si>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</si>
  <si>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</si>
  <si>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</si>
  <si>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</si>
  <si>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</si>
  <si>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</si>
  <si>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</si>
  <si>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</si>
  <si>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</si>
  <si>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</si>
  <si>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</si>
  <si>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</si>
  <si>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</si>
  <si>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</si>
  <si>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</si>
  <si>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</si>
  <si>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</si>
  <si>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</si>
  <si>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</si>
  <si>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</si>
  <si>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</si>
  <si>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</si>
  <si>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</si>
  <si>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</si>
  <si>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</si>
  <si>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</si>
  <si>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</si>
  <si>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</si>
  <si>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</si>
  <si>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</si>
  <si>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</si>
  <si>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</si>
  <si>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</si>
  <si>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</si>
  <si>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</si>
  <si>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</si>
  <si>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</si>
  <si>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</si>
  <si>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</si>
  <si>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</si>
  <si>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</si>
  <si>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</si>
  <si>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</si>
  <si>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</si>
  <si>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</si>
  <si>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</si>
  <si>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</si>
  <si>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</si>
  <si>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</si>
  <si>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</si>
  <si>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</si>
  <si>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</si>
  <si>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</si>
  <si>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</si>
  <si>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</si>
  <si>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</si>
  <si>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</si>
  <si>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</si>
  <si>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</si>
  <si>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</si>
  <si>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</si>
  <si>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</si>
  <si>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</si>
  <si>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</si>
  <si>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</si>
  <si>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</si>
  <si>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</si>
  <si>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</si>
  <si>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</si>
  <si>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</si>
  <si>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</si>
  <si>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</si>
  <si>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</si>
  <si>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</si>
  <si>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</si>
  <si>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</si>
  <si>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</si>
  <si>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</si>
  <si>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</si>
  <si>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</si>
  <si>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</si>
  <si>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</si>
  <si>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</si>
  <si>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</si>
  <si>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</si>
  <si>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</si>
  <si>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</si>
  <si>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</si>
  <si>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</si>
  <si>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</si>
  <si>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</si>
  <si>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</si>
  <si>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</si>
  <si>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</si>
  <si>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</si>
  <si>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</si>
  <si>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</si>
  <si>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</si>
  <si>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</si>
  <si>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</si>
  <si>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</si>
  <si>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</si>
  <si>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</si>
  <si>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</si>
  <si>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</si>
  <si>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</si>
  <si>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</si>
  <si>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</si>
  <si>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</si>
  <si>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</si>
  <si>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</si>
  <si>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</si>
  <si>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</si>
  <si>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</si>
  <si>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</si>
  <si>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</si>
  <si>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</si>
  <si>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</si>
  <si>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</si>
  <si>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</si>
  <si>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</si>
  <si>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</si>
  <si>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</si>
  <si>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</si>
  <si>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</si>
  <si>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</si>
  <si>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</si>
  <si>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</si>
  <si>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</si>
  <si>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</si>
  <si>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</si>
  <si>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</si>
  <si>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</si>
  <si>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</si>
  <si>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</si>
  <si>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</si>
  <si>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</si>
  <si>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</si>
  <si>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</si>
  <si>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</si>
  <si>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</si>
  <si>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</si>
  <si>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</si>
  <si>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</si>
  <si>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</si>
  <si>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</si>
  <si>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</si>
  <si>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</si>
  <si>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</si>
  <si>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</si>
  <si>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</si>
  <si>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</si>
  <si>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</si>
  <si>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</si>
  <si>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</si>
  <si>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</si>
  <si>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</si>
  <si>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</si>
  <si>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</si>
  <si>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</si>
  <si>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</si>
  <si>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</si>
  <si>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</si>
  <si>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</si>
  <si>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</si>
  <si>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</si>
  <si>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</si>
  <si>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</si>
  <si>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</si>
  <si>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</si>
  <si>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</si>
  <si>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</si>
  <si>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</si>
  <si>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</si>
  <si>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</si>
  <si>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</si>
  <si>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</si>
  <si>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</si>
  <si>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</si>
  <si>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</si>
  <si>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</si>
  <si>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</si>
  <si>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</si>
  <si>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</si>
  <si>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</si>
  <si>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</si>
  <si>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</si>
  <si>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</si>
  <si>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</si>
  <si>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</si>
  <si>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</si>
  <si>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</si>
  <si>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</si>
  <si>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</si>
  <si>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</si>
  <si>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</si>
  <si>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</si>
  <si>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</si>
  <si>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</si>
  <si>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</si>
  <si>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</si>
  <si>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</si>
  <si>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</si>
  <si>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</si>
  <si>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</si>
  <si>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</si>
  <si>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</si>
  <si>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</si>
  <si>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</si>
  <si>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</si>
  <si>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</si>
  <si>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</si>
  <si>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</si>
  <si>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</si>
  <si>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</si>
  <si>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</si>
  <si>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</si>
  <si>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</si>
  <si>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</si>
  <si>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</si>
  <si>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</si>
  <si>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</si>
  <si>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</si>
  <si>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</si>
  <si>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</si>
  <si>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</si>
  <si>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</si>
  <si>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</si>
  <si>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</si>
  <si>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</si>
  <si>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</si>
  <si>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</si>
  <si>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</si>
  <si>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</si>
  <si>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</si>
  <si>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</si>
  <si>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</si>
  <si>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</si>
  <si>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</si>
  <si>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</si>
  <si>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</si>
  <si>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</si>
  <si>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</si>
  <si>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</si>
  <si>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</si>
  <si>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</si>
  <si>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</si>
  <si>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</si>
  <si>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</si>
  <si>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</si>
  <si>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</si>
  <si>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</si>
  <si>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</si>
  <si>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</si>
  <si>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</si>
  <si>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</si>
  <si>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</si>
  <si>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</si>
  <si>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</si>
  <si>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</si>
  <si>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</si>
  <si>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</si>
  <si>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</si>
  <si>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</si>
  <si>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</si>
  <si>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</si>
  <si>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</si>
  <si>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</si>
  <si>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</si>
  <si>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</si>
  <si>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</si>
  <si>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</si>
  <si>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</si>
  <si>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</si>
  <si>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</si>
  <si>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</si>
  <si>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</si>
  <si>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</si>
  <si>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</si>
  <si>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</si>
  <si>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</si>
  <si>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</si>
  <si>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</si>
  <si>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</si>
  <si>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</si>
  <si>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</si>
  <si>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</si>
  <si>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</si>
  <si>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</si>
  <si>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</si>
  <si>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</si>
  <si>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</si>
  <si>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</si>
  <si>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</si>
  <si>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</si>
  <si>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</si>
  <si>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</si>
  <si>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</si>
  <si>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</si>
  <si>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</si>
  <si>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</si>
  <si>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</si>
  <si>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</si>
  <si>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</si>
  <si>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</si>
  <si>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</si>
  <si>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</si>
  <si>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</si>
  <si>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</si>
  <si>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</si>
  <si>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</si>
  <si>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</si>
  <si>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</si>
  <si>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</si>
  <si>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</si>
  <si>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</si>
  <si>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</si>
  <si>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</si>
  <si>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</si>
  <si>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</si>
  <si>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</si>
  <si>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</si>
  <si>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</si>
  <si>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</si>
  <si>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</si>
  <si>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</si>
  <si>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</si>
  <si>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</si>
  <si>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</si>
  <si>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</si>
  <si>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</si>
  <si>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</si>
  <si>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</si>
  <si>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</si>
  <si>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</si>
  <si>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</si>
  <si>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</si>
  <si>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</si>
  <si>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</si>
  <si>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</si>
  <si>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</si>
  <si>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</si>
  <si>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</si>
  <si>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</si>
  <si>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</si>
  <si>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</si>
  <si>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</si>
  <si>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</si>
  <si>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</si>
  <si>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</si>
  <si>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</si>
  <si>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</si>
  <si>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</si>
  <si>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</si>
  <si>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</si>
  <si>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</si>
  <si>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</si>
  <si>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</si>
  <si>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</si>
  <si>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</si>
  <si>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</si>
  <si>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</si>
  <si>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</si>
  <si>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</si>
  <si>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</si>
  <si>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</si>
  <si>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</si>
  <si>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</si>
  <si>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</si>
  <si>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</si>
  <si>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</si>
  <si>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</si>
  <si>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</si>
  <si>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</si>
  <si>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</si>
  <si>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</si>
  <si>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</si>
  <si>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</si>
  <si>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</si>
  <si>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</si>
  <si>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</si>
  <si>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</si>
  <si>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</si>
  <si>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</si>
  <si>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</si>
  <si>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</si>
  <si>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</si>
  <si>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</si>
  <si>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</si>
  <si>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</si>
  <si>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</si>
  <si>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</si>
  <si>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</si>
  <si>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</si>
  <si>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</si>
  <si>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</si>
  <si>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</si>
  <si>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</si>
  <si>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</si>
  <si>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</si>
  <si>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</si>
  <si>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</si>
  <si>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</si>
  <si>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</si>
  <si>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</si>
  <si>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</si>
  <si>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</si>
  <si>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</si>
  <si>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</si>
  <si>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</si>
  <si>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</si>
  <si>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</si>
  <si>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</si>
  <si>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</si>
  <si>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</si>
  <si>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</si>
  <si>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</si>
  <si>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</si>
  <si>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</si>
  <si>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</si>
  <si>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</si>
  <si>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</si>
  <si>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</si>
  <si>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</si>
  <si>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</si>
  <si>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</si>
  <si>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</si>
  <si>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</si>
  <si>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</si>
  <si>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</si>
  <si>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</si>
  <si>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</si>
  <si>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</si>
  <si>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</si>
  <si>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</si>
  <si>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</si>
  <si>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</si>
  <si>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</si>
  <si>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</si>
  <si>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</si>
  <si>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</si>
  <si>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</si>
  <si>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</si>
  <si>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</si>
  <si>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</si>
  <si>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</si>
  <si>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</si>
  <si>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</si>
  <si>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</si>
  <si>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</si>
  <si>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</si>
  <si>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</si>
  <si>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</si>
  <si>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</si>
  <si>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</si>
  <si>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</si>
  <si>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</si>
  <si>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</si>
  <si>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</si>
  <si>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</si>
  <si>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</si>
  <si>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</si>
  <si>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</si>
  <si>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</si>
  <si>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</si>
  <si>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</si>
  <si>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</si>
  <si>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</si>
  <si>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</si>
  <si>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</si>
  <si>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</si>
  <si>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</si>
  <si>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</si>
  <si>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</si>
  <si>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</si>
  <si>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</si>
  <si>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</si>
  <si>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</si>
  <si>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</si>
  <si>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</si>
  <si>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</si>
  <si>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</si>
  <si>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</si>
  <si>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</si>
  <si>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</si>
  <si>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</si>
  <si>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</si>
  <si>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</si>
  <si>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</si>
  <si>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</si>
  <si>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</si>
  <si>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</si>
  <si>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</si>
  <si>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</si>
  <si>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</si>
  <si>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</si>
  <si>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</si>
  <si>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</si>
  <si>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</si>
  <si>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</si>
  <si>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</si>
  <si>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</si>
  <si>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</si>
  <si>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</si>
  <si>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</si>
  <si>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</si>
  <si>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</si>
  <si>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</si>
  <si>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</si>
  <si>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</si>
  <si>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</si>
  <si>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</si>
  <si>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</si>
  <si>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</si>
  <si>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</si>
  <si>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</si>
  <si>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</si>
  <si>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</si>
  <si>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</si>
  <si>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</si>
  <si>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</si>
  <si>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</si>
  <si>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</si>
  <si>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</si>
  <si>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</si>
  <si>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</si>
  <si>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</si>
  <si>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</si>
  <si>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</si>
  <si>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</si>
  <si>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</si>
  <si>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</si>
  <si>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</si>
  <si>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</si>
  <si>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</si>
  <si>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</si>
  <si>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</si>
  <si>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</si>
  <si>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</si>
  <si>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</si>
  <si>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</si>
  <si>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</si>
  <si>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</si>
  <si>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</si>
  <si>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</si>
  <si>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</si>
  <si>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</si>
  <si>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</si>
  <si>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</si>
  <si>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</si>
  <si>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</si>
  <si>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</si>
  <si>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</si>
  <si>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</si>
  <si>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</si>
  <si>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</si>
  <si>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</si>
  <si>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</si>
  <si>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</si>
  <si>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</si>
  <si>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</si>
  <si>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</si>
  <si>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</si>
  <si>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</si>
  <si>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</si>
  <si>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</si>
  <si>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</si>
  <si>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</si>
  <si>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</si>
  <si>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</si>
  <si>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</si>
  <si>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</si>
  <si>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</si>
  <si>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</si>
  <si>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</si>
  <si>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</si>
  <si>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</si>
  <si>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</si>
  <si>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</si>
  <si>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</si>
  <si>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</si>
  <si>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</si>
  <si>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</si>
  <si>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</si>
  <si>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</si>
  <si>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</si>
  <si>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</si>
  <si>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</si>
  <si>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</si>
  <si>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</si>
  <si>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</si>
  <si>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</si>
  <si>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</si>
  <si>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</si>
  <si>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</si>
  <si>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</si>
  <si>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</si>
  <si>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</si>
  <si>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</si>
  <si>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</si>
  <si>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</si>
  <si>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</si>
  <si>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</si>
  <si>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</si>
  <si>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</si>
  <si>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</si>
  <si>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</si>
  <si>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</si>
  <si>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</si>
  <si>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</si>
  <si>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</si>
  <si>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</si>
  <si>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</si>
  <si>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</si>
  <si>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</si>
  <si>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</si>
  <si>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</si>
  <si>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</si>
  <si>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</si>
  <si>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</si>
  <si>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</si>
  <si>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</si>
  <si>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</si>
  <si>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</si>
  <si>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</si>
  <si>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</si>
  <si>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</si>
  <si>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</si>
  <si>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</si>
  <si>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</si>
  <si>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</si>
  <si>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</si>
  <si>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</si>
  <si>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</si>
  <si>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</si>
  <si>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</si>
  <si>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</si>
  <si>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</si>
  <si>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</si>
  <si>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</si>
  <si>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</si>
  <si>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</si>
  <si>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</si>
  <si>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</si>
  <si>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</si>
  <si>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</si>
  <si>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</si>
  <si>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</si>
  <si>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</si>
  <si>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</si>
  <si>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</si>
  <si>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</si>
  <si>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</si>
  <si>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</si>
  <si>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</si>
  <si>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</si>
  <si>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</si>
  <si>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</si>
  <si>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</si>
  <si>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</si>
  <si>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</si>
  <si>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</si>
  <si>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</si>
  <si>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</si>
  <si>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</si>
  <si>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</si>
  <si>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</si>
  <si>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</si>
  <si>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</si>
  <si>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</si>
  <si>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</si>
  <si>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</si>
  <si>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</si>
  <si>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</si>
  <si>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</si>
  <si>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</si>
  <si>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</si>
  <si>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</si>
  <si>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</si>
  <si>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</si>
  <si>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</si>
  <si>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</si>
  <si>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</si>
  <si>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</si>
  <si>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</si>
  <si>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</si>
  <si>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</si>
  <si>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</si>
  <si>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</si>
  <si>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</si>
  <si>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</si>
  <si>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</si>
  <si>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</si>
  <si>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</si>
  <si>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</si>
  <si>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</si>
  <si>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</si>
  <si>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</si>
  <si>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</si>
  <si>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</si>
  <si>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</si>
  <si>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</si>
  <si>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</si>
  <si>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</si>
  <si>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</si>
  <si>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</si>
  <si>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</si>
  <si>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</si>
  <si>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</si>
  <si>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</si>
  <si>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</si>
  <si>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</si>
  <si>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</si>
  <si>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</si>
  <si>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</si>
  <si>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</si>
  <si>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</si>
  <si>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</si>
  <si>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</si>
  <si>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</si>
  <si>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</si>
  <si>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</si>
  <si>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</si>
  <si>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</si>
  <si>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</si>
  <si>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</si>
  <si>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</si>
  <si>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</si>
  <si>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</si>
  <si>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</si>
  <si>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</si>
  <si>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</si>
  <si>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</si>
  <si>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</si>
  <si>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</si>
  <si>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</si>
  <si>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</si>
  <si>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</si>
  <si>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</si>
  <si>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</si>
  <si>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</si>
  <si>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</si>
  <si>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</si>
  <si>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</si>
  <si>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U</t>
  </si>
  <si>
    <t>DJAMEL SOUDANI</t>
  </si>
  <si>
    <t>BASTIEN BONNETON</t>
  </si>
  <si>
    <t>CYRIL LONGELIN</t>
  </si>
  <si>
    <t>MAGALI CARTIER</t>
  </si>
  <si>
    <t>AXEL QUENEY</t>
  </si>
  <si>
    <t>MONIKA NEDYALKOVA</t>
  </si>
  <si>
    <t>ANASTASIOS KARIOFYLIS</t>
  </si>
  <si>
    <t>SOLON MINAS</t>
  </si>
  <si>
    <t>ANGELOS KALOGERAKOS</t>
  </si>
  <si>
    <t>KRANIOTIS, KONSTANTINOS</t>
  </si>
  <si>
    <t>CHRISTOLIAKOU, MARIA ALEXANDRA</t>
  </si>
  <si>
    <t>KAROUMPALOU, ATHINA</t>
  </si>
  <si>
    <t>KARAGIAKIOULES, VASILEOS</t>
  </si>
  <si>
    <t>KOURTI, SPYRIDOULA</t>
  </si>
  <si>
    <t>KALESIORIS, ANASTASIS</t>
  </si>
  <si>
    <t>FRANCIS RUIZ</t>
  </si>
  <si>
    <t>LLUIS ESPINOSA</t>
  </si>
  <si>
    <t>LAILA GONELL</t>
  </si>
  <si>
    <t>ROBERTO BAÑOS</t>
  </si>
  <si>
    <t>MARIA JOSE SERRANO</t>
  </si>
  <si>
    <t>JESUS LOPEZ</t>
  </si>
  <si>
    <t>ENDER OZBEK</t>
  </si>
  <si>
    <t>SERTAC DOSTEL</t>
  </si>
  <si>
    <t>AHMET YILDIZ</t>
  </si>
  <si>
    <t>MERVE SAGLAM</t>
  </si>
  <si>
    <t>VASILJEVIC, PETAR</t>
  </si>
  <si>
    <t>VASILJEVIC, IVANA</t>
  </si>
  <si>
    <t>VASILJEVIC, PREDRAG</t>
  </si>
  <si>
    <t>PRPA, IVANA</t>
  </si>
  <si>
    <t>KRSTIC, ANA</t>
  </si>
  <si>
    <t>SONJA STANKOVIC</t>
  </si>
  <si>
    <t>JOVANA KRIVOKUCA-MILOVANOVIC</t>
  </si>
  <si>
    <t>JACOBO LAPRESTA</t>
  </si>
  <si>
    <t>JOSE ANTONIO RODRIGUEZ</t>
  </si>
  <si>
    <t>JOSE VICENTE ARQUES</t>
  </si>
  <si>
    <t>YOLANDA BAILACH MADERA</t>
  </si>
  <si>
    <t>CRISTINA TORRES</t>
  </si>
  <si>
    <t>BORJA RODRIGUEZ</t>
  </si>
  <si>
    <t>DANILO VESOVIC</t>
  </si>
  <si>
    <t>LUKA ANDRIC</t>
  </si>
  <si>
    <t>MARKO LEPOVIC</t>
  </si>
  <si>
    <t>BILJANA KOSTRES</t>
  </si>
  <si>
    <t>MILOS MOSIC</t>
  </si>
  <si>
    <t>MIODRAG STOJANOVIC</t>
  </si>
  <si>
    <t>ANA ANDREJIC</t>
  </si>
  <si>
    <t>BOJANA KRALJEVIC</t>
  </si>
  <si>
    <t>LJUPKA VUKOJEVIC</t>
  </si>
  <si>
    <t>JOVANA DOJCINOVIC</t>
  </si>
  <si>
    <t>GIEDRE GARCINSKAITE</t>
  </si>
  <si>
    <t>RASA KIZIKAITE</t>
  </si>
  <si>
    <t>AUKSE ZAKRIENE</t>
  </si>
  <si>
    <t>GINTARE BUKARTAITE</t>
  </si>
  <si>
    <t>MINDAUGAS RUDZEVICIUS</t>
  </si>
  <si>
    <t>NERIJUS MAINONIS</t>
  </si>
  <si>
    <t>STEPHANE DURIEUX</t>
  </si>
  <si>
    <t>JEAN-MARC MORENTE</t>
  </si>
  <si>
    <t>STEPHANE FITOUSSI</t>
  </si>
  <si>
    <t>VIRGINIE USCLADE</t>
  </si>
  <si>
    <t>CEDRIC LAURANCY</t>
  </si>
  <si>
    <t>KADER SI-TAYEB</t>
  </si>
  <si>
    <t>CATHERINE RICARD</t>
  </si>
  <si>
    <t>VANESSA CAUCHIE</t>
  </si>
  <si>
    <t>CLAUDINE CARADONNA</t>
  </si>
  <si>
    <t>CAROLINE MEUNIER</t>
  </si>
  <si>
    <t>ISABELLE GUITTI</t>
  </si>
  <si>
    <t>DAVID MARTINOTTI</t>
  </si>
  <si>
    <t>IVAN MOSIC</t>
  </si>
  <si>
    <t>MARIJANA GOLUBOVIC</t>
  </si>
  <si>
    <t>IVANA KRSTIC</t>
  </si>
  <si>
    <t>LUIS CALLEJA</t>
  </si>
  <si>
    <t>JAIME LAQUIDAIN</t>
  </si>
  <si>
    <t>MIGUEL PENALBA</t>
  </si>
  <si>
    <t>DANIEL MARTIN</t>
  </si>
  <si>
    <t>INES RAQUEL PIATKOWSKA</t>
  </si>
  <si>
    <t>ALVARO PENALBA</t>
  </si>
  <si>
    <t>Konstantinos Kroupis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</si>
</sst>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C2" sqref="C2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17</v>
      </c>
      <c r="D1" s="124" t="s">
        <v>749</v>
      </c>
      <c r="E1" s="125">
        <v>2025</v>
      </c>
      <c r="F1" s="120" t="str">
        <f>TEXT(C1,"00") &amp; "_" &amp; TEXT(C2,"000")&amp; "_" &amp; H4 &amp; "_" &amp; H5 &amp; "_" &amp; B2</f>
        <v>17_165_HAM_LJU_U2025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U2025</v>
      </c>
      <c r="C2" s="123">
        <v>165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77">
        <f ca="1">IF(ISERROR(VLOOKUP($B$2&amp;TEXT($C$2,"000"),GAMES!$A$3:$I$562,8,FALSE)),NOW(),VLOOKUP($B$2&amp;TEXT($C$2,"000"),GAMES!$A$3:$I$562,8,FALSE))</f>
        <v>46058.8125</v>
      </c>
      <c r="C3" s="178"/>
      <c r="D3" s="39">
        <v>0</v>
      </c>
      <c r="E3" s="29"/>
      <c r="F3" s="26">
        <f>SUBTOTAL(3,I17:I106)</f>
        <v>0</v>
      </c>
      <c r="G3" s="27" t="str">
        <f>IF(OR(D3="",D3=0),"",F3/D3)</f>
        <v/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7" t="s">
        <v>86</v>
      </c>
      <c r="C4" s="168"/>
      <c r="D4" s="181" t="str">
        <f>IF(ISERROR(VLOOKUP(H4,Teams!$B$2:$C$44,2,FALSE)),"Local Team",VLOOKUP(H4,Teams!$B$2:$C$44,2,FALSE))</f>
        <v>Veolia Towers Hamburg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HAM</v>
      </c>
      <c r="I4" s="5"/>
      <c r="J4" s="119" t="s">
        <v>714</v>
      </c>
      <c r="K4" s="54" t="s">
        <v>743</v>
      </c>
      <c r="L4" s="5"/>
      <c r="M4" s="185"/>
      <c r="N4" s="186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71" t="s">
        <v>87</v>
      </c>
      <c r="C5" s="184"/>
      <c r="D5" s="191" t="str">
        <f>IF(ISERROR(VLOOKUP(H5,Teams!$B$2:$C$44,2,FALSE)),"Visitor Team",VLOOKUP(H5,Teams!$B$2:$C$44,2,FALSE))</f>
        <v>Cedevita Olimpija Ljubljana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LJU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7" t="s">
        <v>95</v>
      </c>
      <c r="C6" s="168"/>
      <c r="D6" s="158" t="str">
        <f>H7</f>
        <v>Data entry Name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69" t="s">
        <v>96</v>
      </c>
      <c r="C7" s="170"/>
      <c r="D7" s="158" t="str">
        <f>I7</f>
        <v>Caller 1 Name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71" t="s">
        <v>97</v>
      </c>
      <c r="C8" s="172"/>
      <c r="D8" s="161" t="str">
        <f>J7</f>
        <v>Caller 2 Name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7" t="s">
        <v>98</v>
      </c>
      <c r="C9" s="173"/>
      <c r="D9" s="158" t="str">
        <f>K7</f>
        <v>Timerkeeper Name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71" t="s">
        <v>99</v>
      </c>
      <c r="C10" s="172"/>
      <c r="D10" s="161" t="str">
        <f>L7</f>
        <v>Shotclock Name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56" t="s">
        <v>108</v>
      </c>
      <c r="C11" s="157"/>
      <c r="D11" s="174" t="str">
        <f>M8</f>
        <v>IRS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/>
      </c>
      <c r="G12" s="50" t="str">
        <f>IF(I12="","",$C$2)</f>
        <v/>
      </c>
      <c r="H12" s="40" t="str">
        <f>$I$10</f>
        <v>LOGISTICS</v>
      </c>
      <c r="I12" s="14"/>
      <c r="J12" s="15"/>
      <c r="K12" s="15"/>
      <c r="L12" s="15"/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56" t="s">
        <v>162</v>
      </c>
      <c r="C14" s="157"/>
      <c r="D14" s="164"/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disablePrompts="1"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J19" sqref="J19:N1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 t="s">
        <v>804</v>
      </c>
      <c r="E3" s="133" t="s">
        <v>805</v>
      </c>
      <c r="F3" s="133" t="s">
        <v>806</v>
      </c>
      <c r="G3" s="133" t="s">
        <v>807</v>
      </c>
      <c r="H3" s="133" t="s">
        <v>808</v>
      </c>
      <c r="I3" s="134" t="s">
        <v>809</v>
      </c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 t="s">
        <v>765</v>
      </c>
      <c r="E4" s="137" t="s">
        <v>766</v>
      </c>
      <c r="F4" s="137" t="s">
        <v>767</v>
      </c>
      <c r="G4" s="137" t="s">
        <v>768</v>
      </c>
      <c r="H4" s="137" t="s">
        <v>769</v>
      </c>
      <c r="I4" s="138" t="s">
        <v>770</v>
      </c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 t="s">
        <v>788</v>
      </c>
      <c r="E6" s="137" t="s">
        <v>789</v>
      </c>
      <c r="F6" s="137" t="s">
        <v>790</v>
      </c>
      <c r="G6" s="137" t="s">
        <v>781</v>
      </c>
      <c r="H6" s="137" t="s">
        <v>780</v>
      </c>
      <c r="I6" s="138" t="s">
        <v>791</v>
      </c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 t="s">
        <v>729</v>
      </c>
      <c r="E7" s="137" t="s">
        <v>755</v>
      </c>
      <c r="F7" s="137" t="s">
        <v>756</v>
      </c>
      <c r="G7" s="137" t="s">
        <v>757</v>
      </c>
      <c r="H7" s="137" t="s">
        <v>758</v>
      </c>
      <c r="I7" s="137" t="s">
        <v>825</v>
      </c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 t="s">
        <v>735</v>
      </c>
      <c r="E8" s="137" t="s">
        <v>771</v>
      </c>
      <c r="F8" s="137" t="s">
        <v>772</v>
      </c>
      <c r="G8" s="137" t="s">
        <v>773</v>
      </c>
      <c r="H8" s="137" t="s">
        <v>774</v>
      </c>
      <c r="I8" s="138" t="s">
        <v>740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 t="s">
        <v>819</v>
      </c>
      <c r="E9" s="137" t="s">
        <v>820</v>
      </c>
      <c r="F9" s="137" t="s">
        <v>821</v>
      </c>
      <c r="G9" s="137" t="s">
        <v>822</v>
      </c>
      <c r="H9" s="137" t="s">
        <v>823</v>
      </c>
      <c r="I9" s="138" t="s">
        <v>824</v>
      </c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 t="s">
        <v>810</v>
      </c>
      <c r="E10" s="137" t="s">
        <v>811</v>
      </c>
      <c r="F10" s="137" t="s">
        <v>812</v>
      </c>
      <c r="G10" s="137" t="s">
        <v>813</v>
      </c>
      <c r="H10" s="137" t="s">
        <v>814</v>
      </c>
      <c r="I10" s="138" t="s">
        <v>815</v>
      </c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 t="s">
        <v>759</v>
      </c>
      <c r="E13" s="137" t="s">
        <v>760</v>
      </c>
      <c r="F13" s="137" t="s">
        <v>761</v>
      </c>
      <c r="G13" s="137" t="s">
        <v>762</v>
      </c>
      <c r="H13" s="137" t="s">
        <v>763</v>
      </c>
      <c r="I13" s="138" t="s">
        <v>764</v>
      </c>
      <c r="J13" s="139"/>
      <c r="K13" s="137" t="s">
        <v>775</v>
      </c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 t="s">
        <v>782</v>
      </c>
      <c r="E14" s="137" t="s">
        <v>783</v>
      </c>
      <c r="F14" s="137" t="s">
        <v>784</v>
      </c>
      <c r="G14" s="137" t="s">
        <v>785</v>
      </c>
      <c r="H14" s="137" t="s">
        <v>786</v>
      </c>
      <c r="I14" s="138" t="s">
        <v>787</v>
      </c>
      <c r="J14" s="139"/>
      <c r="K14" s="137" t="s">
        <v>776</v>
      </c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 t="s">
        <v>777</v>
      </c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7" t="s">
        <v>781</v>
      </c>
      <c r="J16" s="139"/>
      <c r="K16" s="137" t="s">
        <v>778</v>
      </c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 t="s">
        <v>750</v>
      </c>
      <c r="E17" s="137" t="s">
        <v>751</v>
      </c>
      <c r="F17" s="137" t="s">
        <v>752</v>
      </c>
      <c r="G17" s="137" t="s">
        <v>753</v>
      </c>
      <c r="H17" s="137" t="s">
        <v>754</v>
      </c>
      <c r="I17" s="138"/>
      <c r="J17" s="139"/>
      <c r="K17" s="137" t="s">
        <v>779</v>
      </c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 t="s">
        <v>792</v>
      </c>
      <c r="E18" s="137" t="s">
        <v>793</v>
      </c>
      <c r="F18" s="137" t="s">
        <v>794</v>
      </c>
      <c r="G18" s="137" t="s">
        <v>795</v>
      </c>
      <c r="H18" s="137" t="s">
        <v>796</v>
      </c>
      <c r="I18" s="138" t="s">
        <v>797</v>
      </c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 t="s">
        <v>816</v>
      </c>
      <c r="E19" s="137" t="s">
        <v>793</v>
      </c>
      <c r="F19" s="137" t="s">
        <v>817</v>
      </c>
      <c r="G19" s="137" t="s">
        <v>818</v>
      </c>
      <c r="H19" s="137" t="s">
        <v>796</v>
      </c>
      <c r="I19" s="138" t="s">
        <v>797</v>
      </c>
      <c r="J19" s="139" t="s">
        <v>775</v>
      </c>
      <c r="K19" s="137" t="s">
        <v>776</v>
      </c>
      <c r="L19" s="137" t="s">
        <v>777</v>
      </c>
      <c r="M19" s="137" t="s">
        <v>778</v>
      </c>
      <c r="N19" s="140" t="s">
        <v>779</v>
      </c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 t="s">
        <v>798</v>
      </c>
      <c r="E22" s="142" t="s">
        <v>799</v>
      </c>
      <c r="F22" s="142" t="s">
        <v>800</v>
      </c>
      <c r="G22" s="142" t="s">
        <v>801</v>
      </c>
      <c r="H22" s="142" t="s">
        <v>802</v>
      </c>
      <c r="I22" s="143" t="s">
        <v>803</v>
      </c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REPORT_U2025165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"U2025165"</v>
      </c>
      <c r="F3" s="45" t="str">
        <f t="shared" ref="F3:F16" si="0">""""&amp;B3&amp;"""" &amp; " : " &amp;C3&amp;","</f>
        <v>"name" : "U2025165",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"U165"</v>
      </c>
      <c r="F4" s="45" t="str">
        <f t="shared" si="0"/>
        <v>"cod" : "U165",</v>
      </c>
    </row>
    <row r="5" spans="2:6" x14ac:dyDescent="0.2">
      <c r="B5" s="43" t="s">
        <v>117</v>
      </c>
      <c r="C5" s="43" t="str">
        <f>""""&amp;LEFT('SCOUT &amp; LOGISTICS'!B2,1)&amp;""""</f>
        <v>"U"</v>
      </c>
      <c r="F5" s="45" t="str">
        <f t="shared" si="0"/>
        <v>"competition" : "U",</v>
      </c>
    </row>
    <row r="6" spans="2:6" x14ac:dyDescent="0.2">
      <c r="B6" s="43" t="s">
        <v>118</v>
      </c>
      <c r="C6" s="43" t="str">
        <f>TEXT('SCOUT &amp; LOGISTICS'!C2,"000")</f>
        <v>165</v>
      </c>
      <c r="F6" s="45" t="str">
        <f t="shared" si="0"/>
        <v>"number" : 165,</v>
      </c>
    </row>
    <row r="7" spans="2:6" x14ac:dyDescent="0.2">
      <c r="B7" s="43" t="s">
        <v>116</v>
      </c>
      <c r="C7" s="43" t="str">
        <f ca="1">""""&amp;TEXT('SCOUT &amp; LOGISTICS'!B3,"dd/mm/aaaa")&amp;""""</f>
        <v>"05/02/Thursday"</v>
      </c>
      <c r="F7" s="45" t="str">
        <f t="shared" ca="1" si="0"/>
        <v>"date" : "05/02/Thursday",</v>
      </c>
    </row>
    <row r="8" spans="2:6" x14ac:dyDescent="0.2">
      <c r="B8" s="43" t="s">
        <v>125</v>
      </c>
      <c r="C8" s="43" t="str">
        <f>""""&amp;'SCOUT &amp; LOGISTICS'!D4 &amp;""""</f>
        <v>"Veolia Towers Hamburg"</v>
      </c>
      <c r="F8" s="45" t="str">
        <f t="shared" si="0"/>
        <v>"home_team" : "Veolia Towers Hamburg",</v>
      </c>
    </row>
    <row r="9" spans="2:6" x14ac:dyDescent="0.2">
      <c r="B9" s="43" t="s">
        <v>126</v>
      </c>
      <c r="C9" s="43" t="str">
        <f>""""&amp;'SCOUT &amp; LOGISTICS'!D5&amp;""""</f>
        <v>"Cedevita Olimpija Ljubljana"</v>
      </c>
      <c r="F9" s="45" t="str">
        <f t="shared" si="0"/>
        <v>"away_team" : "Cedevita Olimpija Ljubljana",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"Data entry Name"</v>
      </c>
      <c r="F10" s="45" t="str">
        <f t="shared" si="0"/>
        <v>"Data_entry" : "Data entry Name",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"Caller 1 Name"</v>
      </c>
      <c r="F11" s="45" t="str">
        <f t="shared" si="0"/>
        <v>"Caller_1" : "Caller 1 Name",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"Caller 2 Name"</v>
      </c>
      <c r="F12" s="45" t="str">
        <f t="shared" si="0"/>
        <v>"Caller_2" : "Caller 2 Name",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"Timerkeeper Name"</v>
      </c>
      <c r="F13" s="45" t="str">
        <f t="shared" si="0"/>
        <v>"Timerkeeper" : "Timerkeeper Name",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"Shotclock Name"</v>
      </c>
      <c r="F14" s="45" t="str">
        <f t="shared" si="0"/>
        <v>"Shotclock" : "Shotclock Name",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""</v>
      </c>
      <c r="F16" s="45" t="str">
        <f t="shared" si="0"/>
        <v>"Live_Game_Manager" : "",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""</v>
      </c>
      <c r="F18" s="45" t="str">
        <f>""""&amp;C18&amp;"""" &amp; " : " &amp;D18&amp;","</f>
        <v>"arrival_time" : "",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""</v>
      </c>
      <c r="F19" s="45" t="str">
        <f>""""&amp;C19&amp;"""" &amp; " : " &amp;D19&amp;","</f>
        <v>"check_list_on_time" : "",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""</v>
      </c>
      <c r="F20" s="45" t="str">
        <f>""""&amp;C20&amp;"""" &amp; " : " &amp;D20&amp;","</f>
        <v>"communication" : "",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""</v>
      </c>
      <c r="F21" s="45" t="str">
        <f>""""&amp;C21&amp;"""" &amp; " : " &amp;D21&amp;","</f>
        <v>"corrections" : "",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0</v>
      </c>
      <c r="F25" s="45" t="str">
        <f t="shared" ref="F25:F48" si="1">""""&amp;C25&amp;"""" &amp; " : " &amp;D25&amp;","</f>
        <v>"total_actions" : 0,</v>
      </c>
    </row>
    <row r="26" spans="2:6" x14ac:dyDescent="0.2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">
      <c r="C27" s="43" t="s">
        <v>133</v>
      </c>
      <c r="D27" s="43" t="str">
        <f>""""&amp;IF(OR(D25="",D25=0),"",TEXT(D26/D25,"0,0%"))&amp;""""</f>
        <v>""</v>
      </c>
      <c r="F27" s="45" t="str">
        <f t="shared" si="1"/>
        <v>"%_corrections" : "",</v>
      </c>
    </row>
    <row r="28" spans="2:6" x14ac:dyDescent="0.2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""</v>
      </c>
      <c r="F51" s="45" t="str">
        <f>""""&amp;B51&amp;"""" &amp; " : " &amp;C51&amp;","</f>
        <v>"comments" : "",</v>
      </c>
    </row>
    <row r="52" spans="2:6" x14ac:dyDescent="0.2">
      <c r="B52" s="43" t="s">
        <v>153</v>
      </c>
      <c r="C52" s="43" t="str">
        <f>TEXT('SCOUT &amp; LOGISTICS'!F1,"0,0")</f>
        <v>17_165_HAM_LJU_U2025</v>
      </c>
      <c r="F52" s="45" t="str">
        <f>""""&amp;B52&amp;"""" &amp; " : " &amp;C52</f>
        <v>"result" : 17_165_HAM_LJU_U2025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4">
      <c r="A3" s="48"/>
      <c r="B3" s="202" t="str">
        <f>"GAME: "&amp; LEFT('SCOUT &amp; LOGISTICS'!B2,1) &amp; TEXT('SCOUT &amp; LOGISTICS'!C2,"000") &amp; " " &amp; IF(LEFT('SCOUT &amp; LOGISTICS'!B2,1)="U","(EUROCUP)","(EUROLEAGUE)")</f>
        <v>GAME: U165 (EUROCUP)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4">
      <c r="A4" s="48"/>
      <c r="B4" s="200" t="str">
        <f ca="1">"DATE: " &amp; TEXT('SCOUT &amp; LOGISTICS'!B3,"dd/mm")</f>
        <v>DATE: 05/02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00000000000001" customHeight="1" thickBot="1" x14ac:dyDescent="0.4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" customHeight="1" thickBot="1" x14ac:dyDescent="0.4">
      <c r="A6" s="48"/>
      <c r="B6" s="197" t="str">
        <f>PROPER('SCOUT &amp; LOGISTICS'!D4)</f>
        <v>Veolia Towers Hamburg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Cedevita Olimpija Ljubljana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4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4">
      <c r="A8" s="48"/>
      <c r="B8" s="201" t="str">
        <f>IF('SCOUT &amp; LOGISTICS'!D6="","",'SCOUT &amp; LOGISTICS'!D6)</f>
        <v>Data entry Name</v>
      </c>
      <c r="C8" s="201"/>
      <c r="D8" s="201"/>
      <c r="E8" s="201"/>
      <c r="F8" s="201"/>
      <c r="G8" s="201" t="str">
        <f>IF('SCOUT &amp; LOGISTICS'!D7="","",'SCOUT &amp; LOGISTICS'!D7)</f>
        <v>Caller 1 Name</v>
      </c>
      <c r="H8" s="201"/>
      <c r="I8" s="201"/>
      <c r="J8" s="201"/>
      <c r="K8" s="201"/>
      <c r="L8" s="201" t="str">
        <f>IF('SCOUT &amp; LOGISTICS'!D8="","",'SCOUT &amp; LOGISTICS'!D8)</f>
        <v>Caller 2 Name</v>
      </c>
      <c r="M8" s="201"/>
      <c r="N8" s="201"/>
      <c r="O8" s="201"/>
      <c r="P8" s="201"/>
      <c r="Q8" s="201" t="str">
        <f>IF('SCOUT &amp; LOGISTICS'!D9="","",'SCOUT &amp; LOGISTICS'!D9)</f>
        <v>Timerkeeper Name</v>
      </c>
      <c r="R8" s="201"/>
      <c r="S8" s="201"/>
      <c r="T8" s="201"/>
      <c r="U8" s="201"/>
      <c r="V8" s="201" t="str">
        <f>IF('SCOUT &amp; LOGISTICS'!D10="","",'SCOUT &amp; LOGISTICS'!D10)</f>
        <v>Shotclock Name</v>
      </c>
      <c r="W8" s="201"/>
      <c r="X8" s="201"/>
      <c r="Y8" s="201"/>
      <c r="Z8" s="201"/>
      <c r="AA8" s="201" t="str">
        <f>IF('SCOUT &amp; LOGISTICS'!D11="","",'SCOUT &amp; LOGISTICS'!D11)</f>
        <v>IRS</v>
      </c>
      <c r="AB8" s="201"/>
      <c r="AC8" s="201"/>
      <c r="AD8" s="201"/>
      <c r="AE8" s="201"/>
      <c r="AF8" s="48"/>
    </row>
    <row r="9" spans="1:33" ht="17.25" thickBot="1" x14ac:dyDescent="0.4">
      <c r="A9" s="48"/>
      <c r="B9" s="209" t="str">
        <f>IF(OR('SCOUT &amp; LOGISTICS'!D14="",'SCOUT &amp; LOGISTICS'!D14=0),"",'SCOUT &amp; LOGISTICS'!B14 &amp; ": " &amp; 'SCOUT &amp; LOGISTICS'!D14) &amp; "     "</f>
        <v xml:space="preserve">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7.25" thickBot="1" x14ac:dyDescent="0.4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00000000000001" customHeight="1" thickBot="1" x14ac:dyDescent="0.4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5" t="str">
        <f>IF('SCOUT &amp; LOGISTICS'!I12="","",'SCOUT &amp; LOGISTICS'!I12)</f>
        <v/>
      </c>
      <c r="C13" s="205"/>
      <c r="D13" s="205"/>
      <c r="E13" s="205"/>
      <c r="F13" s="205"/>
      <c r="G13" s="205"/>
      <c r="H13" s="205" t="str">
        <f>IF('SCOUT &amp; LOGISTICS'!J12="","",'SCOUT &amp; LOGISTICS'!J12)</f>
        <v/>
      </c>
      <c r="I13" s="205"/>
      <c r="J13" s="205"/>
      <c r="K13" s="205"/>
      <c r="L13" s="205"/>
      <c r="M13" s="205"/>
      <c r="N13" s="205" t="str">
        <f>IF('SCOUT &amp; LOGISTICS'!K12="","",'SCOUT &amp; LOGISTICS'!K12)</f>
        <v/>
      </c>
      <c r="O13" s="205"/>
      <c r="P13" s="205"/>
      <c r="Q13" s="205"/>
      <c r="R13" s="205"/>
      <c r="S13" s="205"/>
      <c r="T13" s="205" t="str">
        <f>IF('SCOUT &amp; LOGISTICS'!L12="","",'SCOUT &amp; LOGISTICS'!L12)</f>
        <v/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7.25" thickBot="1" x14ac:dyDescent="0.4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00000000000001" customHeight="1" thickBot="1" x14ac:dyDescent="0.4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3">
        <f>'SCOUT &amp; LOGISTICS'!D3</f>
        <v>0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0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 t="str">
        <f>IF(OR(B17="",B17=0),"",L17/B17)</f>
        <v/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7.25" thickBot="1" x14ac:dyDescent="0.4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9">
        <f>IF('SCOUT &amp; LOGISTICS'!AA17="","",'SCOUT &amp; LOGISTICS'!AA17)</f>
        <v>0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0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7.25" thickBot="1" x14ac:dyDescent="0.4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9">
        <f>'SCOUT &amp; LOGISTICS'!Y17</f>
        <v>0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9">
        <f>'SCOUT &amp; LOGISTICS'!AC18</f>
        <v>0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7.25" thickBot="1" x14ac:dyDescent="0.4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00000000000001" customHeight="1" thickBot="1" x14ac:dyDescent="0.4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" customHeight="1" thickBot="1" x14ac:dyDescent="0.4">
      <c r="A32" s="48"/>
      <c r="B32" s="211" t="str">
        <f>IF('SCOUT &amp; LOGISTICS'!M4="","",'SCOUT &amp; LOGISTICS'!M4)</f>
        <v/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00000000000001" customHeight="1" thickBot="1" x14ac:dyDescent="0.4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00000000000001" customHeight="1" thickBot="1" x14ac:dyDescent="0.4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212">
        <f>'SCOUT &amp; LOGISTICS'!M7</f>
        <v>0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te a new document." ma:contentTypeScope="" ma:versionID="42bf520a6c79a132633bfe8aa6a60681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e9351a8714db6f5e1df78f011817a27e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Image Tags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60125931-8AD2-406E-B89E-7CC910F8B3CD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2026-01-07T21:15:51Z</cp:lastPrinted>
  <dcterms:created xsi:type="dcterms:W3CDTF">2023-09-19T19:50:35Z</dcterms:created>
  <dcterms:modified xsi:type="dcterms:W3CDTF">2026-01-07T21:16:02Z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