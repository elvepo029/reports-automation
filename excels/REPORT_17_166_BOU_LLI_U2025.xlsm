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59" documentId="8_{C98CA47F-92AB-4225-81DD-44AFCF5B15EA}" xr6:coauthVersionLast="47" xr6:coauthVersionMax="47" xr10:uidLastSave="{9D009D64-B13C-4CB3-ADE9-D4947B8CADC9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<sst xmlns="http://schemas.openxmlformats.org/spreadsheetml/2006/main" count="3352" uniqueCount="838">
  <si>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</si>
  <si>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</si>
  <si>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</si>
  <si>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</si>
  <si>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</si>
  <si>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</si>
  <si>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</si>
  <si>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</si>
  <si>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</si>
  <si>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</si>
  <si>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</si>
  <si>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</si>
  <si>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</si>
  <si>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</si>
  <si>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</si>
  <si>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</si>
  <si>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</si>
  <si>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</si>
  <si>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</si>
  <si>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</si>
  <si>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</si>
  <si>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</si>
  <si>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</si>
  <si>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</si>
  <si>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</si>
  <si>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</si>
  <si>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</si>
  <si>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</si>
  <si>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</si>
  <si>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</si>
  <si>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</si>
  <si>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</si>
  <si>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</si>
  <si>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</si>
  <si>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</si>
  <si>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</si>
  <si>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</si>
  <si>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</si>
  <si>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</si>
  <si>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</si>
  <si>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</si>
  <si>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</si>
  <si>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</si>
  <si>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</si>
  <si>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</si>
  <si>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</si>
  <si>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</si>
  <si>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</si>
  <si>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</si>
  <si>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</si>
  <si>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</si>
  <si>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</si>
  <si>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</si>
  <si>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</si>
  <si>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</si>
  <si>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</si>
  <si>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</si>
  <si>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</si>
  <si>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</si>
  <si>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</si>
  <si>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</si>
  <si>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</si>
  <si>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</si>
  <si>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</si>
  <si>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</si>
  <si>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</si>
  <si>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</si>
  <si>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</si>
  <si>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</si>
  <si>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</si>
  <si>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</si>
  <si>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</si>
  <si>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</si>
  <si>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</si>
  <si>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</si>
  <si>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</si>
  <si>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</si>
  <si>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</si>
  <si>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</si>
  <si>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</si>
  <si>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</si>
  <si>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</si>
  <si>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</si>
  <si>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</si>
  <si>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</si>
  <si>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</si>
  <si>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</si>
  <si>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</si>
  <si>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</si>
  <si>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</si>
  <si>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</si>
  <si>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</si>
  <si>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</si>
  <si>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</si>
  <si>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</si>
  <si>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</si>
  <si>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</si>
  <si>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</si>
  <si>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</si>
  <si>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</si>
  <si>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</si>
  <si>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</si>
  <si>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</si>
  <si>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</si>
  <si>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</si>
  <si>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</si>
  <si>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</si>
  <si>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</si>
  <si>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</si>
  <si>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</si>
  <si>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</si>
  <si>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</si>
  <si>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</si>
  <si>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</si>
  <si>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</si>
  <si>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</si>
  <si>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</si>
  <si>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</si>
  <si>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</si>
  <si>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</si>
  <si>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</si>
  <si>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</si>
  <si>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</si>
  <si>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</si>
  <si>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</si>
  <si>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</si>
  <si>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</si>
  <si>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</si>
  <si>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</si>
  <si>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</si>
  <si>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</si>
  <si>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</si>
  <si>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</si>
  <si>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</si>
  <si>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</si>
  <si>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</si>
  <si>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</si>
  <si>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</si>
  <si>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</si>
  <si>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</si>
  <si>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</si>
  <si>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</si>
  <si>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</si>
  <si>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</si>
  <si>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</si>
  <si>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</si>
  <si>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</si>
  <si>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</si>
  <si>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</si>
  <si>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</si>
  <si>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</si>
  <si>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</si>
  <si>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</si>
  <si>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</si>
  <si>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</si>
  <si>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</si>
  <si>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</si>
  <si>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</si>
  <si>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</si>
  <si>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</si>
  <si>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</si>
  <si>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</si>
  <si>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</si>
  <si>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</si>
  <si>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</si>
  <si>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</si>
  <si>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</si>
  <si>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</si>
  <si>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</si>
  <si>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</si>
  <si>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</si>
  <si>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</si>
  <si>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</si>
  <si>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</si>
  <si>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</si>
  <si>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</si>
  <si>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</si>
  <si>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</si>
  <si>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</si>
  <si>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</si>
  <si>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</si>
  <si>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</si>
  <si>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</si>
  <si>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</si>
  <si>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</si>
  <si>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</si>
  <si>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</si>
  <si>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</si>
  <si>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</si>
  <si>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</si>
  <si>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</si>
  <si>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</si>
  <si>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</si>
  <si>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</si>
  <si>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</si>
  <si>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</si>
  <si>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</si>
  <si>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</si>
  <si>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</si>
  <si>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</si>
  <si>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</si>
  <si>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</si>
  <si>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</si>
  <si>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</si>
  <si>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</si>
  <si>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</si>
  <si>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</si>
  <si>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</si>
  <si>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</si>
  <si>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</si>
  <si>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</si>
  <si>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</si>
  <si>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</si>
  <si>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</si>
  <si>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</si>
  <si>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</si>
  <si>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</si>
  <si>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</si>
  <si>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</si>
  <si>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</si>
  <si>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</si>
  <si>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</si>
  <si>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</si>
  <si>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</si>
  <si>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</si>
  <si>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</si>
  <si>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</si>
  <si>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</si>
  <si>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</si>
  <si>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</si>
  <si>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</si>
  <si>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</si>
  <si>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</si>
  <si>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</si>
  <si>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</si>
  <si>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</si>
  <si>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</si>
  <si>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</si>
  <si>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</si>
  <si>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</si>
  <si>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</si>
  <si>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</si>
  <si>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</si>
  <si>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</si>
  <si>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</si>
  <si>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</si>
  <si>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</si>
  <si>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</si>
  <si>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</si>
  <si>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</si>
  <si>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</si>
  <si>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</si>
  <si>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</si>
  <si>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</si>
  <si>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</si>
  <si>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</si>
  <si>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</si>
  <si>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</si>
  <si>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</si>
  <si>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</si>
  <si>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</si>
  <si>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</si>
  <si>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</si>
  <si>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</si>
  <si>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</si>
  <si>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</si>
  <si>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</si>
  <si>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</si>
  <si>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</si>
  <si>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</si>
  <si>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</si>
  <si>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</si>
  <si>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</si>
  <si>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</si>
  <si>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</si>
  <si>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</si>
  <si>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</si>
  <si>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</si>
  <si>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</si>
  <si>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</si>
  <si>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</si>
  <si>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</si>
  <si>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</si>
  <si>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</si>
  <si>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</si>
  <si>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</si>
  <si>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</si>
  <si>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</si>
  <si>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</si>
  <si>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</si>
  <si>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</si>
  <si>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</si>
  <si>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</si>
  <si>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</si>
  <si>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</si>
  <si>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</si>
  <si>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</si>
  <si>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</si>
  <si>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</si>
  <si>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</si>
  <si>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</si>
  <si>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</si>
  <si>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</si>
  <si>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</si>
  <si>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</si>
  <si>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</si>
  <si>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</si>
  <si>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</si>
  <si>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</si>
  <si>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</si>
  <si>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</si>
  <si>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</si>
  <si>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</si>
  <si>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</si>
  <si>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</si>
  <si>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</si>
  <si>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</si>
  <si>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</si>
  <si>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</si>
  <si>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</si>
  <si>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</si>
  <si>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</si>
  <si>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</si>
  <si>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</si>
  <si>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</si>
  <si>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</si>
  <si>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</si>
  <si>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</si>
  <si>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</si>
  <si>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</si>
  <si>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</si>
  <si>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</si>
  <si>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</si>
  <si>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</si>
  <si>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</si>
  <si>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</si>
  <si>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</si>
  <si>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</si>
  <si>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</si>
  <si>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</si>
  <si>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</si>
  <si>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</si>
  <si>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</si>
  <si>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</si>
  <si>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</si>
  <si>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</si>
  <si>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</si>
  <si>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</si>
  <si>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</si>
  <si>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</si>
  <si>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</si>
  <si>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</si>
  <si>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</si>
  <si>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</si>
  <si>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</si>
  <si>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</si>
  <si>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</si>
  <si>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</si>
  <si>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</si>
  <si>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</si>
  <si>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</si>
  <si>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</si>
  <si>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</si>
  <si>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</si>
  <si>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</si>
  <si>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</si>
  <si>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</si>
  <si>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</si>
  <si>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</si>
  <si>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</si>
  <si>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</si>
  <si>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</si>
  <si>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</si>
  <si>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</si>
  <si>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</si>
  <si>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</si>
  <si>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</si>
  <si>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</si>
  <si>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</si>
  <si>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</si>
  <si>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</si>
  <si>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</si>
  <si>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</si>
  <si>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</si>
  <si>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</si>
  <si>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</si>
  <si>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</si>
  <si>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</si>
  <si>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</si>
  <si>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</si>
  <si>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</si>
  <si>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</si>
  <si>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</si>
  <si>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</si>
  <si>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</si>
  <si>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</si>
  <si>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</si>
  <si>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</si>
  <si>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</si>
  <si>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</si>
  <si>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</si>
  <si>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</si>
  <si>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</si>
  <si>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</si>
  <si>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</si>
  <si>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</si>
  <si>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</si>
  <si>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</si>
  <si>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</si>
  <si>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</si>
  <si>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</si>
  <si>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</si>
  <si>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</si>
  <si>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</si>
  <si>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</si>
  <si>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</si>
  <si>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</si>
  <si>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</si>
  <si>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</si>
  <si>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</si>
  <si>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</si>
  <si>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</si>
  <si>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</si>
  <si>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</si>
  <si>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</si>
  <si>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</si>
  <si>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</si>
  <si>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</si>
  <si>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</si>
  <si>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</si>
  <si>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</si>
  <si>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</si>
  <si>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</si>
  <si>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</si>
  <si>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</si>
  <si>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</si>
  <si>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</si>
  <si>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</si>
  <si>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</si>
  <si>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</si>
  <si>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</si>
  <si>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</si>
  <si>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</si>
  <si>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</si>
  <si>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</si>
  <si>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</si>
  <si>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</si>
  <si>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</si>
  <si>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</si>
  <si>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</si>
  <si>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</si>
  <si>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</si>
  <si>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</si>
  <si>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</si>
  <si>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</si>
  <si>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</si>
  <si>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</si>
  <si>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</si>
  <si>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</si>
  <si>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</si>
  <si>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</si>
  <si>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</si>
  <si>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</si>
  <si>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</si>
  <si>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</si>
  <si>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</si>
  <si>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</si>
  <si>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</si>
  <si>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</si>
  <si>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</si>
  <si>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</si>
  <si>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</si>
  <si>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</si>
  <si>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</si>
  <si>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</si>
  <si>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</si>
  <si>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</si>
  <si>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</si>
  <si>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</si>
  <si>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</si>
  <si>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</si>
  <si>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</si>
  <si>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</si>
  <si>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</si>
  <si>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</si>
  <si>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</si>
  <si>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</si>
  <si>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</si>
  <si>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</si>
  <si>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</si>
  <si>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</si>
  <si>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</si>
  <si>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</si>
  <si>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</si>
  <si>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</si>
  <si>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</si>
  <si>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</si>
  <si>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</si>
  <si>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</si>
  <si>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</si>
  <si>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</si>
  <si>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</si>
  <si>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</si>
  <si>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</si>
  <si>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</si>
  <si>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</si>
  <si>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</si>
  <si>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</si>
  <si>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</si>
  <si>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</si>
  <si>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</si>
  <si>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</si>
  <si>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</si>
  <si>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</si>
  <si>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</si>
  <si>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</si>
  <si>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</si>
  <si>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</si>
  <si>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</si>
  <si>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</si>
  <si>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</si>
  <si>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</si>
  <si>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</si>
  <si>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</si>
  <si>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</si>
  <si>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</si>
  <si>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</si>
  <si>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</si>
  <si>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</si>
  <si>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</si>
  <si>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</si>
  <si>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</si>
  <si>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</si>
  <si>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</si>
  <si>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</si>
  <si>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</si>
  <si>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</si>
  <si>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</si>
  <si>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</si>
  <si>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</si>
  <si>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</si>
  <si>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</si>
  <si>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</si>
  <si>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</si>
  <si>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</si>
  <si>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</si>
  <si>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</si>
  <si>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</si>
  <si>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</si>
  <si>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</si>
  <si>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</si>
  <si>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</si>
  <si>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</si>
  <si>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</si>
  <si>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</si>
  <si>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</si>
  <si>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</si>
  <si>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</si>
  <si>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</si>
  <si>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</si>
  <si>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</si>
  <si>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</si>
  <si>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</si>
  <si>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</si>
  <si>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</si>
  <si>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</si>
  <si>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</si>
  <si>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</si>
  <si>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</si>
  <si>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</si>
  <si>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</si>
  <si>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</si>
  <si>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</si>
  <si>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</si>
  <si>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</si>
  <si>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</si>
  <si>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</si>
  <si>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</si>
  <si>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</si>
  <si>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</si>
  <si>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</si>
  <si>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</si>
  <si>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</si>
  <si>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</si>
  <si>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</si>
  <si>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</si>
  <si>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</si>
  <si>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</si>
  <si>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</si>
  <si>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</si>
  <si>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</si>
  <si>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</si>
  <si>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</si>
  <si>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</si>
  <si>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</si>
  <si>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</si>
  <si>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</si>
  <si>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</si>
  <si>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</si>
  <si>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</si>
  <si>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</si>
  <si>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</si>
  <si>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</si>
  <si>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</si>
  <si>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</si>
  <si>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</si>
  <si>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</si>
  <si>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</si>
  <si>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</si>
  <si>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</si>
  <si>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</si>
  <si>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</si>
  <si>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</si>
  <si>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</si>
  <si>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</si>
  <si>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</si>
  <si>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</si>
  <si>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</si>
  <si>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</si>
  <si>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</si>
  <si>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</si>
  <si>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</si>
  <si>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</si>
  <si>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</si>
  <si>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</si>
  <si>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</si>
  <si>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</si>
  <si>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</si>
  <si>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</si>
  <si>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</si>
  <si>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</si>
  <si>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</si>
  <si>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</si>
  <si>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</si>
  <si>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</si>
  <si>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</si>
  <si>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</si>
  <si>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</si>
  <si>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</si>
  <si>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</si>
  <si>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</si>
  <si>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</si>
  <si>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</si>
  <si>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</si>
  <si>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</si>
  <si>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</si>
  <si>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</si>
  <si>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</si>
  <si>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</si>
  <si>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</si>
  <si>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</si>
  <si>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</si>
  <si>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</si>
  <si>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</si>
  <si>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</si>
  <si>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</si>
  <si>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</si>
  <si>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</si>
  <si>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</si>
  <si>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</si>
  <si>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</si>
  <si>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</si>
  <si>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</si>
  <si>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</si>
  <si>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</si>
  <si>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</si>
  <si>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</si>
  <si>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</si>
  <si>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</si>
  <si>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</si>
  <si>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</si>
  <si>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</si>
  <si>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</si>
  <si>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</si>
  <si>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</si>
  <si>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</si>
  <si>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</si>
  <si>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</si>
  <si>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</si>
  <si>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</si>
  <si>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</si>
  <si>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</si>
  <si>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</si>
  <si>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</si>
  <si>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</si>
  <si>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</si>
  <si>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</si>
  <si>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</si>
  <si>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</si>
  <si>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</si>
  <si>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</si>
  <si>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</si>
  <si>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</si>
  <si>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</si>
  <si>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</si>
  <si>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</si>
  <si>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</si>
  <si>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</si>
  <si>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</si>
  <si>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</si>
  <si>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</si>
  <si>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</si>
  <si>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</si>
  <si>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</si>
  <si>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</si>
  <si>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</si>
  <si>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</si>
  <si>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</si>
  <si>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</si>
  <si>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</si>
  <si>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</si>
  <si>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</si>
  <si>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</si>
  <si>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</si>
  <si>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</si>
  <si>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</si>
  <si>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</si>
  <si>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</si>
  <si>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</si>
  <si>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</si>
  <si>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</si>
  <si>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</si>
  <si>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</si>
  <si>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</si>
  <si>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</si>
  <si>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</si>
  <si>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</si>
  <si>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</si>
  <si>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</si>
  <si>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</si>
  <si>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</si>
  <si>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</si>
  <si>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</si>
  <si>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</si>
  <si>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</si>
  <si>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</si>
  <si>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</si>
  <si>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</si>
  <si>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</si>
  <si>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</si>
  <si>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</si>
  <si>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</si>
  <si>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</si>
  <si>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</si>
  <si>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</si>
  <si>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</si>
  <si>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</si>
  <si>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</si>
  <si>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</si>
  <si>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</si>
  <si>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</si>
  <si>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</si>
  <si>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</si>
  <si>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</si>
  <si>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</si>
  <si>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</si>
  <si>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</si>
  <si>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</si>
  <si>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</si>
  <si>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</si>
  <si>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</si>
  <si>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</si>
  <si>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</si>
  <si>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</si>
  <si>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</si>
  <si>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</si>
  <si>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</si>
  <si>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</si>
  <si>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</si>
  <si>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</si>
  <si>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</si>
  <si>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</si>
  <si>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</si>
  <si>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</si>
  <si>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</si>
  <si>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</si>
  <si>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</si>
  <si>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</si>
  <si>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</si>
  <si>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</si>
  <si>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</si>
  <si>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</si>
  <si>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</si>
  <si>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</si>
  <si>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</si>
  <si>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</si>
  <si>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</si>
  <si>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</si>
  <si>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</si>
  <si>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</si>
  <si>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</si>
  <si>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</si>
  <si>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</si>
  <si>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</si>
  <si>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</si>
  <si>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</si>
  <si>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</si>
  <si>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</si>
  <si>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</si>
  <si>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</si>
  <si>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</si>
  <si>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</si>
  <si>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</si>
  <si>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</si>
  <si>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</si>
  <si>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</si>
  <si>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</si>
  <si>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</si>
  <si>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</si>
  <si>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</si>
  <si>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</si>
  <si>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</si>
  <si>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</si>
  <si>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</si>
  <si>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</si>
  <si>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</si>
  <si>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</si>
  <si>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</si>
  <si>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</si>
  <si>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</si>
  <si>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</si>
  <si>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</si>
  <si>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</si>
  <si>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</si>
  <si>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</si>
  <si>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</si>
  <si>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XAVIER MATEU</t>
  </si>
  <si>
    <t>GUILLAUME VORS</t>
  </si>
  <si>
    <t>MAXIME VASSELIN</t>
  </si>
  <si>
    <t>CHRISTOPHE BERNARD</t>
  </si>
  <si>
    <t>NATHALIE LARUE</t>
  </si>
  <si>
    <t>SANDRINE BARNIER</t>
  </si>
  <si>
    <t>09:00</t>
  </si>
  <si>
    <t>08:24</t>
  </si>
  <si>
    <t>05:03</t>
  </si>
  <si>
    <t>09:04</t>
  </si>
  <si>
    <t>Very good work! Don’t forget to record the IRS. You made a mistake with one substitution, but you had the situation under control. Remember that when you record a three-pointer and it’s actually a 2P, or the other way around, you must delete the play and enter it again. Regarding rebounds, if the jumpers are not involved in the play, record a team rebound. If the jumpers are involved in the rebound but there is a violation on the jump ball, that would also be a team rebound. Excellent regular season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</si>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</sst>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17_166_BOU_LLI_U2025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837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166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46057.8125</v>
      </c>
      <c r="C3" s="178"/>
      <c r="D3" s="39">
        <v>639</v>
      </c>
      <c r="E3" s="29"/>
      <c r="F3" s="26">
        <f>SUBTOTAL(3,I17:I106)</f>
        <v>4</v>
      </c>
      <c r="G3" s="27">
        <f>IF(OR(D3="",D3=0),"",F3/D3)</f>
        <v>6.2597809076682318E-3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Cosea JL Bourg-en-Bresse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BOU</v>
      </c>
      <c r="I4" s="5"/>
      <c r="J4" s="119" t="s">
        <v>714</v>
      </c>
      <c r="K4" s="54" t="s">
        <v>743</v>
      </c>
      <c r="L4" s="5"/>
      <c r="M4" s="185" t="s">
        <v>836</v>
      </c>
      <c r="N4" s="186"/>
      <c r="O4" s="2"/>
      <c r="P4" s="2"/>
      <c r="Q4" s="84" t="s">
        <v>175</v>
      </c>
      <c r="R4" s="94">
        <f>(IF(G3="",0,G3))</f>
        <v>6.2597809076682318E-3</v>
      </c>
      <c r="S4" s="61">
        <f>SUM(I13:M13)</f>
        <v>0</v>
      </c>
      <c r="T4" s="78"/>
      <c r="U4" s="61">
        <f>AC18</f>
        <v>2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London Lions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LLI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0.6259780907668232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827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3.6259780907668233</v>
      </c>
      <c r="N7" s="58"/>
      <c r="O7" s="2"/>
      <c r="P7" s="2"/>
      <c r="Q7" s="86">
        <f>SUM(R5,S5,AC16)</f>
        <v>3.6259780907668233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829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3.6259780907668233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830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166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826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166</v>
      </c>
      <c r="D17" s="32" t="s">
        <v>832</v>
      </c>
      <c r="E17" s="33">
        <v>1</v>
      </c>
      <c r="F17" s="36">
        <v>3</v>
      </c>
      <c r="G17" s="36">
        <v>2</v>
      </c>
      <c r="H17" s="38" t="str">
        <f>IF(I17="","",$I$14)</f>
        <v>SCOUTING</v>
      </c>
      <c r="I17" s="34">
        <v>10</v>
      </c>
      <c r="J17" s="13" t="s">
        <v>4</v>
      </c>
      <c r="K17" s="13" t="s">
        <v>62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166</v>
      </c>
      <c r="D18" s="32" t="s">
        <v>833</v>
      </c>
      <c r="E18" s="33">
        <v>1</v>
      </c>
      <c r="F18" s="36">
        <v>5</v>
      </c>
      <c r="G18" s="36">
        <v>2</v>
      </c>
      <c r="H18" s="38" t="str">
        <f t="shared" ref="H18:H81" si="8">IF(I18="","",$I$14)</f>
        <v>SCOUTING</v>
      </c>
      <c r="I18" s="34">
        <v>17</v>
      </c>
      <c r="J18" s="13" t="s">
        <v>4</v>
      </c>
      <c r="K18" s="13" t="s">
        <v>62</v>
      </c>
      <c r="L18" s="13" t="s">
        <v>5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166</v>
      </c>
      <c r="D19" s="32" t="s">
        <v>834</v>
      </c>
      <c r="E19" s="33">
        <v>2</v>
      </c>
      <c r="F19" s="36">
        <v>30</v>
      </c>
      <c r="G19" s="36">
        <v>27</v>
      </c>
      <c r="H19" s="38" t="str">
        <f t="shared" si="8"/>
        <v>SCOUTING</v>
      </c>
      <c r="I19" s="34">
        <v>227</v>
      </c>
      <c r="J19" s="13" t="s">
        <v>4</v>
      </c>
      <c r="K19" s="13" t="s">
        <v>63</v>
      </c>
      <c r="L19" s="13" t="s">
        <v>6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166</v>
      </c>
      <c r="D20" s="32" t="s">
        <v>835</v>
      </c>
      <c r="E20" s="33">
        <v>3</v>
      </c>
      <c r="F20" s="36">
        <v>57</v>
      </c>
      <c r="G20" s="36">
        <v>60</v>
      </c>
      <c r="H20" s="38" t="str">
        <f t="shared" si="8"/>
        <v>SCOUTING</v>
      </c>
      <c r="I20" s="34">
        <v>481</v>
      </c>
      <c r="J20" s="13" t="s">
        <v>4</v>
      </c>
      <c r="K20" s="13" t="s">
        <v>63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REPORT_U2025166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"U2025166"</v>
      </c>
      <c r="F3" s="45" t="str">
        <f t="shared" ref="F3:F16" si="0">""""&amp;B3&amp;"""" &amp; " : " &amp;C3&amp;","</f>
        <v>"name" : "U2025166",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"U166"</v>
      </c>
      <c r="F4" s="45" t="str">
        <f t="shared" si="0"/>
        <v>"cod" : "U166",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166</v>
      </c>
      <c r="F6" s="45" t="str">
        <f t="shared" si="0"/>
        <v>"number" : 166,</v>
      </c>
    </row>
    <row r="7" spans="2:6" x14ac:dyDescent="0.25">
      <c r="B7" s="43" t="s">
        <v>116</v>
      </c>
      <c r="C7" s="43" t="str">
        <f ca="1">""""&amp;TEXT('SCOUT &amp; LOGISTICS'!B3,"dd/mm/aaaa")&amp;""""</f>
        <v>"04/02/Wednesday"</v>
      </c>
      <c r="F7" s="45" t="str">
        <f t="shared" ca="1" si="0"/>
        <v>"date" : "04/02/Wednesday",</v>
      </c>
    </row>
    <row r="8" spans="2:6" x14ac:dyDescent="0.25">
      <c r="B8" s="43" t="s">
        <v>125</v>
      </c>
      <c r="C8" s="43" t="str">
        <f>""""&amp;'SCOUT &amp; LOGISTICS'!D4 &amp;""""</f>
        <v>"Cosea JL Bourg-en-Bresse"</v>
      </c>
      <c r="F8" s="45" t="str">
        <f t="shared" si="0"/>
        <v>"home_team" : "Cosea JL Bourg-en-Bresse",</v>
      </c>
    </row>
    <row r="9" spans="2:6" x14ac:dyDescent="0.25">
      <c r="B9" s="43" t="s">
        <v>126</v>
      </c>
      <c r="C9" s="43" t="str">
        <f>""""&amp;'SCOUT &amp; LOGISTICS'!D5&amp;""""</f>
        <v>"London Lions"</v>
      </c>
      <c r="F9" s="45" t="str">
        <f t="shared" si="0"/>
        <v>"away_team" : "London Lions",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"GUILLAUME VORS"</v>
      </c>
      <c r="F10" s="45" t="str">
        <f t="shared" si="0"/>
        <v>"Data_entry" : "GUILLAUME VORS",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"MAXIME VASSELIN"</v>
      </c>
      <c r="F11" s="45" t="str">
        <f t="shared" si="0"/>
        <v>"Caller_1" : "MAXIME VASSELIN",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"CHRISTOPHE BERNARD"</v>
      </c>
      <c r="F12" s="45" t="str">
        <f t="shared" si="0"/>
        <v>"Caller_2" : "CHRISTOPHE BERNARD",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"NATHALIE LARUE"</v>
      </c>
      <c r="F13" s="45" t="str">
        <f t="shared" si="0"/>
        <v>"Timerkeeper" : "NATHALIE LARUE",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"SANDRINE BARNIER"</v>
      </c>
      <c r="F14" s="45" t="str">
        <f t="shared" si="0"/>
        <v>"Shotclock" : "SANDRINE BARNIER",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639</v>
      </c>
      <c r="F25" s="45" t="str">
        <f t="shared" ref="F25:F48" si="1">""""&amp;C25&amp;"""" &amp; " : " &amp;D25&amp;","</f>
        <v>"total_actions" : 639,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work! Don’t forget to record the IRS. You made a mistake with one substitution, but you had the situation under control. Remember that when you record a three-pointer and it’s actually a 2P, or the other way around, you must delete the play and enter it again. Regarding rebounds, if the jumpers are not involved in the play, record a team rebound. If the jumpers are involved in the rebound but there is a violation on the jump ball, that would also be a team rebound. Excellent regular season"</v>
      </c>
      <c r="F51" s="45" t="str">
        <f>""""&amp;B51&amp;"""" &amp; " : " &amp;C51&amp;","</f>
        <v>"comments" : "Very good work! Don’t forget to record the IRS. You made a mistake with one substitution, but you had the situation under control. Remember that when you record a three-pointer and it’s actually a 2P, or the other way around, you must delete the play and enter it again. Regarding rebounds, if the jumpers are not involved in the play, record a team rebound. If the jumpers are involved in the rebound but there is a violation on the jump ball, that would also be a team rebound. Excellent regular season",</v>
      </c>
    </row>
    <row r="52" spans="2:6" x14ac:dyDescent="0.25">
      <c r="B52" s="43" t="s">
        <v>153</v>
      </c>
      <c r="C52" s="43" t="str">
        <f>TEXT('SCOUT &amp; LOGISTICS'!F1,"0,0")</f>
        <v>17_166_BOU_LLI_U2025</v>
      </c>
      <c r="F52" s="45" t="str">
        <f>""""&amp;B52&amp;"""" &amp; " : " &amp;C52</f>
        <v>"result" : 17_166_BOU_LLI_U2025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U166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04/02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Cosea Jl Bourg-En-Bresse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London Lions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GUILLAUME VORS</v>
      </c>
      <c r="C8" s="201"/>
      <c r="D8" s="201"/>
      <c r="E8" s="201"/>
      <c r="F8" s="201"/>
      <c r="G8" s="201" t="str">
        <f>IF('SCOUT &amp; LOGISTICS'!D7="","",'SCOUT &amp; LOGISTICS'!D7)</f>
        <v>MAXIME VASSELIN</v>
      </c>
      <c r="H8" s="201"/>
      <c r="I8" s="201"/>
      <c r="J8" s="201"/>
      <c r="K8" s="201"/>
      <c r="L8" s="201" t="str">
        <f>IF('SCOUT &amp; LOGISTICS'!D8="","",'SCOUT &amp; LOGISTICS'!D8)</f>
        <v>CHRISTOPHE BERNARD</v>
      </c>
      <c r="M8" s="201"/>
      <c r="N8" s="201"/>
      <c r="O8" s="201"/>
      <c r="P8" s="201"/>
      <c r="Q8" s="201" t="str">
        <f>IF('SCOUT &amp; LOGISTICS'!D9="","",'SCOUT &amp; LOGISTICS'!D9)</f>
        <v>NATHALIE LARUE</v>
      </c>
      <c r="R8" s="201"/>
      <c r="S8" s="201"/>
      <c r="T8" s="201"/>
      <c r="U8" s="201"/>
      <c r="V8" s="201" t="str">
        <f>IF('SCOUT &amp; LOGISTICS'!D10="","",'SCOUT &amp; LOGISTICS'!D10)</f>
        <v>SANDRINE BARNIER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639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6.2597809076682318E-3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2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work! Don’t forget to record the IRS. You made a mistake with one substitution, but you had the situation under control. Remember that when you record a three-pointer and it’s actually a 2P, or the other way around, you must delete the play and enter it again. Regarding rebounds, if the jumpers are not involved in the play, record a team rebound. If the jumpers are involved in the rebound but there is a violation on the jump ball, that would also be a team rebound. Excellent regular season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3.6259780907668233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E60A050-A3EF-4021-9FBF-200DFE3327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2026-02-04T21:51:08Z</cp:lastPrinted>
  <dcterms:created xsi:type="dcterms:W3CDTF">2023-09-19T19:50:35Z</dcterms:created>
  <dcterms:modified xsi:type="dcterms:W3CDTF">2026-02-04T21:51:11Z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