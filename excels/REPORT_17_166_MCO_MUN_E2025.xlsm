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04" documentId="8_{12A08FB5-48E0-4D40-A80D-3E352AD11E37}" xr6:coauthVersionLast="47" xr6:coauthVersionMax="47" xr10:uidLastSave="{18F94334-E107-425C-8580-1D2E60084D0A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<sst xmlns="http://schemas.openxmlformats.org/spreadsheetml/2006/main" count="3290" uniqueCount="768">
  <si>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</si>
  <si>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</si>
  <si>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</si>
  <si>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</si>
  <si>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</si>
  <si>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</si>
  <si>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</si>
  <si>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</si>
  <si>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</si>
  <si>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</si>
  <si>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</si>
  <si>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</si>
  <si>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</si>
  <si>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</si>
  <si>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</si>
  <si>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</si>
  <si>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</si>
  <si>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</si>
  <si>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</si>
  <si>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</si>
  <si>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</si>
  <si>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</si>
  <si>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</si>
  <si>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</si>
  <si>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</si>
  <si>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</si>
  <si>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</si>
  <si>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</si>
  <si>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</si>
  <si>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</si>
  <si>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</si>
  <si>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</si>
  <si>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</si>
  <si>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</si>
  <si>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</si>
  <si>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</si>
  <si>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</si>
  <si>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</si>
  <si>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</si>
  <si>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</si>
  <si>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</si>
  <si>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</si>
  <si>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</si>
  <si>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</si>
  <si>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</si>
  <si>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</si>
  <si>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</si>
  <si>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</si>
  <si>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</si>
  <si>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</si>
  <si>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</si>
  <si>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</si>
  <si>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</si>
  <si>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</si>
  <si>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</si>
  <si>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</si>
  <si>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</si>
  <si>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</si>
  <si>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</si>
  <si>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</si>
  <si>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</si>
  <si>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</si>
  <si>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</si>
  <si>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</si>
  <si>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</si>
  <si>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</si>
  <si>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</si>
  <si>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</si>
  <si>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</si>
  <si>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</si>
  <si>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</si>
  <si>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</si>
  <si>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</si>
  <si>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</si>
  <si>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</si>
  <si>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</si>
  <si>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</si>
  <si>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</si>
  <si>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</si>
  <si>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</si>
  <si>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</si>
  <si>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</si>
  <si>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</si>
  <si>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</si>
  <si>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</si>
  <si>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</si>
  <si>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</si>
  <si>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</si>
  <si>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</si>
  <si>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</si>
  <si>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</si>
  <si>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</si>
  <si>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</si>
  <si>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</si>
  <si>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</si>
  <si>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</si>
  <si>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</si>
  <si>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</si>
  <si>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</si>
  <si>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</si>
  <si>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</si>
  <si>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</si>
  <si>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</si>
  <si>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</si>
  <si>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</si>
  <si>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</si>
  <si>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</si>
  <si>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</si>
  <si>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</si>
  <si>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</si>
  <si>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</si>
  <si>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</si>
  <si>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</si>
  <si>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</si>
  <si>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</si>
  <si>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</si>
  <si>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</si>
  <si>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</si>
  <si>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</si>
  <si>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</si>
  <si>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</si>
  <si>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</si>
  <si>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</si>
  <si>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</si>
  <si>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</si>
  <si>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</si>
  <si>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</si>
  <si>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</si>
  <si>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</si>
  <si>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</si>
  <si>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</si>
  <si>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</si>
  <si>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</si>
  <si>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</si>
  <si>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</si>
  <si>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</si>
  <si>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</si>
  <si>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</si>
  <si>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</si>
  <si>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</si>
  <si>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</si>
  <si>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</si>
  <si>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</si>
  <si>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</si>
  <si>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</si>
  <si>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</si>
  <si>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</si>
  <si>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</si>
  <si>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</si>
  <si>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</si>
  <si>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</si>
  <si>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</si>
  <si>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</si>
  <si>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</si>
  <si>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</si>
  <si>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</si>
  <si>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</si>
  <si>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</si>
  <si>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</si>
  <si>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</si>
  <si>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</si>
  <si>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</si>
  <si>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</si>
  <si>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</si>
  <si>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</si>
  <si>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</si>
  <si>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</si>
  <si>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</si>
  <si>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</si>
  <si>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</si>
  <si>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</si>
  <si>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</si>
  <si>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</si>
  <si>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</si>
  <si>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</si>
  <si>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</si>
  <si>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</si>
  <si>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</si>
  <si>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</si>
  <si>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</si>
  <si>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</si>
  <si>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</si>
  <si>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</si>
  <si>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</si>
  <si>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</si>
  <si>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</si>
  <si>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</si>
  <si>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</si>
  <si>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</si>
  <si>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</si>
  <si>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</si>
  <si>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</si>
  <si>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</si>
  <si>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</si>
  <si>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</si>
  <si>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</si>
  <si>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</si>
  <si>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</si>
  <si>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</si>
  <si>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</si>
  <si>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</si>
  <si>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</si>
  <si>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</si>
  <si>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</si>
  <si>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</si>
  <si>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</si>
  <si>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</si>
  <si>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</si>
  <si>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</si>
  <si>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</si>
  <si>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</si>
  <si>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</si>
  <si>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</si>
  <si>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</si>
  <si>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</si>
  <si>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</si>
  <si>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</si>
  <si>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</si>
  <si>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</si>
  <si>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</si>
  <si>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</si>
  <si>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</si>
  <si>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</si>
  <si>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</si>
  <si>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</si>
  <si>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</si>
  <si>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</si>
  <si>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</si>
  <si>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</si>
  <si>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</si>
  <si>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</si>
  <si>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</si>
  <si>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</si>
  <si>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</si>
  <si>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</si>
  <si>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</si>
  <si>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</si>
  <si>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</si>
  <si>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</si>
  <si>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</si>
  <si>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</si>
  <si>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</si>
  <si>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</si>
  <si>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</si>
  <si>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</si>
  <si>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</si>
  <si>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</si>
  <si>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</si>
  <si>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</si>
  <si>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</si>
  <si>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</si>
  <si>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</si>
  <si>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</si>
  <si>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</si>
  <si>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</si>
  <si>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</si>
  <si>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</si>
  <si>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</si>
  <si>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</si>
  <si>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</si>
  <si>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</si>
  <si>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</si>
  <si>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</si>
  <si>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</si>
  <si>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</si>
  <si>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</si>
  <si>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</si>
  <si>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</si>
  <si>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</si>
  <si>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</si>
  <si>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</si>
  <si>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</si>
  <si>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</si>
  <si>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</si>
  <si>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</si>
  <si>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</si>
  <si>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</si>
  <si>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</si>
  <si>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</si>
  <si>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</si>
  <si>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</si>
  <si>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</si>
  <si>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</si>
  <si>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</si>
  <si>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</si>
  <si>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</si>
  <si>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</si>
  <si>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</si>
  <si>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</si>
  <si>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</si>
  <si>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</si>
  <si>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</si>
  <si>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</si>
  <si>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</si>
  <si>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</si>
  <si>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</si>
  <si>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</si>
  <si>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</si>
  <si>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</si>
  <si>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</si>
  <si>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</si>
  <si>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</si>
  <si>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</si>
  <si>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</si>
  <si>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</si>
  <si>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</si>
  <si>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</si>
  <si>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</si>
  <si>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</si>
  <si>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</si>
  <si>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</si>
  <si>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</si>
  <si>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</si>
  <si>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</si>
  <si>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</si>
  <si>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</si>
  <si>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</si>
  <si>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</si>
  <si>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</si>
  <si>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</si>
  <si>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</si>
  <si>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</si>
  <si>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</si>
  <si>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</si>
  <si>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</si>
  <si>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</si>
  <si>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</si>
  <si>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</si>
  <si>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</si>
  <si>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</si>
  <si>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</si>
  <si>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</si>
  <si>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</si>
  <si>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</si>
  <si>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</si>
  <si>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</si>
  <si>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</si>
  <si>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</si>
  <si>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</si>
  <si>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</si>
  <si>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</si>
  <si>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</si>
  <si>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</si>
  <si>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</si>
  <si>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</si>
  <si>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</si>
  <si>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</si>
  <si>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</si>
  <si>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</si>
  <si>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</si>
  <si>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</si>
  <si>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</si>
  <si>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</si>
  <si>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</si>
  <si>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</si>
  <si>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</si>
  <si>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</si>
  <si>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</si>
  <si>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</si>
  <si>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</si>
  <si>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</si>
  <si>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</si>
  <si>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</si>
  <si>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</si>
  <si>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</si>
  <si>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</si>
  <si>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</si>
  <si>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</si>
  <si>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</si>
  <si>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</si>
  <si>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</si>
  <si>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</si>
  <si>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</si>
  <si>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</si>
  <si>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</si>
  <si>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</si>
  <si>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</si>
  <si>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</si>
  <si>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</si>
  <si>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</si>
  <si>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</si>
  <si>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</si>
  <si>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</si>
  <si>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</si>
  <si>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</si>
  <si>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</si>
  <si>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</si>
  <si>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</si>
  <si>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</si>
  <si>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</si>
  <si>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</si>
  <si>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</si>
  <si>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</si>
  <si>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</si>
  <si>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</si>
  <si>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</si>
  <si>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</si>
  <si>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</si>
  <si>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</si>
  <si>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</si>
  <si>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</si>
  <si>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</si>
  <si>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</si>
  <si>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</si>
  <si>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</si>
  <si>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</si>
  <si>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</si>
  <si>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</si>
  <si>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</si>
  <si>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</si>
  <si>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</si>
  <si>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</si>
  <si>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</si>
  <si>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</si>
  <si>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</si>
  <si>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</si>
  <si>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</si>
  <si>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</si>
  <si>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</si>
  <si>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</si>
  <si>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</si>
  <si>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</si>
  <si>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</si>
  <si>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</si>
  <si>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</si>
  <si>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</si>
  <si>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</si>
  <si>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</si>
  <si>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</si>
  <si>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</si>
  <si>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</si>
  <si>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</si>
  <si>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</si>
  <si>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</si>
  <si>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</si>
  <si>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</si>
  <si>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</si>
  <si>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</si>
  <si>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</si>
  <si>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</si>
  <si>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</si>
  <si>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</si>
  <si>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</si>
  <si>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</si>
  <si>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</si>
  <si>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</si>
  <si>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</si>
  <si>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</si>
  <si>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</si>
  <si>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</si>
  <si>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</si>
  <si>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</si>
  <si>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</si>
  <si>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</si>
  <si>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</si>
  <si>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</si>
  <si>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</si>
  <si>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</si>
  <si>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</si>
  <si>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</si>
  <si>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</si>
  <si>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</si>
  <si>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</si>
  <si>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</si>
  <si>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</si>
  <si>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</si>
  <si>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</si>
  <si>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</si>
  <si>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</si>
  <si>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</si>
  <si>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</si>
  <si>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</si>
  <si>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</si>
  <si>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</si>
  <si>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</si>
  <si>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</si>
  <si>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</si>
  <si>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</si>
  <si>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</si>
  <si>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</si>
  <si>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</si>
  <si>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</si>
  <si>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</si>
  <si>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</si>
  <si>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</si>
  <si>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</si>
  <si>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</si>
  <si>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</si>
  <si>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</si>
  <si>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</si>
  <si>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</si>
  <si>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</si>
  <si>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</si>
  <si>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</si>
  <si>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</si>
  <si>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</si>
  <si>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</si>
  <si>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</si>
  <si>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</si>
  <si>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</si>
  <si>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</si>
  <si>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</si>
  <si>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</si>
  <si>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</si>
  <si>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</si>
  <si>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</si>
  <si>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</si>
  <si>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</si>
  <si>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</si>
  <si>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</si>
  <si>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</si>
  <si>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</si>
  <si>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</si>
  <si>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</si>
  <si>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</si>
  <si>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</si>
  <si>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</si>
  <si>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</si>
  <si>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</si>
  <si>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</si>
  <si>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</si>
  <si>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</si>
  <si>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</si>
  <si>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</si>
  <si>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</si>
  <si>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</si>
  <si>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</si>
  <si>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</si>
  <si>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</si>
  <si>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</si>
  <si>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</si>
  <si>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</si>
  <si>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</si>
  <si>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</si>
  <si>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</si>
  <si>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</si>
  <si>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</si>
  <si>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</si>
  <si>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</si>
  <si>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</si>
  <si>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</si>
  <si>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</si>
  <si>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</si>
  <si>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</si>
  <si>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</si>
  <si>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</si>
  <si>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</si>
  <si>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</si>
  <si>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</si>
  <si>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</si>
  <si>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</si>
  <si>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</si>
  <si>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</si>
  <si>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</si>
  <si>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</si>
  <si>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</si>
  <si>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</si>
  <si>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</si>
  <si>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</si>
  <si>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</si>
  <si>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</si>
  <si>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</si>
  <si>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</si>
  <si>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</si>
  <si>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</si>
  <si>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</si>
  <si>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</si>
  <si>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</si>
  <si>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</si>
  <si>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</si>
  <si>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</si>
  <si>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</si>
  <si>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</si>
  <si>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</si>
  <si>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</si>
  <si>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</si>
  <si>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</si>
  <si>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</si>
  <si>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</si>
  <si>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</si>
  <si>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</si>
  <si>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</si>
  <si>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</si>
  <si>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</si>
  <si>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</si>
  <si>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</si>
  <si>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</si>
  <si>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</si>
  <si>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</si>
  <si>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</si>
  <si>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</si>
  <si>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</si>
  <si>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</si>
  <si>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</si>
  <si>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</si>
  <si>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</si>
  <si>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</si>
  <si>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</si>
  <si>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</si>
  <si>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</si>
  <si>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</si>
  <si>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</si>
  <si>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</si>
  <si>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</si>
  <si>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</si>
  <si>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</si>
  <si>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</si>
  <si>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</si>
  <si>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</si>
  <si>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</si>
  <si>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</si>
  <si>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</si>
  <si>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</si>
  <si>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</si>
  <si>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</si>
  <si>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</si>
  <si>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</si>
  <si>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</si>
  <si>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</si>
  <si>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</si>
  <si>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</si>
  <si>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</si>
  <si>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</si>
  <si>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</si>
  <si>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</si>
  <si>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</si>
  <si>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</si>
  <si>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</si>
  <si>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</si>
  <si>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</si>
  <si>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</si>
  <si>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</si>
  <si>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</si>
  <si>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</si>
  <si>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</si>
  <si>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</si>
  <si>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</si>
  <si>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</si>
  <si>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</si>
  <si>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</si>
  <si>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</si>
  <si>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</si>
  <si>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</si>
  <si>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</si>
  <si>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</si>
  <si>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</si>
  <si>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</si>
  <si>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</si>
  <si>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</si>
  <si>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</si>
  <si>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</si>
  <si>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</si>
  <si>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</si>
  <si>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</si>
  <si>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</si>
  <si>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</si>
  <si>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</si>
  <si>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</si>
  <si>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</si>
  <si>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</si>
  <si>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</si>
  <si>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</si>
  <si>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</si>
  <si>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</si>
  <si>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</si>
  <si>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</si>
  <si>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</si>
  <si>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</si>
  <si>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</si>
  <si>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</si>
  <si>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</si>
  <si>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</si>
  <si>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</si>
  <si>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</si>
  <si>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</si>
  <si>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</si>
  <si>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</si>
  <si>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</si>
  <si>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</si>
  <si>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</si>
  <si>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</si>
  <si>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</si>
  <si>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</si>
  <si>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</si>
  <si>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</si>
  <si>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</si>
  <si>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</si>
  <si>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</si>
  <si>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</si>
  <si>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</si>
  <si>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</si>
  <si>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</si>
  <si>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</si>
  <si>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</si>
  <si>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</si>
  <si>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</si>
  <si>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</si>
  <si>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</si>
  <si>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</si>
  <si>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</si>
  <si>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</si>
  <si>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</si>
  <si>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</si>
  <si>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</si>
  <si>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</si>
  <si>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</si>
  <si>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</si>
  <si>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</si>
  <si>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</si>
  <si>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</si>
  <si>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</si>
  <si>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</si>
  <si>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</si>
  <si>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</si>
  <si>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</si>
  <si>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</si>
  <si>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</si>
  <si>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</si>
  <si>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</si>
  <si>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</si>
  <si>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</si>
  <si>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</si>
  <si>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</si>
  <si>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</si>
  <si>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</si>
  <si>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</si>
  <si>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</si>
  <si>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</si>
  <si>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</si>
  <si>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</si>
  <si>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</si>
  <si>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</si>
  <si>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</si>
  <si>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</si>
  <si>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</si>
  <si>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</si>
  <si>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</si>
  <si>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</si>
  <si>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</si>
  <si>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</si>
  <si>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</si>
  <si>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</si>
  <si>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</si>
  <si>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</si>
  <si>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</si>
  <si>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</si>
  <si>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</si>
  <si>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</si>
  <si>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</si>
  <si>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Very good job!</t>
  </si>
  <si>
    <t>E</t>
  </si>
  <si>
    <t>CATHERINE RICARD</t>
  </si>
  <si>
    <t>VANESSA CAUCHIE</t>
  </si>
  <si>
    <t>CLAUDINE CARADONNA</t>
  </si>
  <si>
    <t>CAROLINE MEUNIER</t>
  </si>
  <si>
    <t>JEAN-PAUL JUSTINIANO</t>
  </si>
  <si>
    <t>DAVID MARTINOTTI</t>
  </si>
  <si>
    <t>XAVI MATEU</t>
  </si>
  <si>
    <t>07:05</t>
  </si>
  <si>
    <t>04:28</t>
  </si>
  <si>
    <t>02:06</t>
  </si>
  <si>
    <t>05:15</t>
  </si>
  <si>
    <t>02:18</t>
  </si>
  <si>
    <t>07:46</t>
  </si>
  <si>
    <t>03:56</t>
  </si>
  <si>
    <t>01:40</t>
  </si>
  <si>
    <t>03:58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</si>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</sst>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17_166_MCO_MUN_E2025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166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46010.8125</v>
      </c>
      <c r="C3" s="157"/>
      <c r="D3" s="39">
        <v>546</v>
      </c>
      <c r="E3" s="29"/>
      <c r="F3" s="26">
        <f>SUBTOTAL(3,I17:I106)</f>
        <v>9</v>
      </c>
      <c r="G3" s="27">
        <f>IF(OR(D3="",D3=0),"",F3/D3)</f>
        <v>1.6483516483516484E-2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AS Monaco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67" t="s">
        <v>749</v>
      </c>
      <c r="N4" s="168"/>
      <c r="O4" s="2"/>
      <c r="P4" s="2"/>
      <c r="Q4" s="84" t="s">
        <v>175</v>
      </c>
      <c r="R4" s="94">
        <f>(IF(G3="",0,G3))</f>
        <v>1.6483516483516484E-2</v>
      </c>
      <c r="S4" s="61">
        <f>SUM(I13:M13)</f>
        <v>0</v>
      </c>
      <c r="T4" s="78"/>
      <c r="U4" s="61">
        <f>AC18</f>
        <v>8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1.6483516483516485</v>
      </c>
      <c r="S5" s="70">
        <f t="shared" ref="S5" si="0">S4*S3</f>
        <v>0</v>
      </c>
      <c r="T5" s="92"/>
      <c r="U5" s="70">
        <f t="shared" ref="U5:AG5" si="1">U4*U3</f>
        <v>4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6.6483516483516487</v>
      </c>
      <c r="N7" s="58"/>
      <c r="O7" s="2"/>
      <c r="P7" s="2"/>
      <c r="Q7" s="86">
        <f>SUM(R5,S5,AC16)</f>
        <v>6.6483516483516487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6.6483516483516487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166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166</v>
      </c>
      <c r="D17" s="32" t="s">
        <v>758</v>
      </c>
      <c r="E17" s="33">
        <v>1</v>
      </c>
      <c r="F17" s="36">
        <v>2</v>
      </c>
      <c r="G17" s="36">
        <v>4</v>
      </c>
      <c r="H17" s="38" t="str">
        <f>IF(I17="","",$I$14)</f>
        <v>SCOUTING</v>
      </c>
      <c r="I17" s="34">
        <v>31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166</v>
      </c>
      <c r="D18" s="32" t="s">
        <v>759</v>
      </c>
      <c r="E18" s="33">
        <v>1</v>
      </c>
      <c r="F18" s="36">
        <v>6</v>
      </c>
      <c r="G18" s="36">
        <v>11</v>
      </c>
      <c r="H18" s="38" t="str">
        <f t="shared" ref="H18:H81" si="8">IF(I18="","",$I$14)</f>
        <v>SCOUTING</v>
      </c>
      <c r="I18" s="34">
        <v>56</v>
      </c>
      <c r="J18" s="13" t="s">
        <v>4</v>
      </c>
      <c r="K18" s="13" t="s">
        <v>62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8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166</v>
      </c>
      <c r="D19" s="32" t="s">
        <v>760</v>
      </c>
      <c r="E19" s="33">
        <v>1</v>
      </c>
      <c r="F19" s="36">
        <v>9</v>
      </c>
      <c r="G19" s="36">
        <v>17</v>
      </c>
      <c r="H19" s="38" t="str">
        <f t="shared" si="8"/>
        <v>SCOUTING</v>
      </c>
      <c r="I19" s="34">
        <v>91</v>
      </c>
      <c r="J19" s="13" t="s">
        <v>4</v>
      </c>
      <c r="K19" s="13" t="s">
        <v>63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166</v>
      </c>
      <c r="D20" s="32" t="s">
        <v>761</v>
      </c>
      <c r="E20" s="33">
        <v>2</v>
      </c>
      <c r="F20" s="36">
        <v>34</v>
      </c>
      <c r="G20" s="36">
        <v>28</v>
      </c>
      <c r="H20" s="38" t="str">
        <f t="shared" si="8"/>
        <v>SCOUTING</v>
      </c>
      <c r="I20" s="34">
        <v>195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166</v>
      </c>
      <c r="D21" s="32" t="s">
        <v>762</v>
      </c>
      <c r="E21" s="33">
        <v>2</v>
      </c>
      <c r="F21" s="36">
        <v>41</v>
      </c>
      <c r="G21" s="36">
        <v>32</v>
      </c>
      <c r="H21" s="38" t="str">
        <f t="shared" si="8"/>
        <v>SCOUTING</v>
      </c>
      <c r="I21" s="34">
        <v>238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166</v>
      </c>
      <c r="D22" s="32" t="s">
        <v>763</v>
      </c>
      <c r="E22" s="33">
        <v>3</v>
      </c>
      <c r="F22" s="36">
        <v>55</v>
      </c>
      <c r="G22" s="36">
        <v>41</v>
      </c>
      <c r="H22" s="38" t="str">
        <f t="shared" si="8"/>
        <v>SCOUTING</v>
      </c>
      <c r="I22" s="34">
        <v>310</v>
      </c>
      <c r="J22" s="13" t="s">
        <v>4</v>
      </c>
      <c r="K22" s="13" t="s">
        <v>62</v>
      </c>
      <c r="L22" s="13" t="s">
        <v>5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166</v>
      </c>
      <c r="D23" s="32" t="s">
        <v>764</v>
      </c>
      <c r="E23" s="33">
        <v>3</v>
      </c>
      <c r="F23" s="36">
        <v>70</v>
      </c>
      <c r="G23" s="36">
        <v>52</v>
      </c>
      <c r="H23" s="38" t="str">
        <f t="shared" si="8"/>
        <v>SCOUTING</v>
      </c>
      <c r="I23" s="34">
        <v>365</v>
      </c>
      <c r="J23" s="13" t="s">
        <v>4</v>
      </c>
      <c r="K23" s="13" t="s">
        <v>63</v>
      </c>
      <c r="L23" s="13" t="s">
        <v>6</v>
      </c>
      <c r="M23" s="13" t="s">
        <v>22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166</v>
      </c>
      <c r="D24" s="32" t="s">
        <v>765</v>
      </c>
      <c r="E24" s="33">
        <v>3</v>
      </c>
      <c r="F24" s="36">
        <v>79</v>
      </c>
      <c r="G24" s="36">
        <v>52</v>
      </c>
      <c r="H24" s="38" t="str">
        <f t="shared" si="8"/>
        <v>SCOUTING</v>
      </c>
      <c r="I24" s="34">
        <v>404</v>
      </c>
      <c r="J24" s="13" t="s">
        <v>4</v>
      </c>
      <c r="K24" s="13" t="s">
        <v>62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166</v>
      </c>
      <c r="D25" s="32" t="s">
        <v>766</v>
      </c>
      <c r="E25" s="33">
        <v>4</v>
      </c>
      <c r="F25" s="36">
        <v>95</v>
      </c>
      <c r="G25" s="36">
        <v>68</v>
      </c>
      <c r="H25" s="38" t="str">
        <f t="shared" si="8"/>
        <v>SCOUTING</v>
      </c>
      <c r="I25" s="34">
        <v>511</v>
      </c>
      <c r="J25" s="13" t="s">
        <v>4</v>
      </c>
      <c r="K25" s="13" t="s">
        <v>62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REPORT_E2025166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"E2025166"</v>
      </c>
      <c r="F3" s="45" t="str">
        <f t="shared" ref="F3:F16" si="0">""""&amp;B3&amp;"""" &amp; " : " &amp;C3&amp;","</f>
        <v>"name" : "E2025166",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"E166"</v>
      </c>
      <c r="F4" s="45" t="str">
        <f t="shared" si="0"/>
        <v>"cod" : "E166",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166</v>
      </c>
      <c r="F6" s="45" t="str">
        <f t="shared" si="0"/>
        <v>"number" : 166,</v>
      </c>
    </row>
    <row r="7" spans="2:6" x14ac:dyDescent="0.25">
      <c r="B7" s="43" t="s">
        <v>116</v>
      </c>
      <c r="C7" s="43" t="str">
        <f ca="1">""""&amp;TEXT('SCOUT &amp; LOGISTICS'!B3,"dd/mm/aaaa")&amp;""""</f>
        <v>"19/12/Friday"</v>
      </c>
      <c r="F7" s="45" t="str">
        <f t="shared" ca="1" si="0"/>
        <v>"date" : "19/12/Friday",</v>
      </c>
    </row>
    <row r="8" spans="2:6" x14ac:dyDescent="0.25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"CLAUDINE CARADONNA"</v>
      </c>
      <c r="F12" s="45" t="str">
        <f t="shared" si="0"/>
        <v>"Caller_2" : "CLAUDINE CARADONNA",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"CAROLINE MEUNIER"</v>
      </c>
      <c r="F13" s="45" t="str">
        <f t="shared" si="0"/>
        <v>"Timerkeeper" : "CAROLINE MEUNIER",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"JEAN-PAUL JUSTINIANO"</v>
      </c>
      <c r="F14" s="45" t="str">
        <f t="shared" si="0"/>
        <v>"Shotclock" : "JEAN-PAUL JUSTINIANO",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 MARTINOTTI"</v>
      </c>
      <c r="F15" s="45" t="str">
        <f t="shared" si="0"/>
        <v>"IRS" : "DAVID MARTINOTTI",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546</v>
      </c>
      <c r="F25" s="45" t="str">
        <f t="shared" ref="F25:F48" si="1">""""&amp;C25&amp;"""" &amp; " : " &amp;D25&amp;","</f>
        <v>"total_actions" : 546,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8</v>
      </c>
      <c r="F39" s="45" t="str">
        <f t="shared" si="1"/>
        <v>"missidentity" : 8,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17_166_MCO_MUN_E2025</v>
      </c>
      <c r="F52" s="45" t="str">
        <f>""""&amp;B52&amp;"""" &amp; " : " &amp;C52</f>
        <v>"result" : 17_166_MCO_MUN_E2025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E166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19/12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As Monaco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CATHERINE RICARD</v>
      </c>
      <c r="C8" s="206"/>
      <c r="D8" s="206"/>
      <c r="E8" s="206"/>
      <c r="F8" s="206"/>
      <c r="G8" s="206" t="str">
        <f>IF('SCOUT &amp; LOGISTICS'!D7="","",'SCOUT &amp; LOGISTICS'!D7)</f>
        <v>VANESSA CAUCHIE</v>
      </c>
      <c r="H8" s="206"/>
      <c r="I8" s="206"/>
      <c r="J8" s="206"/>
      <c r="K8" s="206"/>
      <c r="L8" s="206" t="str">
        <f>IF('SCOUT &amp; LOGISTICS'!D8="","",'SCOUT &amp; LOGISTICS'!D8)</f>
        <v>CLAUDINE CARADONNA</v>
      </c>
      <c r="M8" s="206"/>
      <c r="N8" s="206"/>
      <c r="O8" s="206"/>
      <c r="P8" s="206"/>
      <c r="Q8" s="206" t="str">
        <f>IF('SCOUT &amp; LOGISTICS'!D9="","",'SCOUT &amp; LOGISTICS'!D9)</f>
        <v>CAROLINE MEUNIER</v>
      </c>
      <c r="R8" s="206"/>
      <c r="S8" s="206"/>
      <c r="T8" s="206"/>
      <c r="U8" s="206"/>
      <c r="V8" s="206" t="str">
        <f>IF('SCOUT &amp; LOGISTICS'!D10="","",'SCOUT &amp; LOGISTICS'!D10)</f>
        <v>JEAN-PAUL JUSTINIANO</v>
      </c>
      <c r="W8" s="206"/>
      <c r="X8" s="206"/>
      <c r="Y8" s="206"/>
      <c r="Z8" s="206"/>
      <c r="AA8" s="206" t="str">
        <f>IF('SCOUT &amp; LOGISTICS'!D11="","",'SCOUT &amp; LOGISTICS'!D11)</f>
        <v>DAVID MARTINOTTI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1.6483516483516484E-2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6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8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6.6483516483516487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D50AA95-DDDD-4315-B002-AA1EC9FB2B6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2025-12-23T14:56:16Z</cp:lastPrinted>
  <dcterms:created xsi:type="dcterms:W3CDTF">2023-09-19T19:50:35Z</dcterms:created>
  <dcterms:modified xsi:type="dcterms:W3CDTF">2025-12-23T14:56:18Z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