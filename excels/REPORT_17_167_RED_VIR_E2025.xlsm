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48" documentId="8_{A411A1E5-AB0A-499B-A00E-B90568ECA4E0}" xr6:coauthVersionLast="47" xr6:coauthVersionMax="47" xr10:uidLastSave="{DAFC1F31-BAE6-44CD-B688-64DBD4E71F47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<sst xmlns="http://schemas.openxmlformats.org/spreadsheetml/2006/main" count="3260" uniqueCount="762">
  <si>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</si>
  <si>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</si>
  <si>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</si>
  <si>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</si>
  <si>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</si>
  <si>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</si>
  <si>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</si>
  <si>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</si>
  <si>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</si>
  <si>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</si>
  <si>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</si>
  <si>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</si>
  <si>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</si>
  <si>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</si>
  <si>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</si>
  <si>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</si>
  <si>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</si>
  <si>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</si>
  <si>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</si>
  <si>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</si>
  <si>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</si>
  <si>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</si>
  <si>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</si>
  <si>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</si>
  <si>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</si>
  <si>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</si>
  <si>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</si>
  <si>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</si>
  <si>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</si>
  <si>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</si>
  <si>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</si>
  <si>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</si>
  <si>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</si>
  <si>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</si>
  <si>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</si>
  <si>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</si>
  <si>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</si>
  <si>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</si>
  <si>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</si>
  <si>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</si>
  <si>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</si>
  <si>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</si>
  <si>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</si>
  <si>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</si>
  <si>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</si>
  <si>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</si>
  <si>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</si>
  <si>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</si>
  <si>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</si>
  <si>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</si>
  <si>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</si>
  <si>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</si>
  <si>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</si>
  <si>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</si>
  <si>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</si>
  <si>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</si>
  <si>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</si>
  <si>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</si>
  <si>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</si>
  <si>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</si>
  <si>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</si>
  <si>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</si>
  <si>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</si>
  <si>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</si>
  <si>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</si>
  <si>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</si>
  <si>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</si>
  <si>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</si>
  <si>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</si>
  <si>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</si>
  <si>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</si>
  <si>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</si>
  <si>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</si>
  <si>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</si>
  <si>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</si>
  <si>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</si>
  <si>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</si>
  <si>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</si>
  <si>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</si>
  <si>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</si>
  <si>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</si>
  <si>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</si>
  <si>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</si>
  <si>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</si>
  <si>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</si>
  <si>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</si>
  <si>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</si>
  <si>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</si>
  <si>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</si>
  <si>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</si>
  <si>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</si>
  <si>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</si>
  <si>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</si>
  <si>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</si>
  <si>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</si>
  <si>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</si>
  <si>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</si>
  <si>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</si>
  <si>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</si>
  <si>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</si>
  <si>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</si>
  <si>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</si>
  <si>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</si>
  <si>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</si>
  <si>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</si>
  <si>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</si>
  <si>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</si>
  <si>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</si>
  <si>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</si>
  <si>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</si>
  <si>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</si>
  <si>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</si>
  <si>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</si>
  <si>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</si>
  <si>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</si>
  <si>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</si>
  <si>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</si>
  <si>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</si>
  <si>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</si>
  <si>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</si>
  <si>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</si>
  <si>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</si>
  <si>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</si>
  <si>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</si>
  <si>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</si>
  <si>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</si>
  <si>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</si>
  <si>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</si>
  <si>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</si>
  <si>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</si>
  <si>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</si>
  <si>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</si>
  <si>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</si>
  <si>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</si>
  <si>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</si>
  <si>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</si>
  <si>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</si>
  <si>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</si>
  <si>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</si>
  <si>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</si>
  <si>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</si>
  <si>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</si>
  <si>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</si>
  <si>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</si>
  <si>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</si>
  <si>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</si>
  <si>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</si>
  <si>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</si>
  <si>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</si>
  <si>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</si>
  <si>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</si>
  <si>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</si>
  <si>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</si>
  <si>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</si>
  <si>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</si>
  <si>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</si>
  <si>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</si>
  <si>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</si>
  <si>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</si>
  <si>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</si>
  <si>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</si>
  <si>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</si>
  <si>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</si>
  <si>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</si>
  <si>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</si>
  <si>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</si>
  <si>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</si>
  <si>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</si>
  <si>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</si>
  <si>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</si>
  <si>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</si>
  <si>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</si>
  <si>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</si>
  <si>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</si>
  <si>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</si>
  <si>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</si>
  <si>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</si>
  <si>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</si>
  <si>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</si>
  <si>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</si>
  <si>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</si>
  <si>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</si>
  <si>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</si>
  <si>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</si>
  <si>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</si>
  <si>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</si>
  <si>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</si>
  <si>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</si>
  <si>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</si>
  <si>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</si>
  <si>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</si>
  <si>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</si>
  <si>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</si>
  <si>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</si>
  <si>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</si>
  <si>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</si>
  <si>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</si>
  <si>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</si>
  <si>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</si>
  <si>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</si>
  <si>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</si>
  <si>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</si>
  <si>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</si>
  <si>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</si>
  <si>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</si>
  <si>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</si>
  <si>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</si>
  <si>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</si>
  <si>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</si>
  <si>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</si>
  <si>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</si>
  <si>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</si>
  <si>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</si>
  <si>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</si>
  <si>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</si>
  <si>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</si>
  <si>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</si>
  <si>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</si>
  <si>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</si>
  <si>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</si>
  <si>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</si>
  <si>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</si>
  <si>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</si>
  <si>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</si>
  <si>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</si>
  <si>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</si>
  <si>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</si>
  <si>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</si>
  <si>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</si>
  <si>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</si>
  <si>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</si>
  <si>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</si>
  <si>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</si>
  <si>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</si>
  <si>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</si>
  <si>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</si>
  <si>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</si>
  <si>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</si>
  <si>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</si>
  <si>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</si>
  <si>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</si>
  <si>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</si>
  <si>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</si>
  <si>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</si>
  <si>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</si>
  <si>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</si>
  <si>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</si>
  <si>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</si>
  <si>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</si>
  <si>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</si>
  <si>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</si>
  <si>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</si>
  <si>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</si>
  <si>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</si>
  <si>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</si>
  <si>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</si>
  <si>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</si>
  <si>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</si>
  <si>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</si>
  <si>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</si>
  <si>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</si>
  <si>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</si>
  <si>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</si>
  <si>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</si>
  <si>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</si>
  <si>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</si>
  <si>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</si>
  <si>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</si>
  <si>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</si>
  <si>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</si>
  <si>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</si>
  <si>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</si>
  <si>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</si>
  <si>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</si>
  <si>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</si>
  <si>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</si>
  <si>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</si>
  <si>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</si>
  <si>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</si>
  <si>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</si>
  <si>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</si>
  <si>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</si>
  <si>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</si>
  <si>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</si>
  <si>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</si>
  <si>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</si>
  <si>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</si>
  <si>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</si>
  <si>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</si>
  <si>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</si>
  <si>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</si>
  <si>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</si>
  <si>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</si>
  <si>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</si>
  <si>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</si>
  <si>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</si>
  <si>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</si>
  <si>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</si>
  <si>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</si>
  <si>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</si>
  <si>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</si>
  <si>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</si>
  <si>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</si>
  <si>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</si>
  <si>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</si>
  <si>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</si>
  <si>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</si>
  <si>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</si>
  <si>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</si>
  <si>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</si>
  <si>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</si>
  <si>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</si>
  <si>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</si>
  <si>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</si>
  <si>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</si>
  <si>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</si>
  <si>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</si>
  <si>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</si>
  <si>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</si>
  <si>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</si>
  <si>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</si>
  <si>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</si>
  <si>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</si>
  <si>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</si>
  <si>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</si>
  <si>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</si>
  <si>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</si>
  <si>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</si>
  <si>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</si>
  <si>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</si>
  <si>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</si>
  <si>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</si>
  <si>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</si>
  <si>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</si>
  <si>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</si>
  <si>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</si>
  <si>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</si>
  <si>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</si>
  <si>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</si>
  <si>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</si>
  <si>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</si>
  <si>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</si>
  <si>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</si>
  <si>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</si>
  <si>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</si>
  <si>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</si>
  <si>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</si>
  <si>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</si>
  <si>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</si>
  <si>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</si>
  <si>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</si>
  <si>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</si>
  <si>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</si>
  <si>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</si>
  <si>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</si>
  <si>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</si>
  <si>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</si>
  <si>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</si>
  <si>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</si>
  <si>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</si>
  <si>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</si>
  <si>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</si>
  <si>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</si>
  <si>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</si>
  <si>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</si>
  <si>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</si>
  <si>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</si>
  <si>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</si>
  <si>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</si>
  <si>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</si>
  <si>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</si>
  <si>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</si>
  <si>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</si>
  <si>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</si>
  <si>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</si>
  <si>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</si>
  <si>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</si>
  <si>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</si>
  <si>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</si>
  <si>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</si>
  <si>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</si>
  <si>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</si>
  <si>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</si>
  <si>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</si>
  <si>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</si>
  <si>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</si>
  <si>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</si>
  <si>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</si>
  <si>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</si>
  <si>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</si>
  <si>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</si>
  <si>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</si>
  <si>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</si>
  <si>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</si>
  <si>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</si>
  <si>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</si>
  <si>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</si>
  <si>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</si>
  <si>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</si>
  <si>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</si>
  <si>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</si>
  <si>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</si>
  <si>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</si>
  <si>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</si>
  <si>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</si>
  <si>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</si>
  <si>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</si>
  <si>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</si>
  <si>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</si>
  <si>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</si>
  <si>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</si>
  <si>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</si>
  <si>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</si>
  <si>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</si>
  <si>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</si>
  <si>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</si>
  <si>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</si>
  <si>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</si>
  <si>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</si>
  <si>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</si>
  <si>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</si>
  <si>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</si>
  <si>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</si>
  <si>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</si>
  <si>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</si>
  <si>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</si>
  <si>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</si>
  <si>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</si>
  <si>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</si>
  <si>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</si>
  <si>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</si>
  <si>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</si>
  <si>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</si>
  <si>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</si>
  <si>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</si>
  <si>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</si>
  <si>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</si>
  <si>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</si>
  <si>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</si>
  <si>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</si>
  <si>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</si>
  <si>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</si>
  <si>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</si>
  <si>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</si>
  <si>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</si>
  <si>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</si>
  <si>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</si>
  <si>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</si>
  <si>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</si>
  <si>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</si>
  <si>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</si>
  <si>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</si>
  <si>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</si>
  <si>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</si>
  <si>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</si>
  <si>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</si>
  <si>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</si>
  <si>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</si>
  <si>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</si>
  <si>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</si>
  <si>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</si>
  <si>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</si>
  <si>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</si>
  <si>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</si>
  <si>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</si>
  <si>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</si>
  <si>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</si>
  <si>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</si>
  <si>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</si>
  <si>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</si>
  <si>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</si>
  <si>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</si>
  <si>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</si>
  <si>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</si>
  <si>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</si>
  <si>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</si>
  <si>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</si>
  <si>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</si>
  <si>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</si>
  <si>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</si>
  <si>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</si>
  <si>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</si>
  <si>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</si>
  <si>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</si>
  <si>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</si>
  <si>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</si>
  <si>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</si>
  <si>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</si>
  <si>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</si>
  <si>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</si>
  <si>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</si>
  <si>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</si>
  <si>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</si>
  <si>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</si>
  <si>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</si>
  <si>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</si>
  <si>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</si>
  <si>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</si>
  <si>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</si>
  <si>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</si>
  <si>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</si>
  <si>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</si>
  <si>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</si>
  <si>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</si>
  <si>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</si>
  <si>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</si>
  <si>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</si>
  <si>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</si>
  <si>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</si>
  <si>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</si>
  <si>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</si>
  <si>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</si>
  <si>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</si>
  <si>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</si>
  <si>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</si>
  <si>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</si>
  <si>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</si>
  <si>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</si>
  <si>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</si>
  <si>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</si>
  <si>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</si>
  <si>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</si>
  <si>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</si>
  <si>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</si>
  <si>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</si>
  <si>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</si>
  <si>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</si>
  <si>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</si>
  <si>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</si>
  <si>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</si>
  <si>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</si>
  <si>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</si>
  <si>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</si>
  <si>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</si>
  <si>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</si>
  <si>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</si>
  <si>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</si>
  <si>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</si>
  <si>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</si>
  <si>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</si>
  <si>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</si>
  <si>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</si>
  <si>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</si>
  <si>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</si>
  <si>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</si>
  <si>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</si>
  <si>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</si>
  <si>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</si>
  <si>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</si>
  <si>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</si>
  <si>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</si>
  <si>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</si>
  <si>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</si>
  <si>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</si>
  <si>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</si>
  <si>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</si>
  <si>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</si>
  <si>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</si>
  <si>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</si>
  <si>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</si>
  <si>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</si>
  <si>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</si>
  <si>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</si>
  <si>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</si>
  <si>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</si>
  <si>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</si>
  <si>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</si>
  <si>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</si>
  <si>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</si>
  <si>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</si>
  <si>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</si>
  <si>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</si>
  <si>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</si>
  <si>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</si>
  <si>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</si>
  <si>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</si>
  <si>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</si>
  <si>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</si>
  <si>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</si>
  <si>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</si>
  <si>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</si>
  <si>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</si>
  <si>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</si>
  <si>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</si>
  <si>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</si>
  <si>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</si>
  <si>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</si>
  <si>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</si>
  <si>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</si>
  <si>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</si>
  <si>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</si>
  <si>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</si>
  <si>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</si>
  <si>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</si>
  <si>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</si>
  <si>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</si>
  <si>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</si>
  <si>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</si>
  <si>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</si>
  <si>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</si>
  <si>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</si>
  <si>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</si>
  <si>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</si>
  <si>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</si>
  <si>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</si>
  <si>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</si>
  <si>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</si>
  <si>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</si>
  <si>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</si>
  <si>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</si>
  <si>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</si>
  <si>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</si>
  <si>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</si>
  <si>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</si>
  <si>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</si>
  <si>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</si>
  <si>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</si>
  <si>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</si>
  <si>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</si>
  <si>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</si>
  <si>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</si>
  <si>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</si>
  <si>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</si>
  <si>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</si>
  <si>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</si>
  <si>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</si>
  <si>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</si>
  <si>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</si>
  <si>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</si>
  <si>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</si>
  <si>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</si>
  <si>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</si>
  <si>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</si>
  <si>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</si>
  <si>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</si>
  <si>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</si>
  <si>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</si>
  <si>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</si>
  <si>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</si>
  <si>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</si>
  <si>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</si>
  <si>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</si>
  <si>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</si>
  <si>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</si>
  <si>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</si>
  <si>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</si>
  <si>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</si>
  <si>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</si>
  <si>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</si>
  <si>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</si>
  <si>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</si>
  <si>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</si>
  <si>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</si>
  <si>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</si>
  <si>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</si>
  <si>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</si>
  <si>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</si>
  <si>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</si>
  <si>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</si>
  <si>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</si>
  <si>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</si>
  <si>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</si>
  <si>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</si>
  <si>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</si>
  <si>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</si>
  <si>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</si>
  <si>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</si>
  <si>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</si>
  <si>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</si>
  <si>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</si>
  <si>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</si>
  <si>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</si>
  <si>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</si>
  <si>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</si>
  <si>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</si>
  <si>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</si>
  <si>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</si>
  <si>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</si>
  <si>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</si>
  <si>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</si>
  <si>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</si>
  <si>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</si>
  <si>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</si>
  <si>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</si>
  <si>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</si>
  <si>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</si>
  <si>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</si>
  <si>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</si>
  <si>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</si>
  <si>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</si>
  <si>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</si>
  <si>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</si>
  <si>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</si>
  <si>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</si>
  <si>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</si>
  <si>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</si>
  <si>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</si>
  <si>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</si>
  <si>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</si>
  <si>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</si>
  <si>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</si>
  <si>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</si>
  <si>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</si>
  <si>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</si>
  <si>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</si>
  <si>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</si>
  <si>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</si>
  <si>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</si>
  <si>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</si>
  <si>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</si>
  <si>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</si>
  <si>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</si>
  <si>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</si>
  <si>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</si>
  <si>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</si>
  <si>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</si>
  <si>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</si>
  <si>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</si>
  <si>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</si>
  <si>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</si>
  <si>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</si>
  <si>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</si>
  <si>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</si>
  <si>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</si>
  <si>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</si>
  <si>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</si>
  <si>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</si>
  <si>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</si>
  <si>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</si>
  <si>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</si>
  <si>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</si>
  <si>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</si>
  <si>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</si>
  <si>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</si>
  <si>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</si>
  <si>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</si>
  <si>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</si>
  <si>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</si>
  <si>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</si>
  <si>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</si>
  <si>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</si>
  <si>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</si>
  <si>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</si>
  <si>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</si>
  <si>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</si>
  <si>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</si>
  <si>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</si>
  <si>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</si>
  <si>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</si>
  <si>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IVAN MOSIC</t>
  </si>
  <si>
    <t>MIODRAG STOJANOVIC</t>
  </si>
  <si>
    <t>MILOS KREMIC</t>
  </si>
  <si>
    <t>BOJANA KRALJEVIC</t>
  </si>
  <si>
    <t>JELENA BOGUCANIN</t>
  </si>
  <si>
    <t>JOVANA DOJCINOVIC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</si>
  <si>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</si>
  <si>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</si>
  <si>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</si>
  <si>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3:16</t>
  </si>
  <si>
    <t>2:18</t>
  </si>
  <si>
    <t>1:47</t>
  </si>
  <si>
    <t>Almost perfect, very good job.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</si>
</sst>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17_167_RED_VIR_E2025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46010.864583333336</v>
      </c>
      <c r="C3" s="157"/>
      <c r="D3" s="39">
        <v>598</v>
      </c>
      <c r="E3" s="29"/>
      <c r="F3" s="26">
        <f>SUBTOTAL(3,I17:I106)</f>
        <v>3</v>
      </c>
      <c r="G3" s="27">
        <f>IF(OR(D3="",D3=0),"",F3/D3)</f>
        <v>5.016722408026756E-3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Crvena Zvezda Meridianbet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5.016722408026756E-3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0.50167224080267558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2.5016722408026757</v>
      </c>
      <c r="N7" s="58"/>
      <c r="O7" s="2"/>
      <c r="P7" s="2"/>
      <c r="Q7" s="86">
        <f>SUM(R5,S5,AC16)</f>
        <v>2.5016722408026757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2.5016722408026757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167</v>
      </c>
      <c r="D17" s="32" t="s">
        <v>758</v>
      </c>
      <c r="E17" s="33">
        <v>1</v>
      </c>
      <c r="F17" s="36">
        <v>12</v>
      </c>
      <c r="G17" s="36">
        <v>11</v>
      </c>
      <c r="H17" s="38" t="str">
        <f>IF(I17="","",$I$14)</f>
        <v>SCOUTING</v>
      </c>
      <c r="I17" s="34">
        <v>87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167</v>
      </c>
      <c r="D18" s="32" t="s">
        <v>759</v>
      </c>
      <c r="E18" s="33">
        <v>1</v>
      </c>
      <c r="F18" s="36">
        <v>16</v>
      </c>
      <c r="G18" s="36">
        <v>13</v>
      </c>
      <c r="H18" s="38" t="str">
        <f t="shared" ref="H18:H81" si="8">IF(I18="","",$I$14)</f>
        <v>SCOUTING</v>
      </c>
      <c r="I18" s="34">
        <v>103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167</v>
      </c>
      <c r="D19" s="32" t="s">
        <v>760</v>
      </c>
      <c r="E19" s="33">
        <v>2</v>
      </c>
      <c r="F19" s="36">
        <v>40</v>
      </c>
      <c r="G19" s="36">
        <v>43</v>
      </c>
      <c r="H19" s="38" t="str">
        <f t="shared" si="8"/>
        <v>SCOUTING</v>
      </c>
      <c r="I19" s="34">
        <v>263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"E2025167"</v>
      </c>
      <c r="F3" s="45" t="str">
        <f t="shared" ref="F3:F16" si="0">""""&amp;B3&amp;"""" &amp; " : " &amp;C3&amp;","</f>
        <v>"name" : "E2025167",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"E167"</v>
      </c>
      <c r="F4" s="45" t="str">
        <f t="shared" si="0"/>
        <v>"cod" : "E167",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167</v>
      </c>
      <c r="F6" s="45" t="str">
        <f t="shared" si="0"/>
        <v>"number" : 167,</v>
      </c>
    </row>
    <row r="7" spans="2:6" x14ac:dyDescent="0.25">
      <c r="B7" s="43" t="s">
        <v>116</v>
      </c>
      <c r="C7" s="43" t="str">
        <f ca="1">""""&amp;TEXT('SCOUT &amp; LOGISTICS'!B3,"dd/mm/aaaa")&amp;""""</f>
        <v>"19/12/Friday"</v>
      </c>
      <c r="F7" s="45" t="str">
        <f t="shared" ca="1" si="0"/>
        <v>"date" : "19/12/Friday",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BOGUCANIN"</v>
      </c>
      <c r="F14" s="45" t="str">
        <f t="shared" si="0"/>
        <v>"Shotclock" : "JELENA BOGUCANIN",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598</v>
      </c>
      <c r="F25" s="45" t="str">
        <f t="shared" ref="F25:F48" si="1">""""&amp;C25&amp;"""" &amp; " : " &amp;D25&amp;","</f>
        <v>"total_actions" : 598,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"Almost perfect, very good job. Keep it up!"</v>
      </c>
      <c r="F51" s="45" t="str">
        <f>""""&amp;B51&amp;"""" &amp; " : " &amp;C51&amp;","</f>
        <v>"comments" : "Almost perfect, very good job. Keep it up!",</v>
      </c>
    </row>
    <row r="52" spans="2:6" x14ac:dyDescent="0.25">
      <c r="B52" s="43" t="s">
        <v>153</v>
      </c>
      <c r="C52" s="43" t="str">
        <f>TEXT('SCOUT &amp; LOGISTICS'!F1,"0,0")</f>
        <v>17_167_RED_VIR_E2025</v>
      </c>
      <c r="F52" s="45" t="str">
        <f>""""&amp;B52&amp;"""" &amp; " : " &amp;C52</f>
        <v>"result" : 17_167_RED_VIR_E2025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E167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19/12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Crvena Zvezda Meridianbet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KREMIC</v>
      </c>
      <c r="M8" s="206"/>
      <c r="N8" s="206"/>
      <c r="O8" s="206"/>
      <c r="P8" s="206"/>
      <c r="Q8" s="206" t="str">
        <f>IF('SCOUT &amp; LOGISTICS'!D9="","",'SCOUT &amp; LOGISTICS'!D9)</f>
        <v>BOJANA KRALJEVIC</v>
      </c>
      <c r="R8" s="206"/>
      <c r="S8" s="206"/>
      <c r="T8" s="206"/>
      <c r="U8" s="206"/>
      <c r="V8" s="206" t="str">
        <f>IF('SCOUT &amp; LOGISTICS'!D10="","",'SCOUT &amp; LOGISTICS'!D10)</f>
        <v>JELENA BOGUCANIN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5.016722408026756E-3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Almost perfect, very good job.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2.5016722408026757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988A98-53D0-49CF-A89F-D956C12AEB0C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2025-12-23T16:39:00Z</cp:lastPrinted>
  <dcterms:created xsi:type="dcterms:W3CDTF">2023-09-19T19:50:35Z</dcterms:created>
  <dcterms:modified xsi:type="dcterms:W3CDTF">2026-01-02T16:40:32Z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