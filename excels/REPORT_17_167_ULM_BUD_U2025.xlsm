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A4622132-B429-40B7-9AE1-10264B16AC32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<sst xmlns="http://schemas.openxmlformats.org/spreadsheetml/2006/main" count="3342" uniqueCount="835">
  <si>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</si>
  <si>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</si>
  <si>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</si>
  <si>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</si>
  <si>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</si>
  <si>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</si>
  <si>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</si>
  <si>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</si>
  <si>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</si>
  <si>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</si>
  <si>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</si>
  <si>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</si>
  <si>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</si>
  <si>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</si>
  <si>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</si>
  <si>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</si>
  <si>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</si>
  <si>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</si>
  <si>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</si>
  <si>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</si>
  <si>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</si>
  <si>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</si>
  <si>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</si>
  <si>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</si>
  <si>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</si>
  <si>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</si>
  <si>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</si>
  <si>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</si>
  <si>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</si>
  <si>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</si>
  <si>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</si>
  <si>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</si>
  <si>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</si>
  <si>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</si>
  <si>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</si>
  <si>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</si>
  <si>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</si>
  <si>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</si>
  <si>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</si>
  <si>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</si>
  <si>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</si>
  <si>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</si>
  <si>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</si>
  <si>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</si>
  <si>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</si>
  <si>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</si>
  <si>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</si>
  <si>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</si>
  <si>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</si>
  <si>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</si>
  <si>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</si>
  <si>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</si>
  <si>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</si>
  <si>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</si>
  <si>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</si>
  <si>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</si>
  <si>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</si>
  <si>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</si>
  <si>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</si>
  <si>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</si>
  <si>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</si>
  <si>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</si>
  <si>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</si>
  <si>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</si>
  <si>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</si>
  <si>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</si>
  <si>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</si>
  <si>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</si>
  <si>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</si>
  <si>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</si>
  <si>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</si>
  <si>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</si>
  <si>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</si>
  <si>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</si>
  <si>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</si>
  <si>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</si>
  <si>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</si>
  <si>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</si>
  <si>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</si>
  <si>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</si>
  <si>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</si>
  <si>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</si>
  <si>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</si>
  <si>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</si>
  <si>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</si>
  <si>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</si>
  <si>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</si>
  <si>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</si>
  <si>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</si>
  <si>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</si>
  <si>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</si>
  <si>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</si>
  <si>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</si>
  <si>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</si>
  <si>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</si>
  <si>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</si>
  <si>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</si>
  <si>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</si>
  <si>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</si>
  <si>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</si>
  <si>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</si>
  <si>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</si>
  <si>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</si>
  <si>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</si>
  <si>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</si>
  <si>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</si>
  <si>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</si>
  <si>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</si>
  <si>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</si>
  <si>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</si>
  <si>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</si>
  <si>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</si>
  <si>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</si>
  <si>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</si>
  <si>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</si>
  <si>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</si>
  <si>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</si>
  <si>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</si>
  <si>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</si>
  <si>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</si>
  <si>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</si>
  <si>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</si>
  <si>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</si>
  <si>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</si>
  <si>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</si>
  <si>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</si>
  <si>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</si>
  <si>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</si>
  <si>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</si>
  <si>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</si>
  <si>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</si>
  <si>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</si>
  <si>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</si>
  <si>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</si>
  <si>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</si>
  <si>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</si>
  <si>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</si>
  <si>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</si>
  <si>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</si>
  <si>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</si>
  <si>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</si>
  <si>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</si>
  <si>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</si>
  <si>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</si>
  <si>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</si>
  <si>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</si>
  <si>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</si>
  <si>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</si>
  <si>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</si>
  <si>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</si>
  <si>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</si>
  <si>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</si>
  <si>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</si>
  <si>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</si>
  <si>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</si>
  <si>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</si>
  <si>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</si>
  <si>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</si>
  <si>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</si>
  <si>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</si>
  <si>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</si>
  <si>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</si>
  <si>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</si>
  <si>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</si>
  <si>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</si>
  <si>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</si>
  <si>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</si>
  <si>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</si>
  <si>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</si>
  <si>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</si>
  <si>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</si>
  <si>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</si>
  <si>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</si>
  <si>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</si>
  <si>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</si>
  <si>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</si>
  <si>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</si>
  <si>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</si>
  <si>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</si>
  <si>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</si>
  <si>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</si>
  <si>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</si>
  <si>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</si>
  <si>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</si>
  <si>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</si>
  <si>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</si>
  <si>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</si>
  <si>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</si>
  <si>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</si>
  <si>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</si>
  <si>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</si>
  <si>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</si>
  <si>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</si>
  <si>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</si>
  <si>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</si>
  <si>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</si>
  <si>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</si>
  <si>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</si>
  <si>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</si>
  <si>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</si>
  <si>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</si>
  <si>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</si>
  <si>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</si>
  <si>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</si>
  <si>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</si>
  <si>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</si>
  <si>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</si>
  <si>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</si>
  <si>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</si>
  <si>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</si>
  <si>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</si>
  <si>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</si>
  <si>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</si>
  <si>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</si>
  <si>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</si>
  <si>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</si>
  <si>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</si>
  <si>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</si>
  <si>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</si>
  <si>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</si>
  <si>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</si>
  <si>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</si>
  <si>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</si>
  <si>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</si>
  <si>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</si>
  <si>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</si>
  <si>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</si>
  <si>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</si>
  <si>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</si>
  <si>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</si>
  <si>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</si>
  <si>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</si>
  <si>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</si>
  <si>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</si>
  <si>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</si>
  <si>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</si>
  <si>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</si>
  <si>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</si>
  <si>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</si>
  <si>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</si>
  <si>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</si>
  <si>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</si>
  <si>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</si>
  <si>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</si>
  <si>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</si>
  <si>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</si>
  <si>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</si>
  <si>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</si>
  <si>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</si>
  <si>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</si>
  <si>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</si>
  <si>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</si>
  <si>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</si>
  <si>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</si>
  <si>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</si>
  <si>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</si>
  <si>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</si>
  <si>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</si>
  <si>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</si>
  <si>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</si>
  <si>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</si>
  <si>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</si>
  <si>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</si>
  <si>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</si>
  <si>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</si>
  <si>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</si>
  <si>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</si>
  <si>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</si>
  <si>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</si>
  <si>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</si>
  <si>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</si>
  <si>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</si>
  <si>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</si>
  <si>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</si>
  <si>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</si>
  <si>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</si>
  <si>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</si>
  <si>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</si>
  <si>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</si>
  <si>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</si>
  <si>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</si>
  <si>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</si>
  <si>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</si>
  <si>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</si>
  <si>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</si>
  <si>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</si>
  <si>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</si>
  <si>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</si>
  <si>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</si>
  <si>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</si>
  <si>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</si>
  <si>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</si>
  <si>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</si>
  <si>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</si>
  <si>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</si>
  <si>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</si>
  <si>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</si>
  <si>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</si>
  <si>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</si>
  <si>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</si>
  <si>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</si>
  <si>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</si>
  <si>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</si>
  <si>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</si>
  <si>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</si>
  <si>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</si>
  <si>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</si>
  <si>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</si>
  <si>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</si>
  <si>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</si>
  <si>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</si>
  <si>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</si>
  <si>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</si>
  <si>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</si>
  <si>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</si>
  <si>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</si>
  <si>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</si>
  <si>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</si>
  <si>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</si>
  <si>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</si>
  <si>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</si>
  <si>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</si>
  <si>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</si>
  <si>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</si>
  <si>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</si>
  <si>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</si>
  <si>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</si>
  <si>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</si>
  <si>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</si>
  <si>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</si>
  <si>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</si>
  <si>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</si>
  <si>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</si>
  <si>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</si>
  <si>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</si>
  <si>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</si>
  <si>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</si>
  <si>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</si>
  <si>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</si>
  <si>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</si>
  <si>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</si>
  <si>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</si>
  <si>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</si>
  <si>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</si>
  <si>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</si>
  <si>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</si>
  <si>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</si>
  <si>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</si>
  <si>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</si>
  <si>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</si>
  <si>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</si>
  <si>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</si>
  <si>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</si>
  <si>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</si>
  <si>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</si>
  <si>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</si>
  <si>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</si>
  <si>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</si>
  <si>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</si>
  <si>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</si>
  <si>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</si>
  <si>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</si>
  <si>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</si>
  <si>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</si>
  <si>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</si>
  <si>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</si>
  <si>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</si>
  <si>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</si>
  <si>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</si>
  <si>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</si>
  <si>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</si>
  <si>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</si>
  <si>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</si>
  <si>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</si>
  <si>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</si>
  <si>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</si>
  <si>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</si>
  <si>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</si>
  <si>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</si>
  <si>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</si>
  <si>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</si>
  <si>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</si>
  <si>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</si>
  <si>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</si>
  <si>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</si>
  <si>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</si>
  <si>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</si>
  <si>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</si>
  <si>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</si>
  <si>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</si>
  <si>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</si>
  <si>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</si>
  <si>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</si>
  <si>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</si>
  <si>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</si>
  <si>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</si>
  <si>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</si>
  <si>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</si>
  <si>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</si>
  <si>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</si>
  <si>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</si>
  <si>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</si>
  <si>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</si>
  <si>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</si>
  <si>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</si>
  <si>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</si>
  <si>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</si>
  <si>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</si>
  <si>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</si>
  <si>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</si>
  <si>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</si>
  <si>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</si>
  <si>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</si>
  <si>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</si>
  <si>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</si>
  <si>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</si>
  <si>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</si>
  <si>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</si>
  <si>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</si>
  <si>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</si>
  <si>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</si>
  <si>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</si>
  <si>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</si>
  <si>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</si>
  <si>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</si>
  <si>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</si>
  <si>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</si>
  <si>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</si>
  <si>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</si>
  <si>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</si>
  <si>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</si>
  <si>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</si>
  <si>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</si>
  <si>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</si>
  <si>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</si>
  <si>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</si>
  <si>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</si>
  <si>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</si>
  <si>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</si>
  <si>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</si>
  <si>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</si>
  <si>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</si>
  <si>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</si>
  <si>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</si>
  <si>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</si>
  <si>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</si>
  <si>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</si>
  <si>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</si>
  <si>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</si>
  <si>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</si>
  <si>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</si>
  <si>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</si>
  <si>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</si>
  <si>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</si>
  <si>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</si>
  <si>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</si>
  <si>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</si>
  <si>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</si>
  <si>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</si>
  <si>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</si>
  <si>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</si>
  <si>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</si>
  <si>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</si>
  <si>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</si>
  <si>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</si>
  <si>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</si>
  <si>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</si>
  <si>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</si>
  <si>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</si>
  <si>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</si>
  <si>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</si>
  <si>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</si>
  <si>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</si>
  <si>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</si>
  <si>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</si>
  <si>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</si>
  <si>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</si>
  <si>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</si>
  <si>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</si>
  <si>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</si>
  <si>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</si>
  <si>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</si>
  <si>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</si>
  <si>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</si>
  <si>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</si>
  <si>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</si>
  <si>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</si>
  <si>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</si>
  <si>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</si>
  <si>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</si>
  <si>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</si>
  <si>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</si>
  <si>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</si>
  <si>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</si>
  <si>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</si>
  <si>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</si>
  <si>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</si>
  <si>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</si>
  <si>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</si>
  <si>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</si>
  <si>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</si>
  <si>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</si>
  <si>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</si>
  <si>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</si>
  <si>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</si>
  <si>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</si>
  <si>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</si>
  <si>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</si>
  <si>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</si>
  <si>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</si>
  <si>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</si>
  <si>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</si>
  <si>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</si>
  <si>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</si>
  <si>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</si>
  <si>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</si>
  <si>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</si>
  <si>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</si>
  <si>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</si>
  <si>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</si>
  <si>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</si>
  <si>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</si>
  <si>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</si>
  <si>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</si>
  <si>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</si>
  <si>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</si>
  <si>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</si>
  <si>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</si>
  <si>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</si>
  <si>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</si>
  <si>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</si>
  <si>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</si>
  <si>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</si>
  <si>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</si>
  <si>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</si>
  <si>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</si>
  <si>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</si>
  <si>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</si>
  <si>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</si>
  <si>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</si>
  <si>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</si>
  <si>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</si>
  <si>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</si>
  <si>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</si>
  <si>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</si>
  <si>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</si>
  <si>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</si>
  <si>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</si>
  <si>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</si>
  <si>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</si>
  <si>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</si>
  <si>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</si>
  <si>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</si>
  <si>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</si>
  <si>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</si>
  <si>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</si>
  <si>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</si>
  <si>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</si>
  <si>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</si>
  <si>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</si>
  <si>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</si>
  <si>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</si>
  <si>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</si>
  <si>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</si>
  <si>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</si>
  <si>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</si>
  <si>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</si>
  <si>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</si>
  <si>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</si>
  <si>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</si>
  <si>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</si>
  <si>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</si>
  <si>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</si>
  <si>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</si>
  <si>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</si>
  <si>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</si>
  <si>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</si>
  <si>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</si>
  <si>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</si>
  <si>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</si>
  <si>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</si>
  <si>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</si>
  <si>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</si>
  <si>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</si>
  <si>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</si>
  <si>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</si>
  <si>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</si>
  <si>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</si>
  <si>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</si>
  <si>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</si>
  <si>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</si>
  <si>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</si>
  <si>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</si>
  <si>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</si>
  <si>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</si>
  <si>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</si>
  <si>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</si>
  <si>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</si>
  <si>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</si>
  <si>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</si>
  <si>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</si>
  <si>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</si>
  <si>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</si>
  <si>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</si>
  <si>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</si>
  <si>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</si>
  <si>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</si>
  <si>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</si>
  <si>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</si>
  <si>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</si>
  <si>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</si>
  <si>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</si>
  <si>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</si>
  <si>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</si>
  <si>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</si>
  <si>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</si>
  <si>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</si>
  <si>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</si>
  <si>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</si>
  <si>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</si>
  <si>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</si>
  <si>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</si>
  <si>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</si>
  <si>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</si>
  <si>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</si>
  <si>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</si>
  <si>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</si>
  <si>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</si>
  <si>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</si>
  <si>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</si>
  <si>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</si>
  <si>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</si>
  <si>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</si>
  <si>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</si>
  <si>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</si>
  <si>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</si>
  <si>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</si>
  <si>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</si>
  <si>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</si>
  <si>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</si>
  <si>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</si>
  <si>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</si>
  <si>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</si>
  <si>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</si>
  <si>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</si>
  <si>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</si>
  <si>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</si>
  <si>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</si>
  <si>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</si>
  <si>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</si>
  <si>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</si>
  <si>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</si>
  <si>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</si>
  <si>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</si>
  <si>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</si>
  <si>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</si>
  <si>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</si>
  <si>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</si>
  <si>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</si>
  <si>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</si>
  <si>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</si>
  <si>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</si>
  <si>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</si>
  <si>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</si>
  <si>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</si>
  <si>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</si>
  <si>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</si>
  <si>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</si>
  <si>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</si>
  <si>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</si>
  <si>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</si>
  <si>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</si>
  <si>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</si>
  <si>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</si>
  <si>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</si>
  <si>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</si>
  <si>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</si>
  <si>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</si>
  <si>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</si>
  <si>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</si>
  <si>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</si>
  <si>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</si>
  <si>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</si>
  <si>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</si>
  <si>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</si>
  <si>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</si>
  <si>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</si>
  <si>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</si>
  <si>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</si>
  <si>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</si>
  <si>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</si>
  <si>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</si>
  <si>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</si>
  <si>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</si>
  <si>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</si>
  <si>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</si>
  <si>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</si>
  <si>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</si>
  <si>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</si>
  <si>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</si>
  <si>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</si>
  <si>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</si>
  <si>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</si>
  <si>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</si>
  <si>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</si>
  <si>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</si>
  <si>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</si>
  <si>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</si>
  <si>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</si>
  <si>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</si>
  <si>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</si>
  <si>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</si>
  <si>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</si>
  <si>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</si>
  <si>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</si>
  <si>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</si>
  <si>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</si>
  <si>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</si>
  <si>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</si>
  <si>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</si>
  <si>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</si>
  <si>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</si>
  <si>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</si>
  <si>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</si>
  <si>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</si>
  <si>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</si>
  <si>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</si>
  <si>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</si>
  <si>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</si>
  <si>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</si>
  <si>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</si>
  <si>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</si>
  <si>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</si>
  <si>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</si>
  <si>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</si>
  <si>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</si>
  <si>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</si>
  <si>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</si>
  <si>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</si>
  <si>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</si>
  <si>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</si>
  <si>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</si>
  <si>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</si>
  <si>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</si>
  <si>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</si>
  <si>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</si>
  <si>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</si>
  <si>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</si>
  <si>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</si>
  <si>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</si>
  <si>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</si>
  <si>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</si>
  <si>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</si>
  <si>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</si>
  <si>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</si>
  <si>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</si>
  <si>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</si>
  <si>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</si>
  <si>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</si>
  <si>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</si>
  <si>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</si>
  <si>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</si>
  <si>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</si>
  <si>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</si>
  <si>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</si>
  <si>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</si>
  <si>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</si>
  <si>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</si>
  <si>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</si>
  <si>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</si>
  <si>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</si>
  <si>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</si>
  <si>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</si>
  <si>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</si>
  <si>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</si>
  <si>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</si>
  <si>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</si>
  <si>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</si>
  <si>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</si>
  <si>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</si>
  <si>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</si>
  <si>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</si>
  <si>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</si>
  <si>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</si>
  <si>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</si>
  <si>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</si>
  <si>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</si>
  <si>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</si>
  <si>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</si>
  <si>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</si>
  <si>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</si>
  <si>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</si>
  <si>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</si>
  <si>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</si>
  <si>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</si>
  <si>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</si>
  <si>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</si>
  <si>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</si>
  <si>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</si>
  <si>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</si>
  <si>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</si>
  <si>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</si>
  <si>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</si>
  <si>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</si>
  <si>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</si>
  <si>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</si>
  <si>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</si>
  <si>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</si>
  <si>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</si>
  <si>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</si>
  <si>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</si>
  <si>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</si>
  <si>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</si>
  <si>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</si>
  <si>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</si>
  <si>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</si>
  <si>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</si>
  <si>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</si>
  <si>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</si>
  <si>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</si>
  <si>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</si>
  <si>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</si>
  <si>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</si>
  <si>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</si>
  <si>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</si>
  <si>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</si>
  <si>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OSCAR CUESTA</t>
  </si>
  <si>
    <t>9:23</t>
  </si>
  <si>
    <t>5:36</t>
  </si>
  <si>
    <t>Huge, huge work, guys. You make this whole thing so easy, even in the tricky plays. Don't relax;)</t>
  </si>
  <si>
    <t>FLORIAN GOECKLER</t>
  </si>
  <si>
    <t>ANREAS PAUL LANGBEIN</t>
  </si>
  <si>
    <t>RALF WAGNER</t>
  </si>
  <si>
    <t>CARSTEN STOCKER</t>
  </si>
  <si>
    <t>CHRISTIAN GRUPP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</si>
</sst>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17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17_167_ULM_BUD_U2025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U2025</v>
      </c>
      <c r="C2" s="123">
        <v>167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46056.791666666664</v>
      </c>
      <c r="C3" s="157"/>
      <c r="D3" s="39">
        <v>651</v>
      </c>
      <c r="E3" s="29"/>
      <c r="F3" s="26">
        <f>SUBTOTAL(3,I17:I106)</f>
        <v>2</v>
      </c>
      <c r="G3" s="27">
        <f>IF(OR(D3="",D3=0),"",F3/D3)</f>
        <v>3.0721966205837174E-3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ratiopharm Ulm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ULM</v>
      </c>
      <c r="I4" s="5"/>
      <c r="J4" s="119" t="s">
        <v>714</v>
      </c>
      <c r="K4" s="54" t="s">
        <v>743</v>
      </c>
      <c r="L4" s="5"/>
      <c r="M4" s="167" t="s">
        <v>829</v>
      </c>
      <c r="N4" s="168"/>
      <c r="O4" s="2"/>
      <c r="P4" s="2"/>
      <c r="Q4" s="84" t="s">
        <v>175</v>
      </c>
      <c r="R4" s="94">
        <f>(IF(G3="",0,G3))</f>
        <v>3.0721966205837174E-3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Buducnost VOLI Podgorica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BUD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0.30721966205837176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830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831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1.8072196620583718</v>
      </c>
      <c r="N7" s="58"/>
      <c r="O7" s="2"/>
      <c r="P7" s="2"/>
      <c r="Q7" s="86">
        <f>SUM(R5,S5,AC16)</f>
        <v>1.8072196620583718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832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1.8072196620583718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833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834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167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826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U2025</v>
      </c>
      <c r="C17" s="31">
        <f t="shared" ref="C17:C48" si="3">IF(I17="","",$C$2)</f>
        <v>167</v>
      </c>
      <c r="D17" s="32" t="s">
        <v>827</v>
      </c>
      <c r="E17" s="33">
        <v>1</v>
      </c>
      <c r="F17" s="36">
        <v>21</v>
      </c>
      <c r="G17" s="36">
        <v>25</v>
      </c>
      <c r="H17" s="38" t="str">
        <f>IF(I17="","",$I$14)</f>
        <v>SCOUTING</v>
      </c>
      <c r="I17" s="34">
        <v>155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U2025</v>
      </c>
      <c r="C18" s="31">
        <f t="shared" si="3"/>
        <v>167</v>
      </c>
      <c r="D18" s="32" t="s">
        <v>828</v>
      </c>
      <c r="E18" s="33">
        <v>2</v>
      </c>
      <c r="F18" s="36">
        <v>31</v>
      </c>
      <c r="G18" s="36">
        <v>32</v>
      </c>
      <c r="H18" s="38" t="str">
        <f t="shared" ref="H18:H81" si="8">IF(I18="","",$I$14)</f>
        <v>SCOUTING</v>
      </c>
      <c r="I18" s="34">
        <v>207</v>
      </c>
      <c r="J18" s="13" t="s">
        <v>4</v>
      </c>
      <c r="K18" s="13" t="s">
        <v>63</v>
      </c>
      <c r="L18" s="13" t="s">
        <v>6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REPORT_U2025167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"U2025167"</v>
      </c>
      <c r="F3" s="45" t="str">
        <f t="shared" ref="F3:F16" si="0">""""&amp;B3&amp;"""" &amp; " : " &amp;C3&amp;","</f>
        <v>"name" : "U2025167",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"U167"</v>
      </c>
      <c r="F4" s="45" t="str">
        <f t="shared" si="0"/>
        <v>"cod" : "U167",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167</v>
      </c>
      <c r="F6" s="45" t="str">
        <f t="shared" si="0"/>
        <v>"number" : 167,</v>
      </c>
    </row>
    <row r="7" spans="2:6" x14ac:dyDescent="0.25">
      <c r="B7" s="43" t="s">
        <v>116</v>
      </c>
      <c r="C7" s="43" t="str">
        <f ca="1">""""&amp;TEXT('SCOUT &amp; LOGISTICS'!B3,"dd/mm/aaaa")&amp;""""</f>
        <v>"03/02/2026"</v>
      </c>
      <c r="F7" s="45" t="str">
        <f t="shared" ca="1" si="0"/>
        <v>"date" : "03/02/2026",</v>
      </c>
    </row>
    <row r="8" spans="2:6" x14ac:dyDescent="0.25">
      <c r="B8" s="43" t="s">
        <v>125</v>
      </c>
      <c r="C8" s="43" t="str">
        <f>""""&amp;'SCOUT &amp; LOGISTICS'!D4 &amp;""""</f>
        <v>"ratiopharm Ulm"</v>
      </c>
      <c r="F8" s="45" t="str">
        <f t="shared" si="0"/>
        <v>"home_team" : "ratiopharm Ulm",</v>
      </c>
    </row>
    <row r="9" spans="2:6" x14ac:dyDescent="0.25">
      <c r="B9" s="43" t="s">
        <v>126</v>
      </c>
      <c r="C9" s="43" t="str">
        <f>""""&amp;'SCOUT &amp; LOGISTICS'!D5&amp;""""</f>
        <v>"Buducnost VOLI Podgorica"</v>
      </c>
      <c r="F9" s="45" t="str">
        <f t="shared" si="0"/>
        <v>"away_team" : "Buducnost VOLI Podgorica",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"FLORIAN GOECKLER"</v>
      </c>
      <c r="F10" s="45" t="str">
        <f t="shared" si="0"/>
        <v>"Data_entry" : "FLORIAN GOECKLER",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"ANREAS PAUL LANGBEIN"</v>
      </c>
      <c r="F11" s="45" t="str">
        <f t="shared" si="0"/>
        <v>"Caller_1" : "ANREAS PAUL LANGBEIN",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"RALF WAGNER"</v>
      </c>
      <c r="F12" s="45" t="str">
        <f t="shared" si="0"/>
        <v>"Caller_2" : "RALF WAGNER",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"CARSTEN STOCKER"</v>
      </c>
      <c r="F13" s="45" t="str">
        <f t="shared" si="0"/>
        <v>"Timerkeeper" : "CARSTEN STOCKER",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"CHRISTIAN GRUPP"</v>
      </c>
      <c r="F14" s="45" t="str">
        <f t="shared" si="0"/>
        <v>"Shotclock" : "CHRISTIAN GRUPP",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651</v>
      </c>
      <c r="F25" s="45" t="str">
        <f t="shared" ref="F25:F48" si="1">""""&amp;C25&amp;"""" &amp; " : " &amp;D25&amp;","</f>
        <v>"total_actions" : 651,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"0,3%"</v>
      </c>
      <c r="F27" s="45" t="str">
        <f t="shared" si="1"/>
        <v>"%_corrections" : "0,3%",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"Huge, huge work, guys. You make this whole thing so easy, even in the tricky plays. Don't relax;)"</v>
      </c>
      <c r="F51" s="45" t="str">
        <f>""""&amp;B51&amp;"""" &amp; " : " &amp;C51&amp;","</f>
        <v>"comments" : "Huge, huge work, guys. You make this whole thing so easy, even in the tricky plays. Don't relax;)",</v>
      </c>
    </row>
    <row r="52" spans="2:6" x14ac:dyDescent="0.25">
      <c r="B52" s="43" t="s">
        <v>153</v>
      </c>
      <c r="C52" s="43" t="str">
        <f>TEXT('SCOUT &amp; LOGISTICS'!F1,"0,0")</f>
        <v>17_167_ULM_BUD_U2025</v>
      </c>
      <c r="F52" s="45" t="str">
        <f>""""&amp;B52&amp;"""" &amp; " : " &amp;C52</f>
        <v>"result" : 17_167_ULM_BUD_U2025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U167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03/02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Ratiopharm Ulm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Buducnost Voli Podgorica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FLORIAN GOECKLER</v>
      </c>
      <c r="C8" s="206"/>
      <c r="D8" s="206"/>
      <c r="E8" s="206"/>
      <c r="F8" s="206"/>
      <c r="G8" s="206" t="str">
        <f>IF('SCOUT &amp; LOGISTICS'!D7="","",'SCOUT &amp; LOGISTICS'!D7)</f>
        <v>ANREAS PAUL LANGBEIN</v>
      </c>
      <c r="H8" s="206"/>
      <c r="I8" s="206"/>
      <c r="J8" s="206"/>
      <c r="K8" s="206"/>
      <c r="L8" s="206" t="str">
        <f>IF('SCOUT &amp; LOGISTICS'!D8="","",'SCOUT &amp; LOGISTICS'!D8)</f>
        <v>RALF WAGNER</v>
      </c>
      <c r="M8" s="206"/>
      <c r="N8" s="206"/>
      <c r="O8" s="206"/>
      <c r="P8" s="206"/>
      <c r="Q8" s="206" t="str">
        <f>IF('SCOUT &amp; LOGISTICS'!D9="","",'SCOUT &amp; LOGISTICS'!D9)</f>
        <v>CARSTEN STOCKER</v>
      </c>
      <c r="R8" s="206"/>
      <c r="S8" s="206"/>
      <c r="T8" s="206"/>
      <c r="U8" s="206"/>
      <c r="V8" s="206" t="str">
        <f>IF('SCOUT &amp; LOGISTICS'!D10="","",'SCOUT &amp; LOGISTICS'!D10)</f>
        <v>CHRISTIAN GRUPP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651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3.0721966205837174E-3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Huge, huge work, guys. You make this whole thing so easy, even in the tricky plays. Don't relax;)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1.8072196620583718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55EA0D-B43A-4AD9-83EC-1C86A92DAC88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2026-02-03T20:30:20Z</cp:lastPrinted>
  <dcterms:created xsi:type="dcterms:W3CDTF">2023-09-19T19:50:35Z</dcterms:created>
  <dcterms:modified xsi:type="dcterms:W3CDTF">2026-02-03T20:30:27Z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