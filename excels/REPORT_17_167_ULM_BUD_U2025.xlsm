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C70FC80-FBE5-4BA6-AFD7-7618A76CFE7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<sst xmlns="http://schemas.openxmlformats.org/spreadsheetml/2006/main" count="3321" uniqueCount="826">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</sst>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17_167_ULM_BUD_U2025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167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46056.791666666664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ratiopharm Ulm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ULM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Buducnost VOLI Podgorica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BUD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REPORT_U2025167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"U2025167"</v>
      </c>
      <c r="F3" s="45" t="str">
        <f t="shared" ref="F3:F16" si="0">""""&amp;B3&amp;"""" &amp; " : " &amp;C3&amp;","</f>
        <v>"name" : "U2025167",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"U167"</v>
      </c>
      <c r="F4" s="45" t="str">
        <f t="shared" si="0"/>
        <v>"cod" : "U167",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167</v>
      </c>
      <c r="F6" s="45" t="str">
        <f t="shared" si="0"/>
        <v>"number" : 167,</v>
      </c>
    </row>
    <row r="7" spans="2:6" x14ac:dyDescent="0.2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">
      <c r="B8" s="43" t="s">
        <v>125</v>
      </c>
      <c r="C8" s="43" t="str">
        <f>""""&amp;'SCOUT &amp; LOGISTICS'!D4 &amp;""""</f>
        <v>"ratiopharm Ulm"</v>
      </c>
      <c r="F8" s="45" t="str">
        <f t="shared" si="0"/>
        <v>"home_team" : "ratiopharm Ulm",</v>
      </c>
    </row>
    <row r="9" spans="2:6" x14ac:dyDescent="0.2">
      <c r="B9" s="43" t="s">
        <v>126</v>
      </c>
      <c r="C9" s="43" t="str">
        <f>""""&amp;'SCOUT &amp; LOGISTICS'!D5&amp;""""</f>
        <v>"Buducnost VOLI Podgorica"</v>
      </c>
      <c r="F9" s="45" t="str">
        <f t="shared" si="0"/>
        <v>"away_team" : "Buducnost VOLI Podgorica",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17_167_ULM_BUD_U2025</v>
      </c>
      <c r="F52" s="45" t="str">
        <f>""""&amp;B52&amp;"""" &amp; " : " &amp;C52</f>
        <v>"result" : 17_167_ULM_BUD_U2025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U167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03/02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Ratiopharm Ulm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Buducnost Voli Podgorica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D62D5DD-BB13-4E67-8965-7415B3D1817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2026-01-07T21:16:11Z</cp:lastPrinted>
  <dcterms:created xsi:type="dcterms:W3CDTF">2023-09-19T19:50:35Z</dcterms:created>
  <dcterms:modified xsi:type="dcterms:W3CDTF">2026-01-07T21:16:20Z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