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5FF05CE-E0DD-4A94-84A3-70EABE82EF9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<sst xmlns="http://schemas.openxmlformats.org/spreadsheetml/2006/main" count="3321" uniqueCount="826">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</sst>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17_168_NIN_TRN_U2025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168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46057.791666666664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NINERS Chemnitz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NIN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Dolomiti Energia Trento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TRN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REPORT_U2025168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"U2025168"</v>
      </c>
      <c r="F3" s="45" t="str">
        <f t="shared" ref="F3:F16" si="0">""""&amp;B3&amp;"""" &amp; " : " &amp;C3&amp;","</f>
        <v>"name" : "U2025168",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"U168"</v>
      </c>
      <c r="F4" s="45" t="str">
        <f t="shared" si="0"/>
        <v>"cod" : "U168",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168</v>
      </c>
      <c r="F6" s="45" t="str">
        <f t="shared" si="0"/>
        <v>"number" : 168,</v>
      </c>
    </row>
    <row r="7" spans="2:6" x14ac:dyDescent="0.2">
      <c r="B7" s="43" t="s">
        <v>116</v>
      </c>
      <c r="C7" s="43" t="str">
        <f ca="1">""""&amp;TEXT('SCOUT &amp; LOGISTICS'!B3,"dd/mm/aaaa")&amp;""""</f>
        <v>"04/02/Wednesday"</v>
      </c>
      <c r="F7" s="45" t="str">
        <f t="shared" ca="1" si="0"/>
        <v>"date" : "04/02/Wednesday",</v>
      </c>
    </row>
    <row r="8" spans="2:6" x14ac:dyDescent="0.2">
      <c r="B8" s="43" t="s">
        <v>125</v>
      </c>
      <c r="C8" s="43" t="str">
        <f>""""&amp;'SCOUT &amp; LOGISTICS'!D4 &amp;""""</f>
        <v>"NINERS Chemnitz"</v>
      </c>
      <c r="F8" s="45" t="str">
        <f t="shared" si="0"/>
        <v>"home_team" : "NINERS Chemnitz",</v>
      </c>
    </row>
    <row r="9" spans="2:6" x14ac:dyDescent="0.2">
      <c r="B9" s="43" t="s">
        <v>126</v>
      </c>
      <c r="C9" s="43" t="str">
        <f>""""&amp;'SCOUT &amp; LOGISTICS'!D5&amp;""""</f>
        <v>"Dolomiti Energia Trento"</v>
      </c>
      <c r="F9" s="45" t="str">
        <f t="shared" si="0"/>
        <v>"away_team" : "Dolomiti Energia Trento",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17_168_NIN_TRN_U2025</v>
      </c>
      <c r="F52" s="45" t="str">
        <f>""""&amp;B52&amp;"""" &amp; " : " &amp;C52</f>
        <v>"result" : 17_168_NIN_TRN_U2025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U168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04/02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Niners Chemnitz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Dolomiti Energia Trento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E0A8F85-05EE-46E6-8A28-4DDCA4BABF0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2026-01-07T21:16:20Z</cp:lastPrinted>
  <dcterms:created xsi:type="dcterms:W3CDTF">2023-09-19T19:50:35Z</dcterms:created>
  <dcterms:modified xsi:type="dcterms:W3CDTF">2026-01-07T21:16:30Z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