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cup/"/>
    </mc:Choice>
  </mc:AlternateContent>
  <xr:revisionPtr revIDLastSave="110" documentId="8_{85FF05CE-E0DD-4A94-84A3-70EABE82EF9B}" xr6:coauthVersionLast="47" xr6:coauthVersionMax="47" xr10:uidLastSave="{98EC8C3A-E481-4A98-BE08-01DB68C0B561}"/>
  <bookViews>
    <workbookView xWindow="-28920" yWindow="-2070" windowWidth="29040" windowHeight="15720" xr2:uid="{00000000-000D-0000-FFFF-FFFF00000000}"/>
  </bookViews>
  <sheets>
    <sheet name="SCOUT &amp; LOGISTICS" sheetId="1" r:id="rId1"/>
    <sheet name="Teams" sheetId="5"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1" i="1" l="1"/>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G29" i="2"/>
  <c r="AA5" i="1"/>
  <c r="L27" i="2"/>
  <c r="Z4" i="1"/>
  <c r="Z5" i="1" s="1"/>
  <c r="Y16" i="1"/>
  <c r="D37" i="4" s="1"/>
  <c r="F37" i="4" s="1"/>
  <c r="B25" i="2"/>
  <c r="X4" i="1"/>
  <c r="X5" i="1" s="1"/>
  <c r="L29" i="2"/>
  <c r="B27" i="2"/>
  <c r="U4" i="1"/>
  <c r="U5" i="1" s="1"/>
  <c r="G27" i="2"/>
  <c r="V4" i="1"/>
  <c r="V5" i="1" s="1"/>
  <c r="AA16" i="1"/>
  <c r="AF16" i="1"/>
  <c r="AC16" i="1"/>
  <c r="W5"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<sst xmlns="http://schemas.openxmlformats.org/spreadsheetml/2006/main" count="3382" uniqueCount="843">
  <si>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</si>
  <si>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</si>
  <si>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</si>
  <si>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</si>
  <si>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</si>
  <si>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</si>
  <si>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</si>
  <si>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</si>
  <si>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</si>
  <si>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</si>
  <si>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</si>
  <si>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</si>
  <si>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</si>
  <si>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</si>
  <si>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</si>
  <si>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</si>
  <si>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</si>
  <si>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</si>
  <si>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</si>
  <si>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</si>
  <si>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</si>
  <si>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</si>
  <si>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</si>
  <si>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</si>
  <si>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</si>
  <si>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</si>
  <si>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</si>
  <si>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</si>
  <si>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</si>
  <si>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</si>
  <si>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</si>
  <si>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</si>
  <si>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</si>
  <si>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</si>
  <si>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</si>
  <si>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</si>
  <si>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</si>
  <si>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</si>
  <si>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</si>
  <si>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</si>
  <si>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</si>
  <si>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</si>
  <si>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</si>
  <si>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</si>
  <si>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</si>
  <si>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</si>
  <si>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</si>
  <si>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</si>
  <si>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</si>
  <si>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</si>
  <si>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</si>
  <si>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</si>
  <si>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</si>
  <si>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</si>
  <si>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</si>
  <si>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</si>
  <si>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</si>
  <si>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</si>
  <si>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</si>
  <si>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</si>
  <si>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</si>
  <si>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</si>
  <si>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</si>
  <si>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</si>
  <si>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</si>
  <si>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</si>
  <si>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</si>
  <si>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</si>
  <si>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</si>
  <si>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</si>
  <si>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</si>
  <si>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</si>
  <si>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</si>
  <si>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</si>
  <si>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</si>
  <si>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</si>
  <si>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</si>
  <si>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</si>
  <si>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</si>
  <si>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</si>
  <si>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</si>
  <si>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</si>
  <si>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</si>
  <si>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</si>
  <si>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</si>
  <si>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</si>
  <si>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</si>
  <si>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</si>
  <si>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</si>
  <si>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</si>
  <si>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</si>
  <si>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</si>
  <si>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</si>
  <si>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</si>
  <si>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</si>
  <si>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</si>
  <si>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</si>
  <si>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</si>
  <si>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</si>
  <si>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</si>
  <si>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</si>
  <si>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</si>
  <si>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</si>
  <si>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</si>
  <si>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</si>
  <si>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</si>
  <si>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</si>
  <si>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</si>
  <si>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</si>
  <si>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</si>
  <si>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</si>
  <si>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</si>
  <si>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</si>
  <si>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</si>
  <si>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</si>
  <si>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</si>
  <si>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</si>
  <si>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</si>
  <si>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</si>
  <si>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</si>
  <si>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</si>
  <si>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</si>
  <si>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</si>
  <si>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</si>
  <si>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</si>
  <si>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</si>
  <si>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</si>
  <si>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</si>
  <si>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</si>
  <si>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</si>
  <si>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</si>
  <si>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</si>
  <si>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</si>
  <si>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</si>
  <si>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</si>
  <si>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</si>
  <si>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</si>
  <si>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</si>
  <si>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</si>
  <si>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</si>
  <si>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</si>
  <si>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</si>
  <si>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</si>
  <si>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</si>
  <si>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</si>
  <si>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</si>
  <si>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</si>
  <si>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</si>
  <si>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</si>
  <si>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</si>
  <si>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</si>
  <si>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</si>
  <si>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</si>
  <si>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</si>
  <si>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</si>
  <si>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</si>
  <si>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</si>
  <si>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</si>
  <si>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</si>
  <si>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</si>
  <si>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</si>
  <si>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</si>
  <si>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</si>
  <si>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</si>
  <si>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</si>
  <si>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</si>
  <si>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</si>
  <si>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</si>
  <si>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</si>
  <si>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</si>
  <si>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</si>
  <si>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</si>
  <si>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</si>
  <si>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</si>
  <si>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</si>
  <si>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</si>
  <si>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</si>
  <si>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</si>
  <si>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</si>
  <si>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</si>
  <si>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</si>
  <si>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</si>
  <si>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</si>
  <si>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</si>
  <si>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</si>
  <si>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</si>
  <si>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</si>
  <si>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</si>
  <si>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</si>
  <si>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</si>
  <si>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</si>
  <si>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</si>
  <si>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</si>
  <si>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</si>
  <si>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</si>
  <si>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</si>
  <si>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</si>
  <si>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</si>
  <si>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</si>
  <si>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</si>
  <si>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</si>
  <si>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</si>
  <si>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</si>
  <si>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</si>
  <si>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</si>
  <si>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</si>
  <si>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</si>
  <si>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</si>
  <si>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</si>
  <si>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</si>
  <si>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</si>
  <si>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</si>
  <si>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</si>
  <si>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</si>
  <si>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</si>
  <si>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</si>
  <si>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</si>
  <si>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</si>
  <si>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</si>
  <si>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</si>
  <si>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</si>
  <si>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</si>
  <si>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</si>
  <si>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</si>
  <si>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</si>
  <si>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</si>
  <si>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</si>
  <si>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</si>
  <si>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</si>
  <si>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</si>
  <si>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</si>
  <si>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</si>
  <si>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</si>
  <si>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</si>
  <si>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</si>
  <si>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</si>
  <si>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</si>
  <si>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</si>
  <si>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</si>
  <si>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</si>
  <si>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</si>
  <si>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</si>
  <si>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</si>
  <si>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</si>
  <si>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</si>
  <si>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</si>
  <si>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</si>
  <si>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</si>
  <si>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</si>
  <si>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</si>
  <si>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</si>
  <si>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</si>
  <si>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</si>
  <si>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</si>
  <si>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</si>
  <si>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</si>
  <si>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</si>
  <si>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</si>
  <si>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</si>
  <si>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</si>
  <si>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</si>
  <si>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</si>
  <si>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</si>
  <si>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</si>
  <si>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</si>
  <si>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</si>
  <si>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</si>
  <si>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</si>
  <si>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</si>
  <si>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</si>
  <si>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</si>
  <si>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</si>
  <si>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</si>
  <si>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</si>
  <si>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</si>
  <si>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</si>
  <si>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</si>
  <si>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</si>
  <si>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</si>
  <si>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</si>
  <si>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</si>
  <si>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</si>
  <si>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</si>
  <si>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</si>
  <si>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</si>
  <si>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</si>
  <si>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</si>
  <si>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</si>
  <si>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</si>
  <si>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</si>
  <si>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</si>
  <si>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</si>
  <si>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</si>
  <si>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</si>
  <si>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</si>
  <si>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</si>
  <si>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</si>
  <si>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</si>
  <si>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</si>
  <si>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</si>
  <si>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</si>
  <si>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</si>
  <si>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</si>
  <si>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</si>
  <si>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</si>
  <si>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</si>
  <si>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</si>
  <si>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</si>
  <si>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</si>
  <si>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</si>
  <si>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</si>
  <si>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</si>
  <si>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</si>
  <si>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</si>
  <si>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</si>
  <si>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</si>
  <si>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</si>
  <si>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</si>
  <si>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</si>
  <si>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</si>
  <si>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</si>
  <si>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</si>
  <si>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</si>
  <si>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</si>
  <si>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</si>
  <si>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</si>
  <si>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</si>
  <si>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</si>
  <si>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</si>
  <si>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</si>
  <si>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</si>
  <si>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</si>
  <si>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</si>
  <si>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</si>
  <si>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</si>
  <si>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</si>
  <si>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</si>
  <si>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</si>
  <si>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</si>
  <si>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</si>
  <si>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</si>
  <si>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</si>
  <si>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</si>
  <si>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</si>
  <si>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</si>
  <si>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</si>
  <si>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</si>
  <si>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</si>
  <si>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</si>
  <si>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</si>
  <si>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</si>
  <si>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</si>
  <si>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</si>
  <si>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</si>
  <si>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</si>
  <si>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</si>
  <si>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</si>
  <si>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</si>
  <si>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</si>
  <si>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</si>
  <si>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</si>
  <si>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</si>
  <si>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</si>
  <si>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</si>
  <si>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</si>
  <si>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</si>
  <si>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</si>
  <si>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</si>
  <si>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</si>
  <si>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</si>
  <si>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</si>
  <si>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</si>
  <si>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</si>
  <si>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</si>
  <si>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</si>
  <si>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</si>
  <si>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</si>
  <si>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</si>
  <si>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</si>
  <si>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</si>
  <si>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</si>
  <si>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</si>
  <si>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</si>
  <si>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</si>
  <si>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</si>
  <si>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</si>
  <si>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</si>
  <si>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</si>
  <si>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</si>
  <si>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</si>
  <si>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</si>
  <si>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</si>
  <si>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</si>
  <si>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</si>
  <si>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</si>
  <si>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</si>
  <si>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</si>
  <si>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</si>
  <si>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</si>
  <si>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</si>
  <si>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</si>
  <si>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</si>
  <si>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</si>
  <si>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</si>
  <si>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</si>
  <si>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</si>
  <si>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</si>
  <si>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</si>
  <si>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</si>
  <si>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</si>
  <si>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</si>
  <si>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</si>
  <si>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</si>
  <si>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</si>
  <si>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</si>
  <si>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</si>
  <si>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</si>
  <si>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</si>
  <si>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</si>
  <si>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</si>
  <si>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</si>
  <si>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</si>
  <si>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</si>
  <si>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</si>
  <si>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</si>
  <si>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</si>
  <si>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</si>
  <si>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</si>
  <si>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</si>
  <si>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</si>
  <si>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</si>
  <si>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</si>
  <si>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</si>
  <si>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</si>
  <si>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</si>
  <si>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</si>
  <si>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</si>
  <si>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</si>
  <si>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</si>
  <si>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</si>
  <si>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</si>
  <si>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</si>
  <si>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</si>
  <si>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</si>
  <si>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</si>
  <si>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</si>
  <si>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</si>
  <si>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</si>
  <si>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</si>
  <si>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</si>
  <si>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</si>
  <si>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</si>
  <si>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</si>
  <si>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</si>
  <si>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</si>
  <si>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</si>
  <si>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</si>
  <si>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</si>
  <si>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</si>
  <si>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</si>
  <si>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</si>
  <si>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</si>
  <si>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</si>
  <si>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</si>
  <si>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</si>
  <si>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</si>
  <si>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</si>
  <si>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</si>
  <si>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</si>
  <si>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</si>
  <si>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</si>
  <si>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</si>
  <si>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</si>
  <si>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</si>
  <si>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</si>
  <si>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</si>
  <si>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</si>
  <si>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</si>
  <si>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</si>
  <si>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</si>
  <si>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</si>
  <si>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</si>
  <si>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</si>
  <si>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</si>
  <si>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</si>
  <si>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</si>
  <si>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</si>
  <si>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</si>
  <si>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</si>
  <si>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</si>
  <si>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</si>
  <si>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</si>
  <si>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</si>
  <si>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</si>
  <si>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</si>
  <si>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</si>
  <si>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</si>
  <si>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</si>
  <si>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</si>
  <si>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</si>
  <si>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</si>
  <si>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</si>
  <si>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</si>
  <si>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</si>
  <si>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</si>
  <si>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</si>
  <si>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</si>
  <si>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</si>
  <si>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</si>
  <si>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</si>
  <si>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</si>
  <si>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</si>
  <si>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</si>
  <si>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</si>
  <si>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</si>
  <si>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</si>
  <si>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</si>
  <si>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</si>
  <si>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</si>
  <si>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</si>
  <si>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</si>
  <si>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</si>
  <si>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</si>
  <si>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</si>
  <si>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</si>
  <si>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</si>
  <si>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</si>
  <si>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</si>
  <si>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</si>
  <si>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</si>
  <si>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</si>
  <si>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</si>
  <si>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</si>
  <si>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</si>
  <si>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</si>
  <si>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</si>
  <si>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</si>
  <si>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</si>
  <si>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</si>
  <si>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</si>
  <si>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</si>
  <si>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</si>
  <si>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</si>
  <si>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</si>
  <si>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</si>
  <si>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</si>
  <si>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</si>
  <si>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</si>
  <si>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</si>
  <si>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</si>
  <si>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</si>
  <si>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</si>
  <si>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</si>
  <si>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</si>
  <si>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</si>
  <si>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</si>
  <si>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</si>
  <si>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</si>
  <si>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</si>
  <si>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</si>
  <si>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</si>
  <si>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</si>
  <si>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</si>
  <si>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</si>
  <si>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</si>
  <si>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</si>
  <si>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</si>
  <si>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</si>
  <si>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</si>
  <si>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</si>
  <si>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</si>
  <si>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</si>
  <si>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</si>
  <si>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</si>
  <si>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</si>
  <si>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</si>
  <si>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</si>
  <si>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</si>
  <si>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</si>
  <si>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</si>
  <si>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</si>
  <si>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</si>
  <si>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</si>
  <si>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</si>
  <si>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</si>
  <si>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</si>
  <si>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</si>
  <si>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</si>
  <si>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</si>
  <si>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</si>
  <si>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</si>
  <si>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</si>
  <si>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</si>
  <si>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</si>
  <si>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</si>
  <si>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</si>
  <si>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</si>
  <si>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</si>
  <si>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</si>
  <si>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</si>
  <si>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</si>
  <si>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</si>
  <si>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</si>
  <si>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</si>
  <si>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</si>
  <si>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</si>
  <si>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</si>
  <si>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</si>
  <si>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</si>
  <si>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</si>
  <si>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</si>
  <si>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</si>
  <si>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</si>
  <si>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</si>
  <si>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</si>
  <si>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</si>
  <si>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</si>
  <si>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</si>
  <si>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</si>
  <si>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</si>
  <si>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</si>
  <si>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</si>
  <si>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</si>
  <si>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</si>
  <si>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</si>
  <si>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</si>
  <si>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</si>
  <si>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</si>
  <si>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</si>
  <si>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</si>
  <si>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</si>
  <si>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</si>
  <si>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</si>
  <si>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</si>
  <si>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</si>
  <si>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</si>
  <si>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</si>
  <si>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</si>
  <si>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</si>
  <si>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</si>
  <si>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</si>
  <si>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</si>
  <si>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</si>
  <si>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</si>
  <si>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</si>
  <si>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</si>
  <si>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</si>
  <si>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</si>
  <si>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</si>
  <si>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</si>
  <si>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</si>
  <si>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</si>
  <si>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</si>
  <si>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</si>
  <si>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</si>
  <si>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</si>
  <si>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</si>
  <si>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</si>
  <si>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</si>
  <si>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</si>
  <si>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</si>
  <si>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</si>
  <si>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</si>
  <si>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</si>
  <si>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</si>
  <si>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</si>
  <si>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</si>
  <si>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</si>
  <si>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</si>
  <si>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</si>
  <si>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</si>
  <si>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</si>
  <si>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</si>
  <si>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</si>
  <si>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</si>
  <si>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</si>
  <si>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</si>
  <si>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</si>
  <si>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</si>
  <si>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</si>
  <si>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</si>
  <si>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</si>
  <si>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</si>
  <si>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</si>
  <si>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</si>
  <si>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</si>
  <si>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</si>
  <si>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</si>
  <si>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</si>
  <si>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</si>
  <si>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</si>
  <si>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</si>
  <si>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</si>
  <si>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</si>
  <si>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</si>
  <si>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</si>
  <si>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</si>
  <si>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</si>
  <si>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</si>
  <si>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</si>
  <si>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</si>
  <si>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</si>
  <si>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</si>
  <si>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</si>
  <si>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</si>
  <si>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</si>
  <si>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</si>
  <si>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</si>
  <si>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</si>
  <si>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</si>
  <si>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</si>
  <si>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</si>
  <si>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</si>
  <si>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</si>
  <si>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</si>
  <si>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</si>
  <si>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</si>
  <si>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</si>
  <si>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</si>
  <si>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</si>
  <si>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</si>
  <si>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</si>
  <si>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</si>
  <si>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</si>
  <si>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</si>
  <si>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</si>
  <si>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</si>
  <si>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</si>
  <si>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</si>
  <si>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</si>
  <si>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</si>
  <si>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</si>
  <si>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</si>
  <si>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</si>
  <si>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</si>
  <si>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</si>
  <si>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</si>
  <si>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</si>
  <si>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</si>
  <si>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</si>
  <si>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</si>
  <si>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</si>
  <si>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c:\temp</t>
  </si>
  <si>
    <t>C:\Users\mario.enjuanes\EUROLEAGUE\EB STATS - General\SEASON 2025-26\Reports\Eurocup</t>
  </si>
  <si>
    <t>ANA KRSTIC</t>
  </si>
  <si>
    <t>SARA PROJOVIC</t>
  </si>
  <si>
    <t>IVANA VASILJEVIC</t>
  </si>
  <si>
    <t>PETAR VASILJEVIC</t>
  </si>
  <si>
    <t>PREDAG VASILJEVIC</t>
  </si>
  <si>
    <t>U</t>
  </si>
  <si>
    <t>DJAMEL SOUDANI</t>
  </si>
  <si>
    <t>BASTIEN BONNETON</t>
  </si>
  <si>
    <t>CYRIL LONGELIN</t>
  </si>
  <si>
    <t>MAGALI CARTIER</t>
  </si>
  <si>
    <t>AXEL QUENEY</t>
  </si>
  <si>
    <t>MONIKA NEDYALKOVA</t>
  </si>
  <si>
    <t>ANASTASIOS KARIOFYLIS</t>
  </si>
  <si>
    <t>SOLON MINAS</t>
  </si>
  <si>
    <t>ANGELOS KALOGERAKOS</t>
  </si>
  <si>
    <t>KRANIOTIS, KONSTANTINOS</t>
  </si>
  <si>
    <t>CHRISTOLIAKOU, MARIA ALEXANDRA</t>
  </si>
  <si>
    <t>KAROUMPALOU, ATHINA</t>
  </si>
  <si>
    <t>KARAGIAKIOULES, VASILEOS</t>
  </si>
  <si>
    <t>KOURTI, SPYRIDOULA</t>
  </si>
  <si>
    <t>KALESIORIS, ANASTASIS</t>
  </si>
  <si>
    <t>FRANCIS RUIZ</t>
  </si>
  <si>
    <t>LLUIS ESPINOSA</t>
  </si>
  <si>
    <t>LAILA GONELL</t>
  </si>
  <si>
    <t>ROBERTO BAÑOS</t>
  </si>
  <si>
    <t>MARIA JOSE SERRANO</t>
  </si>
  <si>
    <t>JESUS LOPEZ</t>
  </si>
  <si>
    <t>ENDER OZBEK</t>
  </si>
  <si>
    <t>SERTAC DOSTEL</t>
  </si>
  <si>
    <t>AHMET YILDIZ</t>
  </si>
  <si>
    <t>MERVE SAGLAM</t>
  </si>
  <si>
    <t>VASILJEVIC, PETAR</t>
  </si>
  <si>
    <t>VASILJEVIC, IVANA</t>
  </si>
  <si>
    <t>VASILJEVIC, PREDRAG</t>
  </si>
  <si>
    <t>PRPA, IVANA</t>
  </si>
  <si>
    <t>KRSTIC, ANA</t>
  </si>
  <si>
    <t>SONJA STANKOVIC</t>
  </si>
  <si>
    <t>JOVANA KRIVOKUCA-MILOVANOVIC</t>
  </si>
  <si>
    <t>JACOBO LAPRESTA</t>
  </si>
  <si>
    <t>JOSE ANTONIO RODRIGUEZ</t>
  </si>
  <si>
    <t>JOSE VICENTE ARQUES</t>
  </si>
  <si>
    <t>YOLANDA BAILACH MADERA</t>
  </si>
  <si>
    <t>CRISTINA TORRES</t>
  </si>
  <si>
    <t>BORJA RODRIGUEZ</t>
  </si>
  <si>
    <t>DANILO VESOVIC</t>
  </si>
  <si>
    <t>LUKA ANDRIC</t>
  </si>
  <si>
    <t>MARKO LEPOVIC</t>
  </si>
  <si>
    <t>BILJANA KOSTRES</t>
  </si>
  <si>
    <t>MILOS MOSIC</t>
  </si>
  <si>
    <t>MIODRAG STOJANOVIC</t>
  </si>
  <si>
    <t>ANA ANDREJIC</t>
  </si>
  <si>
    <t>BOJANA KRALJEVIC</t>
  </si>
  <si>
    <t>LJUPKA VUKOJEVIC</t>
  </si>
  <si>
    <t>JOVANA DOJCINOVIC</t>
  </si>
  <si>
    <t>GIEDRE GARCINSKAITE</t>
  </si>
  <si>
    <t>RASA KIZIKAITE</t>
  </si>
  <si>
    <t>AUKSE ZAKRIENE</t>
  </si>
  <si>
    <t>GINTARE BUKARTAITE</t>
  </si>
  <si>
    <t>MINDAUGAS RUDZEVICIUS</t>
  </si>
  <si>
    <t>NERIJUS MAINONIS</t>
  </si>
  <si>
    <t>STEPHANE DURIEUX</t>
  </si>
  <si>
    <t>JEAN-MARC MORENTE</t>
  </si>
  <si>
    <t>STEPHANE FITOUSSI</t>
  </si>
  <si>
    <t>VIRGINIE USCLADE</t>
  </si>
  <si>
    <t>CEDRIC LAURANCY</t>
  </si>
  <si>
    <t>KADER SI-TAYEB</t>
  </si>
  <si>
    <t>CATHERINE RICARD</t>
  </si>
  <si>
    <t>VANESSA CAUCHIE</t>
  </si>
  <si>
    <t>CLAUDINE CARADONNA</t>
  </si>
  <si>
    <t>CAROLINE MEUNIER</t>
  </si>
  <si>
    <t>ISABELLE GUITTI</t>
  </si>
  <si>
    <t>DAVID MARTINOTTI</t>
  </si>
  <si>
    <t>IVAN MOSIC</t>
  </si>
  <si>
    <t>MARIJANA GOLUBOVIC</t>
  </si>
  <si>
    <t>IVANA KRSTIC</t>
  </si>
  <si>
    <t>LUIS CALLEJA</t>
  </si>
  <si>
    <t>JAIME LAQUIDAIN</t>
  </si>
  <si>
    <t>MIGUEL PENALBA</t>
  </si>
  <si>
    <t>DANIEL MARTIN</t>
  </si>
  <si>
    <t>INES RAQUEL PIATKOWSKA</t>
  </si>
  <si>
    <t>ALVARO PENALBA</t>
  </si>
  <si>
    <t>Konstantinos Kroupis</t>
  </si>
  <si>
    <t>KIM THÄMMIG</t>
  </si>
  <si>
    <t>MARC ROTHE</t>
  </si>
  <si>
    <t>ALEXANDER JAHN</t>
  </si>
  <si>
    <t>SEBASTIAN LUCK</t>
  </si>
  <si>
    <t>FRANZISKA BRÜCKNER</t>
  </si>
  <si>
    <t>ORIOL GARCIA</t>
  </si>
  <si>
    <t>09:36</t>
  </si>
  <si>
    <t>05:11</t>
  </si>
  <si>
    <t>08:51</t>
  </si>
  <si>
    <t>01:40</t>
  </si>
  <si>
    <t>00:58</t>
  </si>
  <si>
    <t>08:27</t>
  </si>
  <si>
    <t>05:30</t>
  </si>
  <si>
    <t>05:15</t>
  </si>
  <si>
    <t>00:36</t>
  </si>
  <si>
    <t>Mani corrections on missing plays or number of the player who made the action. Try to keep an eye not only on the ball but everything that is happening on court. Good communication</t>
  </si>
  <si>
    <t>C:\Users\oriol.garcia\OneDrive - EUROLEAGUE\Documents\Season 25-26\Reports\Eurocup\Niners Chemnitz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</si>
</sst>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
    <numFmt numFmtId="166" formatCode="dd/mm/yyyy;@"/>
    <numFmt numFmtId="167" formatCode="00"/>
    <numFmt numFmtId="168" formatCode="0.0"/>
    <numFmt numFmtId="169" formatCode="dd\-mmm\-yy"/>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69"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69"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18" xfId="0" applyFont="1" applyFill="1" applyBorder="1" applyAlignment="1">
      <alignment horizontal="right" vertical="center"/>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0" fontId="32" fillId="15" borderId="35" xfId="0" applyFont="1" applyFill="1" applyBorder="1" applyAlignment="1" applyProtection="1">
      <alignment horizontal="center" vertical="center"/>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9" fillId="10" borderId="0" xfId="0" applyFont="1" applyFill="1" applyProtection="1">
      <protection hidden="1"/>
    </xf>
    <xf numFmtId="0" fontId="18" fillId="0" borderId="0" xfId="0" applyFont="1" applyProtection="1">
      <protection hidden="1"/>
    </xf>
    <xf numFmtId="0" fontId="31" fillId="16" borderId="35" xfId="0" applyFont="1" applyFill="1" applyBorder="1" applyAlignment="1" applyProtection="1">
      <alignment horizontal="center" vertical="center" wrapText="1"/>
      <protection hidden="1"/>
    </xf>
    <xf numFmtId="0" fontId="31"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33" fillId="0" borderId="35" xfId="0" applyFont="1" applyBorder="1" applyAlignment="1" applyProtection="1">
      <alignment horizontal="center" vertical="center"/>
      <protection hidden="1"/>
    </xf>
    <xf numFmtId="0" fontId="22" fillId="14" borderId="35" xfId="0" applyFont="1" applyFill="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21" fillId="14" borderId="35" xfId="0" applyFont="1" applyFill="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17" activePane="bottomRight" state="frozen"/>
      <selection pane="topRight" activeCell="H1" sqref="H1"/>
      <selection pane="bottomLeft" activeCell="A17" sqref="A17"/>
      <selection pane="bottomRight" activeCell="N30" sqref="N30"/>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87" hidden="1" customWidth="1"/>
    <col min="18" max="18" width="2.7265625" hidden="1" customWidth="1"/>
    <col min="19" max="20" width="2.7265625" style="91" hidden="1" customWidth="1"/>
    <col min="21" max="21" width="2.7265625" style="97" hidden="1" customWidth="1"/>
    <col min="22" max="24" width="2.7265625" style="91" hidden="1" customWidth="1"/>
    <col min="25" max="25" width="2.7265625" style="98" hidden="1" customWidth="1"/>
    <col min="26" max="26" width="9.54296875" style="87" hidden="1" customWidth="1"/>
    <col min="27" max="27" width="2.7265625" style="91" hidden="1" customWidth="1"/>
    <col min="28" max="28" width="2.7265625" style="97" hidden="1" customWidth="1"/>
    <col min="29" max="29" width="2.7265625" style="99" hidden="1" customWidth="1"/>
    <col min="30" max="30" width="2.7265625" style="91" hidden="1" customWidth="1"/>
    <col min="31" max="31" width="2.7265625" style="97" hidden="1" customWidth="1"/>
    <col min="32" max="46" width="2.7265625" style="91" hidden="1" customWidth="1"/>
    <col min="47" max="47" width="2.7265625" style="99" hidden="1" customWidth="1"/>
    <col min="48" max="48" width="2.7265625" style="91" hidden="1" customWidth="1"/>
    <col min="49" max="52" width="2.7265625" style="99" hidden="1" customWidth="1"/>
    <col min="53" max="53" width="2.7265625" style="91" hidden="1" customWidth="1"/>
    <col min="54" max="54" width="2.7265625" style="99" hidden="1" customWidth="1"/>
    <col min="55" max="71" width="2.7265625" style="91" hidden="1" customWidth="1"/>
    <col min="72" max="16384" width="2.7265625" style="64" hidden="1"/>
  </cols>
  <sheetData>
    <row r="1" spans="1:108" s="63" customFormat="1" ht="32.25" customHeight="1" thickBot="1" x14ac:dyDescent="0.3">
      <c r="A1" s="42"/>
      <c r="B1" s="53" t="s">
        <v>160</v>
      </c>
      <c r="C1" s="114" t="str">
        <f>TEXT(IF(C2/10=INT(C2/10),INT(C2/10),INT(C2/10)+1),"00")</f>
        <v>17</v>
      </c>
      <c r="D1" s="124" t="s">
        <v>749</v>
      </c>
      <c r="E1" s="125">
        <v>2025</v>
      </c>
      <c r="F1" s="120" t="str">
        <f>TEXT(C1,"00") &amp; "_" &amp; TEXT(C2,"000")&amp; "_" &amp; H4 &amp; "_" &amp; H5 &amp; "_" &amp; B2</f>
        <v>17_168_NIN_TRN_U2025</v>
      </c>
      <c r="G1" s="5"/>
      <c r="H1" s="5"/>
      <c r="I1" s="5"/>
      <c r="J1" s="8" t="s">
        <v>707</v>
      </c>
      <c r="K1" s="121" t="s">
        <v>742</v>
      </c>
      <c r="L1" s="121"/>
      <c r="M1" s="122" t="s">
        <v>239</v>
      </c>
      <c r="N1" s="121" t="s">
        <v>842</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5" thickBot="1" x14ac:dyDescent="0.35">
      <c r="A2" s="1"/>
      <c r="B2" s="117" t="str">
        <f>D1&amp;E1</f>
        <v>U2025</v>
      </c>
      <c r="C2" s="123">
        <v>168</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35">
      <c r="A3" s="1"/>
      <c r="B3" s="156">
        <f ca="1">IF(ISERROR(VLOOKUP($B$2&amp;TEXT($C$2,"000"),GAMES!$A$3:$I$562,8,FALSE)),NOW(),VLOOKUP($B$2&amp;TEXT($C$2,"000"),GAMES!$A$3:$I$562,8,FALSE))</f>
        <v>46057.791666666664</v>
      </c>
      <c r="C3" s="157"/>
      <c r="D3" s="39">
        <v>553</v>
      </c>
      <c r="E3" s="29"/>
      <c r="F3" s="26">
        <f>SUBTOTAL(3,I17:I106)</f>
        <v>10</v>
      </c>
      <c r="G3" s="27">
        <f>IF(OR(D3="",D3=0),"",F3/D3)</f>
        <v>1.8083182640144666E-2</v>
      </c>
      <c r="H3" s="5"/>
      <c r="I3" s="5"/>
      <c r="J3" s="119" t="s">
        <v>715</v>
      </c>
      <c r="K3" s="54" t="str">
        <f>"N:\2024-2025 Season\Stats &amp; Systems\Stats\Estadisticas\Jornadas" &amp; "\EuroCup\Jornada01"</f>
        <v>N:\2024-2025 Season\Stats &amp; Systems\Stats\Estadisticas\Jornadas\EuroCup\Jornada01</v>
      </c>
      <c r="L3" s="5"/>
      <c r="M3" s="158" t="s">
        <v>163</v>
      </c>
      <c r="N3" s="159"/>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 x14ac:dyDescent="0.25">
      <c r="A4" s="2"/>
      <c r="B4" s="163" t="s">
        <v>86</v>
      </c>
      <c r="C4" s="164"/>
      <c r="D4" s="160" t="str">
        <f>IF(ISERROR(VLOOKUP(H4,Teams!$B$2:$C$44,2,FALSE)),"Local Team",VLOOKUP(H4,Teams!$B$2:$C$44,2,FALSE))</f>
        <v>NINERS Chemnitz</v>
      </c>
      <c r="E4" s="161"/>
      <c r="F4" s="161"/>
      <c r="G4" s="162"/>
      <c r="H4" s="118" t="str">
        <f>IF(ISERROR(VLOOKUP($B$2&amp;TEXT($C$2,"000"),GAMES!$A$3:$I$562,6,FALSE)),"LOC",VLOOKUP($B$2&amp;TEXT($C$2,"000"),GAMES!$A$3:$I$562,6,FALSE))</f>
        <v>NIN</v>
      </c>
      <c r="I4" s="5"/>
      <c r="J4" s="119" t="s">
        <v>714</v>
      </c>
      <c r="K4" s="54" t="s">
        <v>743</v>
      </c>
      <c r="L4" s="5"/>
      <c r="M4" s="167" t="s">
        <v>841</v>
      </c>
      <c r="N4" s="168"/>
      <c r="O4" s="2"/>
      <c r="P4" s="2"/>
      <c r="Q4" s="84" t="s">
        <v>175</v>
      </c>
      <c r="R4" s="94">
        <f>(IF(G3="",0,G3))</f>
        <v>1.8083182640144666E-2</v>
      </c>
      <c r="S4" s="61">
        <f>SUM(I13:M13)</f>
        <v>2</v>
      </c>
      <c r="T4" s="78"/>
      <c r="U4" s="61">
        <f>AC18</f>
        <v>3</v>
      </c>
      <c r="V4" s="61">
        <f>+AC22</f>
        <v>3</v>
      </c>
      <c r="W4" s="61">
        <f>AC24</f>
        <v>0</v>
      </c>
      <c r="X4" s="61">
        <f>AC29</f>
        <v>1</v>
      </c>
      <c r="Y4" s="61">
        <f>AC25</f>
        <v>1</v>
      </c>
      <c r="Z4" s="84">
        <f>AC23</f>
        <v>2</v>
      </c>
      <c r="AA4" s="61">
        <f>AC21</f>
        <v>0</v>
      </c>
      <c r="AB4" s="61">
        <f>AC27</f>
        <v>0</v>
      </c>
      <c r="AC4" s="61">
        <f>AC17</f>
        <v>0</v>
      </c>
      <c r="AD4" s="61">
        <f>AC20</f>
        <v>0</v>
      </c>
      <c r="AE4" s="61">
        <f>AC28</f>
        <v>0</v>
      </c>
      <c r="AF4" s="61">
        <f>AC19</f>
        <v>0</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35">
      <c r="A5" s="2"/>
      <c r="B5" s="165" t="s">
        <v>87</v>
      </c>
      <c r="C5" s="166"/>
      <c r="D5" s="173" t="str">
        <f>IF(ISERROR(VLOOKUP(H5,Teams!$B$2:$C$44,2,FALSE)),"Visitor Team",VLOOKUP(H5,Teams!$B$2:$C$44,2,FALSE))</f>
        <v>Dolomiti Energia Trento</v>
      </c>
      <c r="E5" s="174"/>
      <c r="F5" s="174"/>
      <c r="G5" s="175"/>
      <c r="H5" s="118" t="str">
        <f>IF(ISERROR(VLOOKUP($B$2&amp;TEXT($C$2,"000"),GAMES!$A$3:$I$562,7,FALSE)),"VIS",VLOOKUP($B$2&amp;TEXT($C$2,"000"),GAMES!$A$3:$I$562,7,FALSE))</f>
        <v>TRN</v>
      </c>
      <c r="I5" s="5"/>
      <c r="J5" s="5"/>
      <c r="K5" s="5"/>
      <c r="L5" s="5"/>
      <c r="M5" s="169"/>
      <c r="N5" s="170"/>
      <c r="O5" s="2"/>
      <c r="P5" s="2"/>
      <c r="Q5" s="89" t="s">
        <v>174</v>
      </c>
      <c r="R5" s="94">
        <f>R4*R3</f>
        <v>1.8083182640144666</v>
      </c>
      <c r="S5" s="70">
        <f t="shared" ref="S5" si="0">S4*S3</f>
        <v>2</v>
      </c>
      <c r="T5" s="92"/>
      <c r="U5" s="70">
        <f t="shared" ref="U5:AG5" si="1">U4*U3</f>
        <v>1.5</v>
      </c>
      <c r="V5" s="70">
        <f t="shared" si="1"/>
        <v>3</v>
      </c>
      <c r="W5" s="70">
        <f t="shared" si="1"/>
        <v>0</v>
      </c>
      <c r="X5" s="70">
        <f t="shared" si="1"/>
        <v>1</v>
      </c>
      <c r="Y5" s="70">
        <f t="shared" si="1"/>
        <v>2</v>
      </c>
      <c r="Z5" s="89">
        <f t="shared" si="1"/>
        <v>5</v>
      </c>
      <c r="AA5" s="70">
        <f t="shared" si="1"/>
        <v>0</v>
      </c>
      <c r="AB5" s="70">
        <f t="shared" si="1"/>
        <v>0</v>
      </c>
      <c r="AC5" s="70">
        <f t="shared" si="1"/>
        <v>0</v>
      </c>
      <c r="AD5" s="70">
        <f t="shared" si="1"/>
        <v>0</v>
      </c>
      <c r="AE5" s="70">
        <f t="shared" si="1"/>
        <v>0</v>
      </c>
      <c r="AF5" s="70">
        <f t="shared" si="1"/>
        <v>0</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35">
      <c r="A6" s="2"/>
      <c r="B6" s="163" t="s">
        <v>95</v>
      </c>
      <c r="C6" s="164"/>
      <c r="D6" s="178" t="s">
        <v>826</v>
      </c>
      <c r="E6" s="179"/>
      <c r="F6" s="179"/>
      <c r="G6" s="180"/>
      <c r="H6" s="5"/>
      <c r="I6" s="5"/>
      <c r="J6" s="5"/>
      <c r="K6" s="5"/>
      <c r="L6" s="2"/>
      <c r="M6" s="171"/>
      <c r="N6" s="172"/>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 x14ac:dyDescent="0.25">
      <c r="A7" s="2"/>
      <c r="B7" s="187" t="s">
        <v>96</v>
      </c>
      <c r="C7" s="188"/>
      <c r="D7" s="178" t="s">
        <v>827</v>
      </c>
      <c r="E7" s="179"/>
      <c r="F7" s="179"/>
      <c r="G7" s="180"/>
      <c r="H7" s="129" t="s">
        <v>709</v>
      </c>
      <c r="I7" s="129" t="s">
        <v>710</v>
      </c>
      <c r="J7" s="129" t="s">
        <v>711</v>
      </c>
      <c r="K7" s="129" t="s">
        <v>712</v>
      </c>
      <c r="L7" s="129" t="s">
        <v>713</v>
      </c>
      <c r="M7" s="58">
        <f>Q7</f>
        <v>16.308318264014467</v>
      </c>
      <c r="N7" s="58"/>
      <c r="O7" s="2"/>
      <c r="P7" s="2"/>
      <c r="Q7" s="86">
        <f>SUM(R5,S5,AC16)</f>
        <v>16.308318264014467</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3">
      <c r="A8" s="2"/>
      <c r="B8" s="165" t="s">
        <v>97</v>
      </c>
      <c r="C8" s="189"/>
      <c r="D8" s="181" t="s">
        <v>828</v>
      </c>
      <c r="E8" s="182"/>
      <c r="F8" s="182"/>
      <c r="G8" s="183"/>
      <c r="H8" s="129" t="s">
        <v>747</v>
      </c>
      <c r="I8" s="129" t="s">
        <v>747</v>
      </c>
      <c r="J8" s="129" t="s">
        <v>748</v>
      </c>
      <c r="K8" s="129" t="s">
        <v>744</v>
      </c>
      <c r="L8" s="129" t="s">
        <v>745</v>
      </c>
      <c r="M8" s="129" t="s">
        <v>108</v>
      </c>
      <c r="N8" s="2"/>
      <c r="O8" s="2"/>
      <c r="P8" s="2"/>
      <c r="Q8" s="85">
        <f>SUM(R5:BA5)</f>
        <v>16.308318264014467</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3">
      <c r="A9" s="2"/>
      <c r="B9" s="163" t="s">
        <v>98</v>
      </c>
      <c r="C9" s="190"/>
      <c r="D9" s="178" t="s">
        <v>829</v>
      </c>
      <c r="E9" s="179"/>
      <c r="F9" s="179"/>
      <c r="G9" s="18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35">
      <c r="A10" s="1"/>
      <c r="B10" s="165" t="s">
        <v>99</v>
      </c>
      <c r="C10" s="189"/>
      <c r="D10" s="181" t="s">
        <v>830</v>
      </c>
      <c r="E10" s="182"/>
      <c r="F10" s="182"/>
      <c r="G10" s="18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1" thickBot="1" x14ac:dyDescent="0.3">
      <c r="A11" s="17"/>
      <c r="B11" s="176" t="s">
        <v>108</v>
      </c>
      <c r="C11" s="177"/>
      <c r="D11" s="191" t="str">
        <f>M8</f>
        <v>IRS</v>
      </c>
      <c r="E11" s="192"/>
      <c r="F11" s="192"/>
      <c r="G11" s="193"/>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35">
      <c r="A12" s="1"/>
      <c r="B12" s="2"/>
      <c r="C12" s="2"/>
      <c r="D12" s="2"/>
      <c r="E12" s="2"/>
      <c r="F12" s="49" t="str">
        <f>IF(G12="","",$B$2)</f>
        <v>U2025</v>
      </c>
      <c r="G12" s="50">
        <f>IF(I12="","",$C$2)</f>
        <v>168</v>
      </c>
      <c r="H12" s="40" t="str">
        <f>$I$10</f>
        <v>LOGISTICS</v>
      </c>
      <c r="I12" s="14" t="s">
        <v>17</v>
      </c>
      <c r="J12" s="15" t="s">
        <v>14</v>
      </c>
      <c r="K12" s="15" t="s">
        <v>17</v>
      </c>
      <c r="L12" s="15" t="s">
        <v>17</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1</v>
      </c>
      <c r="L13" s="5">
        <f>IF(ISERROR(VLOOKUP(L12,AV17:AW19,2,FALSE)),0,VLOOKUP(L12,AV17:AW19,2,FALSE))</f>
        <v>1</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35">
      <c r="A14" s="1"/>
      <c r="B14" s="176" t="s">
        <v>162</v>
      </c>
      <c r="C14" s="177"/>
      <c r="D14" s="184" t="s">
        <v>831</v>
      </c>
      <c r="E14" s="185"/>
      <c r="F14" s="185"/>
      <c r="G14" s="18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10</v>
      </c>
      <c r="J15" s="24">
        <f>SUBTOTAL(3,J17:J106)</f>
        <v>10</v>
      </c>
      <c r="K15" s="24">
        <f>SUBTOTAL(3,K17:K106)</f>
        <v>10</v>
      </c>
      <c r="L15" s="24">
        <f>SUBTOTAL(3,L17:L106)</f>
        <v>10</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0</v>
      </c>
      <c r="X16" s="67" t="s">
        <v>58</v>
      </c>
      <c r="Y16" s="75">
        <f>SUM(Y17:Y24)</f>
        <v>10</v>
      </c>
      <c r="Z16" s="90" t="s">
        <v>110</v>
      </c>
      <c r="AA16" s="75">
        <f>SUM(AA17:AA24)</f>
        <v>10</v>
      </c>
      <c r="AB16" s="76" t="s">
        <v>54</v>
      </c>
      <c r="AC16" s="75">
        <f>SUM(AC17*AD17,AC18*AD18,AC19*AD19,AC20*AD20,AC21*AD21,AC22*AD22,AC23*AD23,AC24*AD24,AC25*AD25,AC26*AD26,AC27*AD27,AC28*AD28,AC29*AD29,AC30*AD30,AC30*AD30,AC31*AD31,AC32*AD32,AC33*AD33,AC34*AD34,AC35*AD35,AC36*AD36)</f>
        <v>12.5</v>
      </c>
      <c r="AD16" s="75">
        <f>SUM(AD17:AD24)</f>
        <v>45</v>
      </c>
      <c r="AE16" s="76" t="s">
        <v>42</v>
      </c>
      <c r="AF16" s="75">
        <f>SUM(AF17:AF24)</f>
        <v>7</v>
      </c>
      <c r="AG16" s="75">
        <f>SUM(AG17:AG21)</f>
        <v>10</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0</v>
      </c>
      <c r="BG16" s="4"/>
      <c r="BH16" s="4"/>
      <c r="BI16" s="4"/>
      <c r="BJ16" s="4"/>
      <c r="BK16" s="4"/>
      <c r="BL16" s="4"/>
      <c r="BM16" s="4"/>
      <c r="BN16" s="4"/>
      <c r="BO16" s="4"/>
      <c r="BP16" s="4"/>
      <c r="BQ16" s="4"/>
      <c r="BR16" s="4"/>
      <c r="BS16" s="4"/>
    </row>
    <row r="17" spans="1:71" s="63" customFormat="1" ht="10.5" x14ac:dyDescent="0.25">
      <c r="A17" s="20"/>
      <c r="B17" s="31" t="str">
        <f t="shared" ref="B17:B48" si="2">IF(C17="","",$B$2)</f>
        <v>U2025</v>
      </c>
      <c r="C17" s="31">
        <f t="shared" ref="C17:C48" si="3">IF(I17="","",$C$2)</f>
        <v>168</v>
      </c>
      <c r="D17" s="32" t="s">
        <v>832</v>
      </c>
      <c r="E17" s="33">
        <v>1</v>
      </c>
      <c r="F17" s="36">
        <v>0</v>
      </c>
      <c r="G17" s="36">
        <v>0</v>
      </c>
      <c r="H17" s="38" t="str">
        <f>IF(I17="","",$I$14)</f>
        <v>SCOUTING</v>
      </c>
      <c r="I17" s="34">
        <v>5</v>
      </c>
      <c r="J17" s="13" t="s">
        <v>4</v>
      </c>
      <c r="K17" s="13" t="s">
        <v>62</v>
      </c>
      <c r="L17" s="13" t="s">
        <v>6</v>
      </c>
      <c r="M17" s="13" t="s">
        <v>168</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10</v>
      </c>
      <c r="Z17" s="105" t="s">
        <v>63</v>
      </c>
      <c r="AA17" s="62">
        <f>COUNTIF($K$17:$K$106,Z17)</f>
        <v>3</v>
      </c>
      <c r="AB17" s="66" t="s">
        <v>19</v>
      </c>
      <c r="AC17" s="61">
        <f t="shared" ref="AC17:AC29" si="5">COUNTIF($L$17:$L$106,AB17)</f>
        <v>0</v>
      </c>
      <c r="AD17" s="61">
        <f t="shared" ref="AD17:AD25" si="6">P17</f>
        <v>10</v>
      </c>
      <c r="AE17" s="66" t="s">
        <v>11</v>
      </c>
      <c r="AF17" s="65">
        <f t="shared" ref="AF17:AF48" si="7">COUNTIF($M$17:$M$106,AE17)</f>
        <v>4</v>
      </c>
      <c r="AG17" s="62">
        <f>COUNTIF($E$17:$E$106,$AK17)</f>
        <v>2</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0.5" x14ac:dyDescent="0.25">
      <c r="A18" s="20"/>
      <c r="B18" s="31" t="str">
        <f t="shared" si="2"/>
        <v>U2025</v>
      </c>
      <c r="C18" s="31">
        <f t="shared" si="3"/>
        <v>168</v>
      </c>
      <c r="D18" s="32" t="s">
        <v>833</v>
      </c>
      <c r="E18" s="33">
        <v>1</v>
      </c>
      <c r="F18" s="36">
        <v>8</v>
      </c>
      <c r="G18" s="36">
        <v>8</v>
      </c>
      <c r="H18" s="38" t="str">
        <f t="shared" ref="H18:H81" si="8">IF(I18="","",$I$14)</f>
        <v>SCOUTING</v>
      </c>
      <c r="I18" s="34">
        <v>59</v>
      </c>
      <c r="J18" s="13" t="s">
        <v>4</v>
      </c>
      <c r="K18" s="13" t="s">
        <v>62</v>
      </c>
      <c r="L18" s="13" t="s">
        <v>5</v>
      </c>
      <c r="M18" s="13" t="s">
        <v>11</v>
      </c>
      <c r="N18" s="35"/>
      <c r="O18" s="5" t="s">
        <v>5</v>
      </c>
      <c r="P18" s="5">
        <v>0.5</v>
      </c>
      <c r="Q18" s="84">
        <f t="shared" si="4"/>
        <v>0</v>
      </c>
      <c r="R18" s="5" t="s">
        <v>171</v>
      </c>
      <c r="U18" s="66" t="s">
        <v>21</v>
      </c>
      <c r="V18" s="65">
        <f t="shared" ref="V18:V24" si="9">COUNTIF($M$17:$M$106,$U18)</f>
        <v>0</v>
      </c>
      <c r="W18" s="70"/>
      <c r="X18" s="79" t="s">
        <v>3</v>
      </c>
      <c r="Y18" s="62">
        <f>COUNTIF($J$17:$J$106,X18)</f>
        <v>0</v>
      </c>
      <c r="Z18" s="105" t="s">
        <v>62</v>
      </c>
      <c r="AA18" s="62">
        <f>COUNTIF($K$17:$K$106,Z18)</f>
        <v>6</v>
      </c>
      <c r="AB18" s="66" t="s">
        <v>5</v>
      </c>
      <c r="AC18" s="61">
        <f t="shared" si="5"/>
        <v>3</v>
      </c>
      <c r="AD18" s="61">
        <f t="shared" si="6"/>
        <v>0.5</v>
      </c>
      <c r="AE18" s="66" t="s">
        <v>12</v>
      </c>
      <c r="AF18" s="65">
        <f t="shared" si="7"/>
        <v>0</v>
      </c>
      <c r="AG18" s="62">
        <f>COUNTIF($E$17:$E$106,$AK18)</f>
        <v>2</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5" x14ac:dyDescent="0.25">
      <c r="A19" s="20"/>
      <c r="B19" s="31" t="str">
        <f t="shared" si="2"/>
        <v>U2025</v>
      </c>
      <c r="C19" s="31">
        <f t="shared" si="3"/>
        <v>168</v>
      </c>
      <c r="D19" s="32" t="s">
        <v>834</v>
      </c>
      <c r="E19" s="33">
        <v>2</v>
      </c>
      <c r="F19" s="36">
        <v>24</v>
      </c>
      <c r="G19" s="36">
        <v>20</v>
      </c>
      <c r="H19" s="38" t="str">
        <f t="shared" si="8"/>
        <v>SCOUTING</v>
      </c>
      <c r="I19" s="34">
        <v>135</v>
      </c>
      <c r="J19" s="13" t="s">
        <v>4</v>
      </c>
      <c r="K19" s="13" t="s">
        <v>63</v>
      </c>
      <c r="L19" s="13" t="s">
        <v>5</v>
      </c>
      <c r="M19" s="13" t="s">
        <v>11</v>
      </c>
      <c r="N19" s="35"/>
      <c r="O19" s="5" t="s">
        <v>76</v>
      </c>
      <c r="P19" s="5">
        <v>15</v>
      </c>
      <c r="Q19" s="84">
        <f t="shared" si="4"/>
        <v>0</v>
      </c>
      <c r="R19" s="5" t="s">
        <v>172</v>
      </c>
      <c r="U19" s="66" t="s">
        <v>8</v>
      </c>
      <c r="V19" s="65">
        <f t="shared" si="9"/>
        <v>0</v>
      </c>
      <c r="W19" s="75"/>
      <c r="X19" s="82"/>
      <c r="Y19" s="83"/>
      <c r="Z19" s="105" t="s">
        <v>61</v>
      </c>
      <c r="AA19" s="62">
        <f>COUNTIF($K$17:$K$106,Z19)</f>
        <v>1</v>
      </c>
      <c r="AB19" s="66" t="s">
        <v>76</v>
      </c>
      <c r="AC19" s="61">
        <f t="shared" si="5"/>
        <v>0</v>
      </c>
      <c r="AD19" s="61">
        <f t="shared" si="6"/>
        <v>15</v>
      </c>
      <c r="AE19" s="66" t="s">
        <v>19</v>
      </c>
      <c r="AF19" s="65">
        <f t="shared" si="7"/>
        <v>0</v>
      </c>
      <c r="AG19" s="62">
        <f>COUNTIF($E$17:$E$106,$AK19)</f>
        <v>2</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0.5" x14ac:dyDescent="0.25">
      <c r="A20" s="20"/>
      <c r="B20" s="31" t="str">
        <f t="shared" si="2"/>
        <v>U2025</v>
      </c>
      <c r="C20" s="31">
        <f t="shared" si="3"/>
        <v>168</v>
      </c>
      <c r="D20" s="32" t="s">
        <v>834</v>
      </c>
      <c r="E20" s="33">
        <v>2</v>
      </c>
      <c r="F20" s="36">
        <v>24</v>
      </c>
      <c r="G20" s="36">
        <v>23</v>
      </c>
      <c r="H20" s="38" t="str">
        <f t="shared" si="8"/>
        <v>SCOUTING</v>
      </c>
      <c r="I20" s="34">
        <v>140</v>
      </c>
      <c r="J20" s="13" t="s">
        <v>4</v>
      </c>
      <c r="K20" s="13" t="s">
        <v>61</v>
      </c>
      <c r="L20" s="13" t="s">
        <v>75</v>
      </c>
      <c r="M20" s="13" t="s">
        <v>22</v>
      </c>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3</v>
      </c>
      <c r="AG20" s="62">
        <f>COUNTIF($E$17:$E$106,$AK20)</f>
        <v>4</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0.5" x14ac:dyDescent="0.25">
      <c r="A21" s="20"/>
      <c r="B21" s="31" t="str">
        <f t="shared" si="2"/>
        <v>U2025</v>
      </c>
      <c r="C21" s="31">
        <f t="shared" si="3"/>
        <v>168</v>
      </c>
      <c r="D21" s="32" t="s">
        <v>835</v>
      </c>
      <c r="E21" s="33">
        <v>3</v>
      </c>
      <c r="F21" s="36">
        <v>53</v>
      </c>
      <c r="G21" s="36">
        <v>55</v>
      </c>
      <c r="H21" s="38" t="str">
        <f t="shared" si="8"/>
        <v>SCOUTING</v>
      </c>
      <c r="I21" s="34">
        <v>382</v>
      </c>
      <c r="J21" s="13" t="s">
        <v>4</v>
      </c>
      <c r="K21" s="13" t="s">
        <v>62</v>
      </c>
      <c r="L21" s="13" t="s">
        <v>48</v>
      </c>
      <c r="M21" s="13" t="s">
        <v>28</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0.5" x14ac:dyDescent="0.25">
      <c r="A22" s="20"/>
      <c r="B22" s="31" t="str">
        <f t="shared" si="2"/>
        <v>U2025</v>
      </c>
      <c r="C22" s="31">
        <f t="shared" si="3"/>
        <v>168</v>
      </c>
      <c r="D22" s="32" t="s">
        <v>836</v>
      </c>
      <c r="E22" s="33">
        <v>3</v>
      </c>
      <c r="F22" s="36">
        <v>53</v>
      </c>
      <c r="G22" s="36">
        <v>55</v>
      </c>
      <c r="H22" s="38" t="str">
        <f t="shared" si="8"/>
        <v>SCOUTING</v>
      </c>
      <c r="I22" s="34">
        <v>385</v>
      </c>
      <c r="J22" s="13" t="s">
        <v>4</v>
      </c>
      <c r="K22" s="13" t="s">
        <v>63</v>
      </c>
      <c r="L22" s="13" t="s">
        <v>7</v>
      </c>
      <c r="M22" s="13" t="s">
        <v>168</v>
      </c>
      <c r="N22" s="35"/>
      <c r="O22" s="5" t="s">
        <v>6</v>
      </c>
      <c r="P22" s="5">
        <v>1</v>
      </c>
      <c r="Q22" s="84">
        <f t="shared" si="4"/>
        <v>0</v>
      </c>
      <c r="R22" s="5"/>
      <c r="U22" s="66" t="s">
        <v>32</v>
      </c>
      <c r="V22" s="65">
        <f t="shared" si="9"/>
        <v>0</v>
      </c>
      <c r="X22" s="82"/>
      <c r="Y22" s="83"/>
      <c r="Z22" s="105"/>
      <c r="AA22" s="65"/>
      <c r="AB22" s="66" t="s">
        <v>6</v>
      </c>
      <c r="AC22" s="61">
        <f t="shared" si="5"/>
        <v>3</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5" x14ac:dyDescent="0.25">
      <c r="A23" s="20"/>
      <c r="B23" s="31" t="str">
        <f t="shared" si="2"/>
        <v>U2025</v>
      </c>
      <c r="C23" s="31">
        <f t="shared" si="3"/>
        <v>168</v>
      </c>
      <c r="D23" s="32" t="s">
        <v>837</v>
      </c>
      <c r="E23" s="33">
        <v>4</v>
      </c>
      <c r="F23" s="36">
        <v>63</v>
      </c>
      <c r="G23" s="36">
        <v>63</v>
      </c>
      <c r="H23" s="38" t="str">
        <f t="shared" si="8"/>
        <v>SCOUTING</v>
      </c>
      <c r="I23" s="34">
        <v>433</v>
      </c>
      <c r="J23" s="13" t="s">
        <v>4</v>
      </c>
      <c r="K23" s="13" t="s">
        <v>63</v>
      </c>
      <c r="L23" s="13" t="s">
        <v>5</v>
      </c>
      <c r="M23" s="13" t="s">
        <v>11</v>
      </c>
      <c r="N23" s="35"/>
      <c r="O23" s="5" t="s">
        <v>7</v>
      </c>
      <c r="P23" s="5">
        <v>2.5</v>
      </c>
      <c r="Q23" s="84">
        <f t="shared" si="4"/>
        <v>0</v>
      </c>
      <c r="R23" s="5"/>
      <c r="U23" s="66" t="s">
        <v>33</v>
      </c>
      <c r="V23" s="65">
        <f t="shared" si="9"/>
        <v>0</v>
      </c>
      <c r="X23" s="82"/>
      <c r="Y23" s="83"/>
      <c r="Z23" s="105"/>
      <c r="AA23" s="65"/>
      <c r="AB23" s="66" t="s">
        <v>7</v>
      </c>
      <c r="AC23" s="61">
        <f t="shared" si="5"/>
        <v>2</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5" x14ac:dyDescent="0.25">
      <c r="A24" s="20"/>
      <c r="B24" s="31" t="str">
        <f t="shared" si="2"/>
        <v>U2025</v>
      </c>
      <c r="C24" s="31">
        <f t="shared" si="3"/>
        <v>168</v>
      </c>
      <c r="D24" s="32" t="s">
        <v>838</v>
      </c>
      <c r="E24" s="33">
        <v>4</v>
      </c>
      <c r="F24" s="36">
        <v>68</v>
      </c>
      <c r="G24" s="36">
        <v>65</v>
      </c>
      <c r="H24" s="38" t="str">
        <f t="shared" si="8"/>
        <v>SCOUTING</v>
      </c>
      <c r="I24" s="34">
        <v>476</v>
      </c>
      <c r="J24" s="13" t="s">
        <v>4</v>
      </c>
      <c r="K24" s="13" t="s">
        <v>62</v>
      </c>
      <c r="L24" s="13" t="s">
        <v>7</v>
      </c>
      <c r="M24" s="13" t="s">
        <v>11</v>
      </c>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0</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5" x14ac:dyDescent="0.25">
      <c r="A25" s="20"/>
      <c r="B25" s="31" t="str">
        <f t="shared" si="2"/>
        <v>U2025</v>
      </c>
      <c r="C25" s="31">
        <f t="shared" si="3"/>
        <v>168</v>
      </c>
      <c r="D25" s="32" t="s">
        <v>839</v>
      </c>
      <c r="E25" s="33">
        <v>4</v>
      </c>
      <c r="F25" s="36">
        <v>69</v>
      </c>
      <c r="G25" s="36">
        <v>65</v>
      </c>
      <c r="H25" s="38" t="str">
        <f t="shared" si="8"/>
        <v>SCOUTING</v>
      </c>
      <c r="I25" s="34">
        <v>480</v>
      </c>
      <c r="J25" s="13" t="s">
        <v>4</v>
      </c>
      <c r="K25" s="13" t="s">
        <v>62</v>
      </c>
      <c r="L25" s="13" t="s">
        <v>6</v>
      </c>
      <c r="M25" s="13" t="s">
        <v>22</v>
      </c>
      <c r="N25" s="35"/>
      <c r="O25" s="5" t="s">
        <v>48</v>
      </c>
      <c r="P25" s="5">
        <v>2</v>
      </c>
      <c r="Q25" s="84">
        <f t="shared" si="4"/>
        <v>0</v>
      </c>
      <c r="R25" s="5"/>
      <c r="U25" s="73"/>
      <c r="X25" s="82"/>
      <c r="Y25" s="83"/>
      <c r="Z25" s="105"/>
      <c r="AA25" s="65"/>
      <c r="AB25" s="66" t="s">
        <v>48</v>
      </c>
      <c r="AC25" s="61">
        <f t="shared" si="5"/>
        <v>1</v>
      </c>
      <c r="AD25" s="61">
        <f t="shared" si="6"/>
        <v>2</v>
      </c>
      <c r="AE25" s="66" t="s">
        <v>22</v>
      </c>
      <c r="AF25" s="65">
        <f t="shared" si="7"/>
        <v>2</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5" x14ac:dyDescent="0.25">
      <c r="A26" s="20"/>
      <c r="B26" s="31" t="str">
        <f t="shared" si="2"/>
        <v>U2025</v>
      </c>
      <c r="C26" s="31">
        <f t="shared" si="3"/>
        <v>168</v>
      </c>
      <c r="D26" s="32" t="s">
        <v>840</v>
      </c>
      <c r="E26" s="33">
        <v>4</v>
      </c>
      <c r="F26" s="36">
        <v>81</v>
      </c>
      <c r="G26" s="36">
        <v>67</v>
      </c>
      <c r="H26" s="38" t="str">
        <f t="shared" si="8"/>
        <v>SCOUTING</v>
      </c>
      <c r="I26" s="34">
        <v>550</v>
      </c>
      <c r="J26" s="13" t="s">
        <v>4</v>
      </c>
      <c r="K26" s="13" t="s">
        <v>62</v>
      </c>
      <c r="L26" s="13" t="s">
        <v>6</v>
      </c>
      <c r="M26" s="13" t="s">
        <v>168</v>
      </c>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5" x14ac:dyDescent="0.25">
      <c r="A27" s="20"/>
      <c r="B27" s="31" t="str">
        <f t="shared" si="2"/>
        <v/>
      </c>
      <c r="C27" s="31" t="str">
        <f t="shared" si="3"/>
        <v/>
      </c>
      <c r="D27" s="32"/>
      <c r="E27" s="33"/>
      <c r="F27" s="36"/>
      <c r="G27" s="36"/>
      <c r="H27" s="38" t="str">
        <f t="shared" si="8"/>
        <v/>
      </c>
      <c r="I27" s="34"/>
      <c r="J27" s="13"/>
      <c r="K27" s="13"/>
      <c r="L27" s="13"/>
      <c r="M27" s="13"/>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5" x14ac:dyDescent="0.25">
      <c r="A28" s="20"/>
      <c r="B28" s="31" t="str">
        <f t="shared" si="2"/>
        <v/>
      </c>
      <c r="C28" s="31" t="str">
        <f t="shared" si="3"/>
        <v/>
      </c>
      <c r="D28" s="32"/>
      <c r="E28" s="33"/>
      <c r="F28" s="36"/>
      <c r="G28" s="36"/>
      <c r="H28" s="38" t="str">
        <f t="shared" si="8"/>
        <v/>
      </c>
      <c r="I28" s="34"/>
      <c r="J28" s="13"/>
      <c r="K28" s="13"/>
      <c r="L28" s="13"/>
      <c r="M28" s="13"/>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5" x14ac:dyDescent="0.25">
      <c r="A29" s="20"/>
      <c r="B29" s="31" t="str">
        <f t="shared" si="2"/>
        <v/>
      </c>
      <c r="C29" s="31" t="str">
        <f t="shared" si="3"/>
        <v/>
      </c>
      <c r="D29" s="32"/>
      <c r="E29" s="33"/>
      <c r="F29" s="36"/>
      <c r="G29" s="36"/>
      <c r="H29" s="38" t="str">
        <f t="shared" si="8"/>
        <v/>
      </c>
      <c r="I29" s="34"/>
      <c r="J29" s="13"/>
      <c r="K29" s="13"/>
      <c r="L29" s="13"/>
      <c r="M29" s="13"/>
      <c r="N29" s="35"/>
      <c r="O29" s="5" t="s">
        <v>75</v>
      </c>
      <c r="P29" s="5">
        <v>1</v>
      </c>
      <c r="Q29" s="84">
        <f t="shared" si="4"/>
        <v>0</v>
      </c>
      <c r="R29" s="5" t="s">
        <v>171</v>
      </c>
      <c r="U29" s="73"/>
      <c r="X29" s="82"/>
      <c r="Y29" s="83"/>
      <c r="Z29" s="105"/>
      <c r="AA29" s="65"/>
      <c r="AB29" s="66" t="s">
        <v>75</v>
      </c>
      <c r="AC29" s="61">
        <f t="shared" si="5"/>
        <v>1</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5" x14ac:dyDescent="0.25">
      <c r="A30" s="20"/>
      <c r="B30" s="31" t="str">
        <f t="shared" si="2"/>
        <v/>
      </c>
      <c r="C30" s="31" t="str">
        <f t="shared" si="3"/>
        <v/>
      </c>
      <c r="D30" s="32"/>
      <c r="E30" s="33"/>
      <c r="F30" s="36"/>
      <c r="G30" s="36"/>
      <c r="H30" s="38" t="str">
        <f t="shared" si="8"/>
        <v/>
      </c>
      <c r="I30" s="34"/>
      <c r="J30" s="13"/>
      <c r="K30" s="13"/>
      <c r="L30" s="13"/>
      <c r="M30" s="13"/>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5" x14ac:dyDescent="0.25">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0</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1</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0</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0</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5" x14ac:dyDescent="0.25">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5" x14ac:dyDescent="0.25">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35">
      <c r="W109" s="96"/>
    </row>
    <row r="110" spans="1:71" x14ac:dyDescent="0.35">
      <c r="W110" s="4"/>
    </row>
    <row r="111" spans="1:71" x14ac:dyDescent="0.3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14:C14"/>
    <mergeCell ref="D6:G6"/>
    <mergeCell ref="D7:G7"/>
    <mergeCell ref="D8:G8"/>
    <mergeCell ref="D9:G9"/>
    <mergeCell ref="D10:G10"/>
    <mergeCell ref="D14:G14"/>
    <mergeCell ref="B6:C6"/>
    <mergeCell ref="B7:C7"/>
    <mergeCell ref="B8:C8"/>
    <mergeCell ref="B9:C9"/>
    <mergeCell ref="B10:C10"/>
    <mergeCell ref="B11:C11"/>
    <mergeCell ref="D11:G11"/>
    <mergeCell ref="B3:C3"/>
    <mergeCell ref="M3:N3"/>
    <mergeCell ref="D4:G4"/>
    <mergeCell ref="B4:C4"/>
    <mergeCell ref="B5:C5"/>
    <mergeCell ref="M4:N6"/>
    <mergeCell ref="D5:G5"/>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J19" sqref="J19:N19"/>
    </sheetView>
  </sheetViews>
  <sheetFormatPr defaultRowHeight="12.5" x14ac:dyDescent="0.25"/>
  <cols>
    <col min="1" max="1" width="0.7265625" customWidth="1"/>
    <col min="2" max="2" width="3.7265625" style="150" customWidth="1"/>
    <col min="3" max="3" width="23.54296875" style="150" bestFit="1" customWidth="1"/>
    <col min="4" max="15" width="14" style="25" customWidth="1"/>
  </cols>
  <sheetData>
    <row r="1" spans="2:15" ht="13" thickBot="1" x14ac:dyDescent="0.3">
      <c r="D1" s="126">
        <v>1</v>
      </c>
      <c r="E1" s="127"/>
      <c r="F1" s="127"/>
      <c r="G1" s="127"/>
      <c r="H1" s="128"/>
      <c r="I1" s="127"/>
      <c r="J1" s="126">
        <v>2</v>
      </c>
      <c r="K1" s="127"/>
      <c r="L1" s="127"/>
      <c r="M1" s="127"/>
      <c r="N1" s="127"/>
      <c r="O1" s="128"/>
    </row>
    <row r="2" spans="2:15" ht="13"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t="s">
        <v>804</v>
      </c>
      <c r="E3" s="133" t="s">
        <v>805</v>
      </c>
      <c r="F3" s="133" t="s">
        <v>806</v>
      </c>
      <c r="G3" s="133" t="s">
        <v>807</v>
      </c>
      <c r="H3" s="133" t="s">
        <v>808</v>
      </c>
      <c r="I3" s="134" t="s">
        <v>809</v>
      </c>
      <c r="J3" s="135"/>
      <c r="K3" s="133"/>
      <c r="L3" s="133"/>
      <c r="M3" s="133"/>
      <c r="N3" s="134"/>
      <c r="O3" s="134"/>
    </row>
    <row r="4" spans="2:15" x14ac:dyDescent="0.25">
      <c r="B4" s="153" t="s">
        <v>178</v>
      </c>
      <c r="C4" s="150" t="s">
        <v>223</v>
      </c>
      <c r="D4" s="136" t="s">
        <v>765</v>
      </c>
      <c r="E4" s="137" t="s">
        <v>766</v>
      </c>
      <c r="F4" s="137" t="s">
        <v>767</v>
      </c>
      <c r="G4" s="137" t="s">
        <v>768</v>
      </c>
      <c r="H4" s="137" t="s">
        <v>769</v>
      </c>
      <c r="I4" s="138" t="s">
        <v>770</v>
      </c>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t="s">
        <v>788</v>
      </c>
      <c r="E6" s="137" t="s">
        <v>789</v>
      </c>
      <c r="F6" s="137" t="s">
        <v>790</v>
      </c>
      <c r="G6" s="137" t="s">
        <v>781</v>
      </c>
      <c r="H6" s="137" t="s">
        <v>780</v>
      </c>
      <c r="I6" s="138" t="s">
        <v>791</v>
      </c>
      <c r="J6" s="139"/>
      <c r="K6" s="137"/>
      <c r="L6" s="137"/>
      <c r="M6" s="137"/>
      <c r="N6" s="140"/>
      <c r="O6" s="138"/>
    </row>
    <row r="7" spans="2:15" x14ac:dyDescent="0.25">
      <c r="B7" s="153" t="s">
        <v>181</v>
      </c>
      <c r="C7" s="150" t="s">
        <v>226</v>
      </c>
      <c r="D7" s="136" t="s">
        <v>729</v>
      </c>
      <c r="E7" s="137" t="s">
        <v>755</v>
      </c>
      <c r="F7" s="137" t="s">
        <v>756</v>
      </c>
      <c r="G7" s="137" t="s">
        <v>757</v>
      </c>
      <c r="H7" s="137" t="s">
        <v>758</v>
      </c>
      <c r="I7" s="137" t="s">
        <v>825</v>
      </c>
      <c r="J7" s="139"/>
      <c r="K7" s="137"/>
      <c r="L7" s="137"/>
      <c r="M7" s="137"/>
      <c r="N7" s="140"/>
      <c r="O7" s="138"/>
    </row>
    <row r="8" spans="2:15" x14ac:dyDescent="0.25">
      <c r="B8" s="153" t="s">
        <v>182</v>
      </c>
      <c r="C8" s="150" t="s">
        <v>217</v>
      </c>
      <c r="D8" s="136" t="s">
        <v>735</v>
      </c>
      <c r="E8" s="137" t="s">
        <v>771</v>
      </c>
      <c r="F8" s="137" t="s">
        <v>772</v>
      </c>
      <c r="G8" s="137" t="s">
        <v>773</v>
      </c>
      <c r="H8" s="137" t="s">
        <v>774</v>
      </c>
      <c r="I8" s="138" t="s">
        <v>740</v>
      </c>
      <c r="J8" s="139" t="s">
        <v>717</v>
      </c>
      <c r="K8" s="137" t="s">
        <v>718</v>
      </c>
      <c r="L8" s="137" t="s">
        <v>719</v>
      </c>
      <c r="M8" s="137" t="s">
        <v>720</v>
      </c>
      <c r="N8" s="140" t="s">
        <v>721</v>
      </c>
      <c r="O8" s="138" t="s">
        <v>722</v>
      </c>
    </row>
    <row r="9" spans="2:15" x14ac:dyDescent="0.25">
      <c r="B9" s="153" t="s">
        <v>183</v>
      </c>
      <c r="C9" s="150" t="s">
        <v>233</v>
      </c>
      <c r="D9" s="136" t="s">
        <v>819</v>
      </c>
      <c r="E9" s="137" t="s">
        <v>820</v>
      </c>
      <c r="F9" s="137" t="s">
        <v>821</v>
      </c>
      <c r="G9" s="137" t="s">
        <v>822</v>
      </c>
      <c r="H9" s="137" t="s">
        <v>823</v>
      </c>
      <c r="I9" s="138" t="s">
        <v>824</v>
      </c>
      <c r="J9" s="139"/>
      <c r="K9" s="137"/>
      <c r="L9" s="137"/>
      <c r="M9" s="137"/>
      <c r="N9" s="140"/>
      <c r="O9" s="138"/>
    </row>
    <row r="10" spans="2:15" x14ac:dyDescent="0.25">
      <c r="B10" s="153" t="s">
        <v>184</v>
      </c>
      <c r="C10" s="150" t="s">
        <v>218</v>
      </c>
      <c r="D10" s="136" t="s">
        <v>810</v>
      </c>
      <c r="E10" s="137" t="s">
        <v>811</v>
      </c>
      <c r="F10" s="137" t="s">
        <v>812</v>
      </c>
      <c r="G10" s="137" t="s">
        <v>813</v>
      </c>
      <c r="H10" s="137" t="s">
        <v>814</v>
      </c>
      <c r="I10" s="138" t="s">
        <v>815</v>
      </c>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t="s">
        <v>759</v>
      </c>
      <c r="E13" s="137" t="s">
        <v>760</v>
      </c>
      <c r="F13" s="137" t="s">
        <v>761</v>
      </c>
      <c r="G13" s="137" t="s">
        <v>762</v>
      </c>
      <c r="H13" s="137" t="s">
        <v>763</v>
      </c>
      <c r="I13" s="138" t="s">
        <v>764</v>
      </c>
      <c r="J13" s="139"/>
      <c r="K13" s="137" t="s">
        <v>775</v>
      </c>
      <c r="L13" s="137"/>
      <c r="M13" s="137"/>
      <c r="N13" s="140"/>
      <c r="O13" s="138"/>
    </row>
    <row r="14" spans="2:15" x14ac:dyDescent="0.25">
      <c r="B14" s="153" t="s">
        <v>188</v>
      </c>
      <c r="C14" s="150" t="s">
        <v>234</v>
      </c>
      <c r="D14" s="136" t="s">
        <v>782</v>
      </c>
      <c r="E14" s="137" t="s">
        <v>783</v>
      </c>
      <c r="F14" s="137" t="s">
        <v>784</v>
      </c>
      <c r="G14" s="137" t="s">
        <v>785</v>
      </c>
      <c r="H14" s="137" t="s">
        <v>786</v>
      </c>
      <c r="I14" s="138" t="s">
        <v>787</v>
      </c>
      <c r="J14" s="139"/>
      <c r="K14" s="137" t="s">
        <v>776</v>
      </c>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t="s">
        <v>777</v>
      </c>
      <c r="L15" s="137"/>
      <c r="M15" s="137"/>
      <c r="N15" s="140"/>
      <c r="O15" s="138"/>
    </row>
    <row r="16" spans="2:15" x14ac:dyDescent="0.25">
      <c r="B16" s="153" t="s">
        <v>190</v>
      </c>
      <c r="C16" s="150" t="s">
        <v>232</v>
      </c>
      <c r="D16" s="136" t="s">
        <v>747</v>
      </c>
      <c r="E16" s="137" t="s">
        <v>746</v>
      </c>
      <c r="F16" s="137" t="s">
        <v>748</v>
      </c>
      <c r="G16" s="137" t="s">
        <v>744</v>
      </c>
      <c r="H16" s="137" t="s">
        <v>745</v>
      </c>
      <c r="I16" s="137" t="s">
        <v>781</v>
      </c>
      <c r="J16" s="139"/>
      <c r="K16" s="137" t="s">
        <v>778</v>
      </c>
      <c r="L16" s="137"/>
      <c r="M16" s="137"/>
      <c r="N16" s="140"/>
      <c r="O16" s="138"/>
    </row>
    <row r="17" spans="2:15" x14ac:dyDescent="0.25">
      <c r="B17" s="153" t="s">
        <v>191</v>
      </c>
      <c r="C17" s="150" t="s">
        <v>231</v>
      </c>
      <c r="D17" s="136" t="s">
        <v>750</v>
      </c>
      <c r="E17" s="137" t="s">
        <v>751</v>
      </c>
      <c r="F17" s="137" t="s">
        <v>752</v>
      </c>
      <c r="G17" s="137" t="s">
        <v>753</v>
      </c>
      <c r="H17" s="137" t="s">
        <v>754</v>
      </c>
      <c r="I17" s="138"/>
      <c r="J17" s="139"/>
      <c r="K17" s="137" t="s">
        <v>779</v>
      </c>
      <c r="L17" s="137"/>
      <c r="M17" s="137"/>
      <c r="N17" s="140"/>
      <c r="O17" s="138"/>
    </row>
    <row r="18" spans="2:15" x14ac:dyDescent="0.25">
      <c r="B18" s="153" t="s">
        <v>192</v>
      </c>
      <c r="C18" s="150" t="s">
        <v>220</v>
      </c>
      <c r="D18" s="136" t="s">
        <v>792</v>
      </c>
      <c r="E18" s="137" t="s">
        <v>793</v>
      </c>
      <c r="F18" s="137" t="s">
        <v>794</v>
      </c>
      <c r="G18" s="137" t="s">
        <v>795</v>
      </c>
      <c r="H18" s="137" t="s">
        <v>796</v>
      </c>
      <c r="I18" s="138" t="s">
        <v>797</v>
      </c>
      <c r="J18" s="139"/>
      <c r="K18" s="137"/>
      <c r="L18" s="137"/>
      <c r="M18" s="137"/>
      <c r="N18" s="140"/>
      <c r="O18" s="138"/>
    </row>
    <row r="19" spans="2:15" x14ac:dyDescent="0.25">
      <c r="B19" s="153" t="s">
        <v>193</v>
      </c>
      <c r="C19" s="150" t="s">
        <v>228</v>
      </c>
      <c r="D19" s="136" t="s">
        <v>816</v>
      </c>
      <c r="E19" s="137" t="s">
        <v>793</v>
      </c>
      <c r="F19" s="137" t="s">
        <v>817</v>
      </c>
      <c r="G19" s="137" t="s">
        <v>818</v>
      </c>
      <c r="H19" s="137" t="s">
        <v>796</v>
      </c>
      <c r="I19" s="138" t="s">
        <v>797</v>
      </c>
      <c r="J19" s="139" t="s">
        <v>775</v>
      </c>
      <c r="K19" s="137" t="s">
        <v>776</v>
      </c>
      <c r="L19" s="137" t="s">
        <v>777</v>
      </c>
      <c r="M19" s="137" t="s">
        <v>778</v>
      </c>
      <c r="N19" s="140" t="s">
        <v>779</v>
      </c>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 thickBot="1" x14ac:dyDescent="0.3">
      <c r="B22" s="154" t="s">
        <v>196</v>
      </c>
      <c r="C22" s="155" t="s">
        <v>236</v>
      </c>
      <c r="D22" s="141" t="s">
        <v>798</v>
      </c>
      <c r="E22" s="142" t="s">
        <v>799</v>
      </c>
      <c r="F22" s="142" t="s">
        <v>800</v>
      </c>
      <c r="G22" s="142" t="s">
        <v>801</v>
      </c>
      <c r="H22" s="142" t="s">
        <v>802</v>
      </c>
      <c r="I22" s="143" t="s">
        <v>803</v>
      </c>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747</v>
      </c>
      <c r="E30" s="137" t="s">
        <v>746</v>
      </c>
      <c r="F30" s="137" t="s">
        <v>748</v>
      </c>
      <c r="G30" s="137" t="s">
        <v>744</v>
      </c>
      <c r="H30" s="137" t="s">
        <v>745</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 thickBot="1" x14ac:dyDescent="0.3">
      <c r="B44" s="154" t="s">
        <v>238</v>
      </c>
      <c r="C44" s="155" t="s">
        <v>706</v>
      </c>
      <c r="D44" s="141"/>
      <c r="E44" s="142"/>
      <c r="F44" s="142"/>
      <c r="G44" s="142"/>
      <c r="H44" s="142"/>
      <c r="I44" s="142"/>
      <c r="J44" s="142"/>
      <c r="K44" s="142"/>
      <c r="L44" s="142"/>
      <c r="M44" s="142"/>
      <c r="N44" s="145"/>
      <c r="O44" s="143"/>
    </row>
    <row r="45" spans="2:15" ht="13" thickBot="1" x14ac:dyDescent="0.3"/>
    <row r="46" spans="2:15" x14ac:dyDescent="0.25">
      <c r="D46" s="25" t="s">
        <v>741</v>
      </c>
      <c r="E46" s="25" t="s">
        <v>718</v>
      </c>
      <c r="F46" s="25" t="s">
        <v>719</v>
      </c>
      <c r="G46" s="25" t="s">
        <v>720</v>
      </c>
      <c r="H46" s="25" t="s">
        <v>721</v>
      </c>
      <c r="I46" s="134" t="s">
        <v>722</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5" x14ac:dyDescent="0.25"/>
  <cols>
    <col min="2" max="2" width="11.81640625" bestFit="1" customWidth="1"/>
    <col min="3" max="3" width="6.1796875" bestFit="1" customWidth="1"/>
    <col min="4" max="4" width="3.453125" bestFit="1" customWidth="1"/>
    <col min="5" max="5" width="15.26953125" bestFit="1" customWidth="1"/>
    <col min="6" max="7" width="14.1796875" bestFit="1" customWidth="1"/>
    <col min="8" max="8" width="14.81640625" bestFit="1" customWidth="1"/>
    <col min="9" max="9" width="20.81640625" bestFit="1" customWidth="1"/>
  </cols>
  <sheetData>
    <row r="2" spans="1:9" ht="14.5" x14ac:dyDescent="0.35">
      <c r="B2" s="107" t="s">
        <v>261</v>
      </c>
      <c r="C2" s="107" t="s">
        <v>262</v>
      </c>
      <c r="D2" s="107" t="s">
        <v>263</v>
      </c>
      <c r="E2" s="107" t="s">
        <v>264</v>
      </c>
      <c r="F2" s="107" t="s">
        <v>176</v>
      </c>
      <c r="G2" s="107" t="s">
        <v>265</v>
      </c>
      <c r="H2" s="107" t="s">
        <v>266</v>
      </c>
      <c r="I2" s="107" t="s">
        <v>267</v>
      </c>
    </row>
    <row r="3" spans="1:9" ht="14.5" x14ac:dyDescent="0.35">
      <c r="A3" t="str">
        <f>B3&amp;TEXT(C3,"000")</f>
        <v>E2025001</v>
      </c>
      <c r="B3" s="108" t="s">
        <v>268</v>
      </c>
      <c r="C3" s="109">
        <v>1</v>
      </c>
      <c r="D3" s="109">
        <v>1</v>
      </c>
      <c r="E3" s="108" t="s">
        <v>269</v>
      </c>
      <c r="F3" s="108" t="s">
        <v>182</v>
      </c>
      <c r="G3" s="108" t="s">
        <v>193</v>
      </c>
      <c r="H3" s="110">
        <v>45930.822916666664</v>
      </c>
      <c r="I3" s="108" t="s">
        <v>270</v>
      </c>
    </row>
    <row r="4" spans="1:9" ht="14.5" x14ac:dyDescent="0.35">
      <c r="A4" t="str">
        <f t="shared" ref="A4:A67" si="0">B4&amp;TEXT(C4,"000")</f>
        <v>E2025002</v>
      </c>
      <c r="B4" s="108" t="s">
        <v>268</v>
      </c>
      <c r="C4" s="109">
        <v>2</v>
      </c>
      <c r="D4" s="109">
        <v>1</v>
      </c>
      <c r="E4" s="108" t="s">
        <v>269</v>
      </c>
      <c r="F4" s="108" t="s">
        <v>179</v>
      </c>
      <c r="G4" s="108" t="s">
        <v>187</v>
      </c>
      <c r="H4" s="110">
        <v>45930.854166666664</v>
      </c>
      <c r="I4" s="108" t="s">
        <v>271</v>
      </c>
    </row>
    <row r="5" spans="1:9" ht="14.5" x14ac:dyDescent="0.35">
      <c r="A5" t="str">
        <f t="shared" si="0"/>
        <v>E2025003</v>
      </c>
      <c r="B5" s="108" t="s">
        <v>268</v>
      </c>
      <c r="C5" s="109">
        <v>3</v>
      </c>
      <c r="D5" s="109">
        <v>1</v>
      </c>
      <c r="E5" s="108" t="s">
        <v>269</v>
      </c>
      <c r="F5" s="108" t="s">
        <v>192</v>
      </c>
      <c r="G5" s="108" t="s">
        <v>185</v>
      </c>
      <c r="H5" s="110">
        <v>45930.833333333336</v>
      </c>
      <c r="I5" s="108" t="s">
        <v>272</v>
      </c>
    </row>
    <row r="6" spans="1:9" ht="14.5" x14ac:dyDescent="0.35">
      <c r="A6" t="str">
        <f t="shared" si="0"/>
        <v>E2025004</v>
      </c>
      <c r="B6" s="108" t="s">
        <v>268</v>
      </c>
      <c r="C6" s="109">
        <v>4</v>
      </c>
      <c r="D6" s="109">
        <v>1</v>
      </c>
      <c r="E6" s="108" t="s">
        <v>269</v>
      </c>
      <c r="F6" s="108" t="s">
        <v>180</v>
      </c>
      <c r="G6" s="108" t="s">
        <v>190</v>
      </c>
      <c r="H6" s="110">
        <v>45930.833333333336</v>
      </c>
      <c r="I6" s="108" t="s">
        <v>273</v>
      </c>
    </row>
    <row r="7" spans="1:9" ht="14.5" x14ac:dyDescent="0.35">
      <c r="A7" t="str">
        <f t="shared" si="0"/>
        <v>E2025005</v>
      </c>
      <c r="B7" s="108" t="s">
        <v>268</v>
      </c>
      <c r="C7" s="109">
        <v>5</v>
      </c>
      <c r="D7" s="109">
        <v>1</v>
      </c>
      <c r="E7" s="108" t="s">
        <v>269</v>
      </c>
      <c r="F7" s="108" t="s">
        <v>181</v>
      </c>
      <c r="G7" s="108" t="s">
        <v>178</v>
      </c>
      <c r="H7" s="110">
        <v>45930.791666666664</v>
      </c>
      <c r="I7" s="108" t="s">
        <v>273</v>
      </c>
    </row>
    <row r="8" spans="1:9" ht="14.5" x14ac:dyDescent="0.35">
      <c r="A8" t="str">
        <f t="shared" si="0"/>
        <v>E2025006</v>
      </c>
      <c r="B8" s="108" t="s">
        <v>268</v>
      </c>
      <c r="C8" s="109">
        <v>6</v>
      </c>
      <c r="D8" s="109">
        <v>1</v>
      </c>
      <c r="E8" s="108" t="s">
        <v>269</v>
      </c>
      <c r="F8" s="108" t="s">
        <v>189</v>
      </c>
      <c r="G8" s="108" t="s">
        <v>186</v>
      </c>
      <c r="H8" s="110">
        <v>45930.885416666664</v>
      </c>
      <c r="I8" s="108" t="s">
        <v>274</v>
      </c>
    </row>
    <row r="9" spans="1:9" ht="14.5" x14ac:dyDescent="0.35">
      <c r="A9" t="str">
        <f t="shared" si="0"/>
        <v>E2025007</v>
      </c>
      <c r="B9" s="108" t="s">
        <v>268</v>
      </c>
      <c r="C9" s="109">
        <v>7</v>
      </c>
      <c r="D9" s="109">
        <v>1</v>
      </c>
      <c r="E9" s="108" t="s">
        <v>269</v>
      </c>
      <c r="F9" s="108" t="s">
        <v>195</v>
      </c>
      <c r="G9" s="108" t="s">
        <v>183</v>
      </c>
      <c r="H9" s="110">
        <v>45930.864583333336</v>
      </c>
      <c r="I9" s="108" t="s">
        <v>275</v>
      </c>
    </row>
    <row r="10" spans="1:9" ht="14.5" x14ac:dyDescent="0.35">
      <c r="A10" t="str">
        <f t="shared" si="0"/>
        <v>E2025008</v>
      </c>
      <c r="B10" s="108" t="s">
        <v>268</v>
      </c>
      <c r="C10" s="109">
        <v>8</v>
      </c>
      <c r="D10" s="109">
        <v>1</v>
      </c>
      <c r="E10" s="108" t="s">
        <v>269</v>
      </c>
      <c r="F10" s="108" t="s">
        <v>194</v>
      </c>
      <c r="G10" s="108" t="s">
        <v>191</v>
      </c>
      <c r="H10" s="110">
        <v>45931.864583333336</v>
      </c>
      <c r="I10" s="108" t="s">
        <v>276</v>
      </c>
    </row>
    <row r="11" spans="1:9" ht="14.5" x14ac:dyDescent="0.35">
      <c r="A11" t="str">
        <f t="shared" si="0"/>
        <v>E2025009</v>
      </c>
      <c r="B11" s="108" t="s">
        <v>268</v>
      </c>
      <c r="C11" s="109">
        <v>9</v>
      </c>
      <c r="D11" s="109">
        <v>1</v>
      </c>
      <c r="E11" s="108" t="s">
        <v>269</v>
      </c>
      <c r="F11" s="108" t="s">
        <v>184</v>
      </c>
      <c r="G11" s="108" t="s">
        <v>196</v>
      </c>
      <c r="H11" s="110">
        <v>45931.8125</v>
      </c>
      <c r="I11" s="108" t="s">
        <v>277</v>
      </c>
    </row>
    <row r="12" spans="1:9" ht="14.5" x14ac:dyDescent="0.35">
      <c r="A12" t="str">
        <f t="shared" si="0"/>
        <v>E2025010</v>
      </c>
      <c r="B12" s="108" t="s">
        <v>268</v>
      </c>
      <c r="C12" s="109">
        <v>10</v>
      </c>
      <c r="D12" s="109">
        <v>1</v>
      </c>
      <c r="E12" s="108" t="s">
        <v>269</v>
      </c>
      <c r="F12" s="108" t="s">
        <v>177</v>
      </c>
      <c r="G12" s="108" t="s">
        <v>188</v>
      </c>
      <c r="H12" s="110">
        <v>45931.833333333336</v>
      </c>
      <c r="I12" s="108" t="s">
        <v>278</v>
      </c>
    </row>
    <row r="13" spans="1:9" ht="14.5" x14ac:dyDescent="0.35">
      <c r="A13" t="str">
        <f t="shared" si="0"/>
        <v>E2025011</v>
      </c>
      <c r="B13" s="108" t="s">
        <v>268</v>
      </c>
      <c r="C13" s="109">
        <v>11</v>
      </c>
      <c r="D13" s="109">
        <v>2</v>
      </c>
      <c r="E13" s="108" t="s">
        <v>269</v>
      </c>
      <c r="F13" s="108" t="s">
        <v>186</v>
      </c>
      <c r="G13" s="108" t="s">
        <v>192</v>
      </c>
      <c r="H13" s="110">
        <v>45932.854166666664</v>
      </c>
      <c r="I13" s="108" t="s">
        <v>279</v>
      </c>
    </row>
    <row r="14" spans="1:9" ht="14.5" x14ac:dyDescent="0.35">
      <c r="A14" t="str">
        <f t="shared" si="0"/>
        <v>E2025012</v>
      </c>
      <c r="B14" s="108" t="s">
        <v>268</v>
      </c>
      <c r="C14" s="109">
        <v>12</v>
      </c>
      <c r="D14" s="109">
        <v>2</v>
      </c>
      <c r="E14" s="108" t="s">
        <v>269</v>
      </c>
      <c r="F14" s="108" t="s">
        <v>190</v>
      </c>
      <c r="G14" s="108" t="s">
        <v>185</v>
      </c>
      <c r="H14" s="110">
        <v>45932.854166666664</v>
      </c>
      <c r="I14" s="108" t="s">
        <v>279</v>
      </c>
    </row>
    <row r="15" spans="1:9" ht="14.5" x14ac:dyDescent="0.35">
      <c r="A15" t="str">
        <f t="shared" si="0"/>
        <v>E2025013</v>
      </c>
      <c r="B15" s="108" t="s">
        <v>268</v>
      </c>
      <c r="C15" s="109">
        <v>13</v>
      </c>
      <c r="D15" s="109">
        <v>2</v>
      </c>
      <c r="E15" s="108" t="s">
        <v>269</v>
      </c>
      <c r="F15" s="108" t="s">
        <v>183</v>
      </c>
      <c r="G15" s="108" t="s">
        <v>187</v>
      </c>
      <c r="H15" s="110">
        <v>45932.864583333336</v>
      </c>
      <c r="I15" s="108" t="s">
        <v>280</v>
      </c>
    </row>
    <row r="16" spans="1:9" ht="14.5" x14ac:dyDescent="0.35">
      <c r="A16" t="str">
        <f t="shared" si="0"/>
        <v>E2025014</v>
      </c>
      <c r="B16" s="108" t="s">
        <v>268</v>
      </c>
      <c r="C16" s="109">
        <v>14</v>
      </c>
      <c r="D16" s="109">
        <v>2</v>
      </c>
      <c r="E16" s="108" t="s">
        <v>269</v>
      </c>
      <c r="F16" s="108" t="s">
        <v>182</v>
      </c>
      <c r="G16" s="108" t="s">
        <v>181</v>
      </c>
      <c r="H16" s="110">
        <v>45933.8125</v>
      </c>
      <c r="I16" s="108" t="s">
        <v>281</v>
      </c>
    </row>
    <row r="17" spans="1:9" ht="14.5" x14ac:dyDescent="0.35">
      <c r="A17" t="str">
        <f t="shared" si="0"/>
        <v>E2025015</v>
      </c>
      <c r="B17" s="108" t="s">
        <v>268</v>
      </c>
      <c r="C17" s="109">
        <v>15</v>
      </c>
      <c r="D17" s="109">
        <v>2</v>
      </c>
      <c r="E17" s="108" t="s">
        <v>269</v>
      </c>
      <c r="F17" s="108" t="s">
        <v>193</v>
      </c>
      <c r="G17" s="108" t="s">
        <v>191</v>
      </c>
      <c r="H17" s="110">
        <v>45933.895833333336</v>
      </c>
      <c r="I17" s="108" t="s">
        <v>282</v>
      </c>
    </row>
    <row r="18" spans="1:9" ht="14.5" x14ac:dyDescent="0.35">
      <c r="A18" t="str">
        <f t="shared" si="0"/>
        <v>E2025016</v>
      </c>
      <c r="B18" s="108" t="s">
        <v>268</v>
      </c>
      <c r="C18" s="109">
        <v>16</v>
      </c>
      <c r="D18" s="109">
        <v>2</v>
      </c>
      <c r="E18" s="108" t="s">
        <v>269</v>
      </c>
      <c r="F18" s="108" t="s">
        <v>184</v>
      </c>
      <c r="G18" s="108" t="s">
        <v>180</v>
      </c>
      <c r="H18" s="110">
        <v>45933.8125</v>
      </c>
      <c r="I18" s="108" t="s">
        <v>281</v>
      </c>
    </row>
    <row r="19" spans="1:9" ht="14.5" x14ac:dyDescent="0.35">
      <c r="A19" t="str">
        <f t="shared" si="0"/>
        <v>E2025017</v>
      </c>
      <c r="B19" s="108" t="s">
        <v>268</v>
      </c>
      <c r="C19" s="109">
        <v>17</v>
      </c>
      <c r="D19" s="109">
        <v>2</v>
      </c>
      <c r="E19" s="108" t="s">
        <v>269</v>
      </c>
      <c r="F19" s="108" t="s">
        <v>177</v>
      </c>
      <c r="G19" s="108" t="s">
        <v>179</v>
      </c>
      <c r="H19" s="110">
        <v>45933.833333333336</v>
      </c>
      <c r="I19" s="108" t="s">
        <v>283</v>
      </c>
    </row>
    <row r="20" spans="1:9" ht="14.5" x14ac:dyDescent="0.35">
      <c r="A20" t="str">
        <f t="shared" si="0"/>
        <v>E2025018</v>
      </c>
      <c r="B20" s="108" t="s">
        <v>268</v>
      </c>
      <c r="C20" s="109">
        <v>18</v>
      </c>
      <c r="D20" s="109">
        <v>2</v>
      </c>
      <c r="E20" s="108" t="s">
        <v>269</v>
      </c>
      <c r="F20" s="108" t="s">
        <v>189</v>
      </c>
      <c r="G20" s="108" t="s">
        <v>178</v>
      </c>
      <c r="H20" s="110">
        <v>45933.885416666664</v>
      </c>
      <c r="I20" s="108" t="s">
        <v>284</v>
      </c>
    </row>
    <row r="21" spans="1:9" ht="14.5" x14ac:dyDescent="0.35">
      <c r="A21" t="str">
        <f t="shared" si="0"/>
        <v>E2025019</v>
      </c>
      <c r="B21" s="108" t="s">
        <v>268</v>
      </c>
      <c r="C21" s="109">
        <v>19</v>
      </c>
      <c r="D21" s="109">
        <v>2</v>
      </c>
      <c r="E21" s="108" t="s">
        <v>269</v>
      </c>
      <c r="F21" s="108" t="s">
        <v>188</v>
      </c>
      <c r="G21" s="108" t="s">
        <v>195</v>
      </c>
      <c r="H21" s="110">
        <v>45933.854166666664</v>
      </c>
      <c r="I21" s="108" t="s">
        <v>285</v>
      </c>
    </row>
    <row r="22" spans="1:9" ht="14.5" x14ac:dyDescent="0.35">
      <c r="A22" t="str">
        <f t="shared" si="0"/>
        <v>E2025020</v>
      </c>
      <c r="B22" s="108" t="s">
        <v>268</v>
      </c>
      <c r="C22" s="109">
        <v>20</v>
      </c>
      <c r="D22" s="109">
        <v>2</v>
      </c>
      <c r="E22" s="108" t="s">
        <v>269</v>
      </c>
      <c r="F22" s="108" t="s">
        <v>196</v>
      </c>
      <c r="G22" s="108" t="s">
        <v>194</v>
      </c>
      <c r="H22" s="110">
        <v>45933.833333333336</v>
      </c>
      <c r="I22" s="108" t="s">
        <v>286</v>
      </c>
    </row>
    <row r="23" spans="1:9" ht="14.5" x14ac:dyDescent="0.35">
      <c r="A23" t="str">
        <f t="shared" si="0"/>
        <v>E2025021</v>
      </c>
      <c r="B23" s="108" t="s">
        <v>268</v>
      </c>
      <c r="C23" s="109">
        <v>21</v>
      </c>
      <c r="D23" s="109">
        <v>3</v>
      </c>
      <c r="E23" s="108" t="s">
        <v>269</v>
      </c>
      <c r="F23" s="108" t="s">
        <v>181</v>
      </c>
      <c r="G23" s="108" t="s">
        <v>193</v>
      </c>
      <c r="H23" s="110">
        <v>45938.878472222219</v>
      </c>
      <c r="I23" s="108" t="s">
        <v>287</v>
      </c>
    </row>
    <row r="24" spans="1:9" ht="14.5" x14ac:dyDescent="0.35">
      <c r="A24" t="str">
        <f t="shared" si="0"/>
        <v>E2025022</v>
      </c>
      <c r="B24" s="108" t="s">
        <v>268</v>
      </c>
      <c r="C24" s="109">
        <v>22</v>
      </c>
      <c r="D24" s="109">
        <v>3</v>
      </c>
      <c r="E24" s="108" t="s">
        <v>269</v>
      </c>
      <c r="F24" s="108" t="s">
        <v>179</v>
      </c>
      <c r="G24" s="108" t="s">
        <v>189</v>
      </c>
      <c r="H24" s="110">
        <v>45939.854166666664</v>
      </c>
      <c r="I24" s="108" t="s">
        <v>288</v>
      </c>
    </row>
    <row r="25" spans="1:9" ht="14.5" x14ac:dyDescent="0.35">
      <c r="A25" t="str">
        <f t="shared" si="0"/>
        <v>E2025023</v>
      </c>
      <c r="B25" s="108" t="s">
        <v>268</v>
      </c>
      <c r="C25" s="109">
        <v>23</v>
      </c>
      <c r="D25" s="109">
        <v>3</v>
      </c>
      <c r="E25" s="108" t="s">
        <v>269</v>
      </c>
      <c r="F25" s="108" t="s">
        <v>185</v>
      </c>
      <c r="G25" s="108" t="s">
        <v>184</v>
      </c>
      <c r="H25" s="110">
        <v>45939.854166666664</v>
      </c>
      <c r="I25" s="108" t="s">
        <v>288</v>
      </c>
    </row>
    <row r="26" spans="1:9" ht="14.5" x14ac:dyDescent="0.35">
      <c r="A26" t="str">
        <f t="shared" si="0"/>
        <v>E2025024</v>
      </c>
      <c r="B26" s="108" t="s">
        <v>268</v>
      </c>
      <c r="C26" s="109">
        <v>24</v>
      </c>
      <c r="D26" s="109">
        <v>3</v>
      </c>
      <c r="E26" s="108" t="s">
        <v>269</v>
      </c>
      <c r="F26" s="108" t="s">
        <v>191</v>
      </c>
      <c r="G26" s="108" t="s">
        <v>195</v>
      </c>
      <c r="H26" s="110">
        <v>45939.864583333336</v>
      </c>
      <c r="I26" s="108" t="s">
        <v>289</v>
      </c>
    </row>
    <row r="27" spans="1:9" ht="14.5" x14ac:dyDescent="0.35">
      <c r="A27" t="str">
        <f t="shared" si="0"/>
        <v>E2025025</v>
      </c>
      <c r="B27" s="108" t="s">
        <v>268</v>
      </c>
      <c r="C27" s="109">
        <v>25</v>
      </c>
      <c r="D27" s="109">
        <v>3</v>
      </c>
      <c r="E27" s="108" t="s">
        <v>269</v>
      </c>
      <c r="F27" s="108" t="s">
        <v>183</v>
      </c>
      <c r="G27" s="108" t="s">
        <v>177</v>
      </c>
      <c r="H27" s="110">
        <v>45939.875</v>
      </c>
      <c r="I27" s="108" t="s">
        <v>290</v>
      </c>
    </row>
    <row r="28" spans="1:9" ht="14.5" x14ac:dyDescent="0.35">
      <c r="A28" t="str">
        <f t="shared" si="0"/>
        <v>E2025026</v>
      </c>
      <c r="B28" s="108" t="s">
        <v>268</v>
      </c>
      <c r="C28" s="109">
        <v>26</v>
      </c>
      <c r="D28" s="109">
        <v>3</v>
      </c>
      <c r="E28" s="108" t="s">
        <v>269</v>
      </c>
      <c r="F28" s="108" t="s">
        <v>190</v>
      </c>
      <c r="G28" s="108" t="s">
        <v>182</v>
      </c>
      <c r="H28" s="110">
        <v>45939.854166666664</v>
      </c>
      <c r="I28" s="108" t="s">
        <v>288</v>
      </c>
    </row>
    <row r="29" spans="1:9" ht="14.5" x14ac:dyDescent="0.35">
      <c r="A29" t="str">
        <f t="shared" si="0"/>
        <v>E2025027</v>
      </c>
      <c r="B29" s="108" t="s">
        <v>268</v>
      </c>
      <c r="C29" s="109">
        <v>27</v>
      </c>
      <c r="D29" s="109">
        <v>3</v>
      </c>
      <c r="E29" s="108" t="s">
        <v>269</v>
      </c>
      <c r="F29" s="108" t="s">
        <v>187</v>
      </c>
      <c r="G29" s="108" t="s">
        <v>180</v>
      </c>
      <c r="H29" s="110">
        <v>45940.885416666664</v>
      </c>
      <c r="I29" s="108" t="s">
        <v>291</v>
      </c>
    </row>
    <row r="30" spans="1:9" ht="14.5" x14ac:dyDescent="0.35">
      <c r="A30" t="str">
        <f t="shared" si="0"/>
        <v>E2025028</v>
      </c>
      <c r="B30" s="108" t="s">
        <v>268</v>
      </c>
      <c r="C30" s="109">
        <v>28</v>
      </c>
      <c r="D30" s="109">
        <v>3</v>
      </c>
      <c r="E30" s="108" t="s">
        <v>269</v>
      </c>
      <c r="F30" s="108" t="s">
        <v>178</v>
      </c>
      <c r="G30" s="108" t="s">
        <v>188</v>
      </c>
      <c r="H30" s="110">
        <v>45940.854166666664</v>
      </c>
      <c r="I30" s="108" t="s">
        <v>292</v>
      </c>
    </row>
    <row r="31" spans="1:9" ht="14.5" x14ac:dyDescent="0.35">
      <c r="A31" t="str">
        <f t="shared" si="0"/>
        <v>E2025029</v>
      </c>
      <c r="B31" s="108" t="s">
        <v>268</v>
      </c>
      <c r="C31" s="109">
        <v>29</v>
      </c>
      <c r="D31" s="109">
        <v>3</v>
      </c>
      <c r="E31" s="108" t="s">
        <v>269</v>
      </c>
      <c r="F31" s="108" t="s">
        <v>186</v>
      </c>
      <c r="G31" s="108" t="s">
        <v>196</v>
      </c>
      <c r="H31" s="110">
        <v>45940.854166666664</v>
      </c>
      <c r="I31" s="108" t="s">
        <v>292</v>
      </c>
    </row>
    <row r="32" spans="1:9" ht="14.5" x14ac:dyDescent="0.35">
      <c r="A32" t="str">
        <f t="shared" si="0"/>
        <v>E2025030</v>
      </c>
      <c r="B32" s="108" t="s">
        <v>268</v>
      </c>
      <c r="C32" s="109">
        <v>30</v>
      </c>
      <c r="D32" s="109">
        <v>3</v>
      </c>
      <c r="E32" s="108" t="s">
        <v>269</v>
      </c>
      <c r="F32" s="108" t="s">
        <v>194</v>
      </c>
      <c r="G32" s="108" t="s">
        <v>192</v>
      </c>
      <c r="H32" s="110">
        <v>45940.864583333336</v>
      </c>
      <c r="I32" s="108" t="s">
        <v>293</v>
      </c>
    </row>
    <row r="33" spans="1:9" ht="14.5" x14ac:dyDescent="0.35">
      <c r="A33" t="str">
        <f t="shared" si="0"/>
        <v>E2025031</v>
      </c>
      <c r="B33" s="108" t="s">
        <v>268</v>
      </c>
      <c r="C33" s="109">
        <v>31</v>
      </c>
      <c r="D33" s="109">
        <v>4</v>
      </c>
      <c r="E33" s="108" t="s">
        <v>269</v>
      </c>
      <c r="F33" s="108" t="s">
        <v>192</v>
      </c>
      <c r="G33" s="108" t="s">
        <v>196</v>
      </c>
      <c r="H33" s="110">
        <v>45944.833333333336</v>
      </c>
      <c r="I33" s="108" t="s">
        <v>294</v>
      </c>
    </row>
    <row r="34" spans="1:9" ht="14.5" x14ac:dyDescent="0.35">
      <c r="A34" t="str">
        <f t="shared" si="0"/>
        <v>E2025032</v>
      </c>
      <c r="B34" s="108" t="s">
        <v>268</v>
      </c>
      <c r="C34" s="109">
        <v>32</v>
      </c>
      <c r="D34" s="109">
        <v>4</v>
      </c>
      <c r="E34" s="108" t="s">
        <v>269</v>
      </c>
      <c r="F34" s="108" t="s">
        <v>186</v>
      </c>
      <c r="G34" s="108" t="s">
        <v>185</v>
      </c>
      <c r="H34" s="110">
        <v>45944.854166666664</v>
      </c>
      <c r="I34" s="108" t="s">
        <v>295</v>
      </c>
    </row>
    <row r="35" spans="1:9" ht="14.5" x14ac:dyDescent="0.35">
      <c r="A35" t="str">
        <f t="shared" si="0"/>
        <v>E2025033</v>
      </c>
      <c r="B35" s="108" t="s">
        <v>268</v>
      </c>
      <c r="C35" s="109">
        <v>33</v>
      </c>
      <c r="D35" s="109">
        <v>4</v>
      </c>
      <c r="E35" s="108" t="s">
        <v>269</v>
      </c>
      <c r="F35" s="108" t="s">
        <v>194</v>
      </c>
      <c r="G35" s="108" t="s">
        <v>180</v>
      </c>
      <c r="H35" s="110">
        <v>45944.864583333336</v>
      </c>
      <c r="I35" s="108" t="s">
        <v>296</v>
      </c>
    </row>
    <row r="36" spans="1:9" ht="14.5" x14ac:dyDescent="0.35">
      <c r="A36" t="str">
        <f t="shared" si="0"/>
        <v>E2025034</v>
      </c>
      <c r="B36" s="108" t="s">
        <v>268</v>
      </c>
      <c r="C36" s="109">
        <v>34</v>
      </c>
      <c r="D36" s="109">
        <v>4</v>
      </c>
      <c r="E36" s="108" t="s">
        <v>269</v>
      </c>
      <c r="F36" s="108" t="s">
        <v>187</v>
      </c>
      <c r="G36" s="108" t="s">
        <v>182</v>
      </c>
      <c r="H36" s="110">
        <v>45944.885416666664</v>
      </c>
      <c r="I36" s="108" t="s">
        <v>297</v>
      </c>
    </row>
    <row r="37" spans="1:9" ht="14.5" x14ac:dyDescent="0.35">
      <c r="A37" t="str">
        <f t="shared" si="0"/>
        <v>E2025035</v>
      </c>
      <c r="B37" s="108" t="s">
        <v>268</v>
      </c>
      <c r="C37" s="109">
        <v>35</v>
      </c>
      <c r="D37" s="109">
        <v>4</v>
      </c>
      <c r="E37" s="108" t="s">
        <v>269</v>
      </c>
      <c r="F37" s="108" t="s">
        <v>193</v>
      </c>
      <c r="G37" s="108" t="s">
        <v>178</v>
      </c>
      <c r="H37" s="110">
        <v>45944.791666666664</v>
      </c>
      <c r="I37" s="108" t="s">
        <v>298</v>
      </c>
    </row>
    <row r="38" spans="1:9" ht="14.5" x14ac:dyDescent="0.35">
      <c r="A38" t="str">
        <f t="shared" si="0"/>
        <v>E2025036</v>
      </c>
      <c r="B38" s="108" t="s">
        <v>268</v>
      </c>
      <c r="C38" s="109">
        <v>36</v>
      </c>
      <c r="D38" s="109">
        <v>4</v>
      </c>
      <c r="E38" s="108" t="s">
        <v>269</v>
      </c>
      <c r="F38" s="108" t="s">
        <v>189</v>
      </c>
      <c r="G38" s="108" t="s">
        <v>177</v>
      </c>
      <c r="H38" s="110">
        <v>45945.885416666664</v>
      </c>
      <c r="I38" s="108" t="s">
        <v>299</v>
      </c>
    </row>
    <row r="39" spans="1:9" ht="14.5" x14ac:dyDescent="0.35">
      <c r="A39" t="str">
        <f t="shared" si="0"/>
        <v>E2025037</v>
      </c>
      <c r="B39" s="108" t="s">
        <v>268</v>
      </c>
      <c r="C39" s="109">
        <v>37</v>
      </c>
      <c r="D39" s="109">
        <v>4</v>
      </c>
      <c r="E39" s="108" t="s">
        <v>269</v>
      </c>
      <c r="F39" s="108" t="s">
        <v>191</v>
      </c>
      <c r="G39" s="108" t="s">
        <v>179</v>
      </c>
      <c r="H39" s="110">
        <v>45945.864583333336</v>
      </c>
      <c r="I39" s="108" t="s">
        <v>300</v>
      </c>
    </row>
    <row r="40" spans="1:9" ht="14.5" x14ac:dyDescent="0.35">
      <c r="A40" t="str">
        <f t="shared" si="0"/>
        <v>E2025038</v>
      </c>
      <c r="B40" s="108" t="s">
        <v>268</v>
      </c>
      <c r="C40" s="109">
        <v>38</v>
      </c>
      <c r="D40" s="109">
        <v>4</v>
      </c>
      <c r="E40" s="108" t="s">
        <v>269</v>
      </c>
      <c r="F40" s="108" t="s">
        <v>183</v>
      </c>
      <c r="G40" s="108" t="s">
        <v>190</v>
      </c>
      <c r="H40" s="110">
        <v>45945.864583333336</v>
      </c>
      <c r="I40" s="108" t="s">
        <v>300</v>
      </c>
    </row>
    <row r="41" spans="1:9" ht="14.5" x14ac:dyDescent="0.35">
      <c r="A41" t="str">
        <f t="shared" si="0"/>
        <v>E2025039</v>
      </c>
      <c r="B41" s="108" t="s">
        <v>268</v>
      </c>
      <c r="C41" s="109">
        <v>39</v>
      </c>
      <c r="D41" s="109">
        <v>4</v>
      </c>
      <c r="E41" s="108" t="s">
        <v>269</v>
      </c>
      <c r="F41" s="108" t="s">
        <v>188</v>
      </c>
      <c r="G41" s="108" t="s">
        <v>181</v>
      </c>
      <c r="H41" s="110">
        <v>45945.854166666664</v>
      </c>
      <c r="I41" s="108" t="s">
        <v>301</v>
      </c>
    </row>
    <row r="42" spans="1:9" ht="14.5" x14ac:dyDescent="0.35">
      <c r="A42" t="str">
        <f t="shared" si="0"/>
        <v>E2025040</v>
      </c>
      <c r="B42" s="108" t="s">
        <v>268</v>
      </c>
      <c r="C42" s="109">
        <v>40</v>
      </c>
      <c r="D42" s="109">
        <v>4</v>
      </c>
      <c r="E42" s="108" t="s">
        <v>269</v>
      </c>
      <c r="F42" s="108" t="s">
        <v>195</v>
      </c>
      <c r="G42" s="108" t="s">
        <v>184</v>
      </c>
      <c r="H42" s="110">
        <v>45945.854166666664</v>
      </c>
      <c r="I42" s="108" t="s">
        <v>301</v>
      </c>
    </row>
    <row r="43" spans="1:9" ht="14.5" x14ac:dyDescent="0.35">
      <c r="A43" t="str">
        <f t="shared" si="0"/>
        <v>E2025041</v>
      </c>
      <c r="B43" s="108" t="s">
        <v>268</v>
      </c>
      <c r="C43" s="109">
        <v>41</v>
      </c>
      <c r="D43" s="109">
        <v>5</v>
      </c>
      <c r="E43" s="108" t="s">
        <v>269</v>
      </c>
      <c r="F43" s="108" t="s">
        <v>180</v>
      </c>
      <c r="G43" s="108" t="s">
        <v>178</v>
      </c>
      <c r="H43" s="110">
        <v>45946.833333333336</v>
      </c>
      <c r="I43" s="108" t="s">
        <v>302</v>
      </c>
    </row>
    <row r="44" spans="1:9" ht="14.5" x14ac:dyDescent="0.35">
      <c r="A44" t="str">
        <f t="shared" si="0"/>
        <v>E2025042</v>
      </c>
      <c r="B44" s="108" t="s">
        <v>268</v>
      </c>
      <c r="C44" s="109">
        <v>42</v>
      </c>
      <c r="D44" s="109">
        <v>5</v>
      </c>
      <c r="E44" s="108" t="s">
        <v>269</v>
      </c>
      <c r="F44" s="108" t="s">
        <v>194</v>
      </c>
      <c r="G44" s="108" t="s">
        <v>186</v>
      </c>
      <c r="H44" s="110">
        <v>45946.864583333336</v>
      </c>
      <c r="I44" s="108" t="s">
        <v>303</v>
      </c>
    </row>
    <row r="45" spans="1:9" ht="14.5" x14ac:dyDescent="0.35">
      <c r="A45" t="str">
        <f t="shared" si="0"/>
        <v>E2025043</v>
      </c>
      <c r="B45" s="108" t="s">
        <v>268</v>
      </c>
      <c r="C45" s="109">
        <v>43</v>
      </c>
      <c r="D45" s="109">
        <v>5</v>
      </c>
      <c r="E45" s="108" t="s">
        <v>269</v>
      </c>
      <c r="F45" s="108" t="s">
        <v>193</v>
      </c>
      <c r="G45" s="108" t="s">
        <v>187</v>
      </c>
      <c r="H45" s="110">
        <v>45946.875</v>
      </c>
      <c r="I45" s="108" t="s">
        <v>304</v>
      </c>
    </row>
    <row r="46" spans="1:9" ht="14.5" x14ac:dyDescent="0.35">
      <c r="A46" t="str">
        <f t="shared" si="0"/>
        <v>E2025044</v>
      </c>
      <c r="B46" s="108" t="s">
        <v>268</v>
      </c>
      <c r="C46" s="109">
        <v>44</v>
      </c>
      <c r="D46" s="109">
        <v>5</v>
      </c>
      <c r="E46" s="108" t="s">
        <v>269</v>
      </c>
      <c r="F46" s="108" t="s">
        <v>196</v>
      </c>
      <c r="G46" s="108" t="s">
        <v>185</v>
      </c>
      <c r="H46" s="110">
        <v>45946.833333333336</v>
      </c>
      <c r="I46" s="108" t="s">
        <v>305</v>
      </c>
    </row>
    <row r="47" spans="1:9" ht="14.5" x14ac:dyDescent="0.35">
      <c r="A47" t="str">
        <f t="shared" si="0"/>
        <v>E2025045</v>
      </c>
      <c r="B47" s="108" t="s">
        <v>268</v>
      </c>
      <c r="C47" s="109">
        <v>45</v>
      </c>
      <c r="D47" s="109">
        <v>5</v>
      </c>
      <c r="E47" s="108" t="s">
        <v>269</v>
      </c>
      <c r="F47" s="108" t="s">
        <v>182</v>
      </c>
      <c r="G47" s="108" t="s">
        <v>189</v>
      </c>
      <c r="H47" s="110">
        <v>45947.854166666664</v>
      </c>
      <c r="I47" s="108" t="s">
        <v>306</v>
      </c>
    </row>
    <row r="48" spans="1:9" ht="14.5" x14ac:dyDescent="0.35">
      <c r="A48" t="str">
        <f t="shared" si="0"/>
        <v>E2025046</v>
      </c>
      <c r="B48" s="108" t="s">
        <v>268</v>
      </c>
      <c r="C48" s="109">
        <v>46</v>
      </c>
      <c r="D48" s="109">
        <v>5</v>
      </c>
      <c r="E48" s="108" t="s">
        <v>269</v>
      </c>
      <c r="F48" s="108" t="s">
        <v>184</v>
      </c>
      <c r="G48" s="108" t="s">
        <v>188</v>
      </c>
      <c r="H48" s="110">
        <v>45947.8125</v>
      </c>
      <c r="I48" s="108" t="s">
        <v>306</v>
      </c>
    </row>
    <row r="49" spans="1:9" ht="14.5" x14ac:dyDescent="0.35">
      <c r="A49" t="str">
        <f t="shared" si="0"/>
        <v>E2025047</v>
      </c>
      <c r="B49" s="108" t="s">
        <v>268</v>
      </c>
      <c r="C49" s="109">
        <v>47</v>
      </c>
      <c r="D49" s="109">
        <v>5</v>
      </c>
      <c r="E49" s="108" t="s">
        <v>269</v>
      </c>
      <c r="F49" s="108" t="s">
        <v>179</v>
      </c>
      <c r="G49" s="108" t="s">
        <v>190</v>
      </c>
      <c r="H49" s="110">
        <v>45947.864583333336</v>
      </c>
      <c r="I49" s="108" t="s">
        <v>307</v>
      </c>
    </row>
    <row r="50" spans="1:9" ht="14.5" x14ac:dyDescent="0.35">
      <c r="A50" t="str">
        <f t="shared" si="0"/>
        <v>E2025048</v>
      </c>
      <c r="B50" s="108" t="s">
        <v>268</v>
      </c>
      <c r="C50" s="109">
        <v>48</v>
      </c>
      <c r="D50" s="109">
        <v>5</v>
      </c>
      <c r="E50" s="108" t="s">
        <v>269</v>
      </c>
      <c r="F50" s="108" t="s">
        <v>192</v>
      </c>
      <c r="G50" s="108" t="s">
        <v>183</v>
      </c>
      <c r="H50" s="110">
        <v>45947.791666666664</v>
      </c>
      <c r="I50" s="108" t="s">
        <v>308</v>
      </c>
    </row>
    <row r="51" spans="1:9" ht="14.5" x14ac:dyDescent="0.35">
      <c r="A51" t="str">
        <f t="shared" si="0"/>
        <v>E2025049</v>
      </c>
      <c r="B51" s="108" t="s">
        <v>268</v>
      </c>
      <c r="C51" s="109">
        <v>49</v>
      </c>
      <c r="D51" s="109">
        <v>5</v>
      </c>
      <c r="E51" s="108" t="s">
        <v>269</v>
      </c>
      <c r="F51" s="108" t="s">
        <v>177</v>
      </c>
      <c r="G51" s="108" t="s">
        <v>195</v>
      </c>
      <c r="H51" s="110">
        <v>45947.833333333336</v>
      </c>
      <c r="I51" s="108" t="s">
        <v>309</v>
      </c>
    </row>
    <row r="52" spans="1:9" ht="14.5" x14ac:dyDescent="0.35">
      <c r="A52" t="str">
        <f t="shared" si="0"/>
        <v>E2025050</v>
      </c>
      <c r="B52" s="108" t="s">
        <v>268</v>
      </c>
      <c r="C52" s="109">
        <v>50</v>
      </c>
      <c r="D52" s="109">
        <v>5</v>
      </c>
      <c r="E52" s="108" t="s">
        <v>269</v>
      </c>
      <c r="F52" s="108" t="s">
        <v>191</v>
      </c>
      <c r="G52" s="108" t="s">
        <v>181</v>
      </c>
      <c r="H52" s="110">
        <v>45947.864583333336</v>
      </c>
      <c r="I52" s="108" t="s">
        <v>307</v>
      </c>
    </row>
    <row r="53" spans="1:9" ht="14.5" x14ac:dyDescent="0.35">
      <c r="A53" t="str">
        <f t="shared" si="0"/>
        <v>E2025051</v>
      </c>
      <c r="B53" s="108" t="s">
        <v>268</v>
      </c>
      <c r="C53" s="109">
        <v>51</v>
      </c>
      <c r="D53" s="109">
        <v>6</v>
      </c>
      <c r="E53" s="108" t="s">
        <v>269</v>
      </c>
      <c r="F53" s="108" t="s">
        <v>193</v>
      </c>
      <c r="G53" s="108" t="s">
        <v>183</v>
      </c>
      <c r="H53" s="110">
        <v>45952.836805555555</v>
      </c>
      <c r="I53" s="108" t="s">
        <v>310</v>
      </c>
    </row>
    <row r="54" spans="1:9" ht="14.5" x14ac:dyDescent="0.35">
      <c r="A54" t="str">
        <f t="shared" si="0"/>
        <v>E2025052</v>
      </c>
      <c r="B54" s="108" t="s">
        <v>268</v>
      </c>
      <c r="C54" s="109">
        <v>52</v>
      </c>
      <c r="D54" s="109">
        <v>6</v>
      </c>
      <c r="E54" s="108" t="s">
        <v>269</v>
      </c>
      <c r="F54" s="108" t="s">
        <v>192</v>
      </c>
      <c r="G54" s="108" t="s">
        <v>179</v>
      </c>
      <c r="H54" s="110">
        <v>45953.875</v>
      </c>
      <c r="I54" s="108" t="s">
        <v>311</v>
      </c>
    </row>
    <row r="55" spans="1:9" ht="14.5" x14ac:dyDescent="0.35">
      <c r="A55" t="str">
        <f t="shared" si="0"/>
        <v>E2025053</v>
      </c>
      <c r="B55" s="108" t="s">
        <v>268</v>
      </c>
      <c r="C55" s="109">
        <v>53</v>
      </c>
      <c r="D55" s="109">
        <v>6</v>
      </c>
      <c r="E55" s="108" t="s">
        <v>269</v>
      </c>
      <c r="F55" s="108" t="s">
        <v>185</v>
      </c>
      <c r="G55" s="108" t="s">
        <v>188</v>
      </c>
      <c r="H55" s="110">
        <v>45953.854166666664</v>
      </c>
      <c r="I55" s="108" t="s">
        <v>312</v>
      </c>
    </row>
    <row r="56" spans="1:9" ht="14.5" x14ac:dyDescent="0.35">
      <c r="A56" t="str">
        <f t="shared" si="0"/>
        <v>E2025054</v>
      </c>
      <c r="B56" s="108" t="s">
        <v>268</v>
      </c>
      <c r="C56" s="109">
        <v>54</v>
      </c>
      <c r="D56" s="109">
        <v>6</v>
      </c>
      <c r="E56" s="108" t="s">
        <v>269</v>
      </c>
      <c r="F56" s="108" t="s">
        <v>178</v>
      </c>
      <c r="G56" s="108" t="s">
        <v>196</v>
      </c>
      <c r="H56" s="110">
        <v>45953.854166666664</v>
      </c>
      <c r="I56" s="108" t="s">
        <v>312</v>
      </c>
    </row>
    <row r="57" spans="1:9" ht="14.5" x14ac:dyDescent="0.35">
      <c r="A57" t="str">
        <f t="shared" si="0"/>
        <v>E2025055</v>
      </c>
      <c r="B57" s="108" t="s">
        <v>268</v>
      </c>
      <c r="C57" s="109">
        <v>55</v>
      </c>
      <c r="D57" s="109">
        <v>6</v>
      </c>
      <c r="E57" s="108" t="s">
        <v>269</v>
      </c>
      <c r="F57" s="108" t="s">
        <v>181</v>
      </c>
      <c r="G57" s="108" t="s">
        <v>184</v>
      </c>
      <c r="H57" s="110">
        <v>45953.878472222219</v>
      </c>
      <c r="I57" s="108" t="s">
        <v>313</v>
      </c>
    </row>
    <row r="58" spans="1:9" ht="14.5" x14ac:dyDescent="0.35">
      <c r="A58" t="str">
        <f t="shared" si="0"/>
        <v>E2025056</v>
      </c>
      <c r="B58" s="108" t="s">
        <v>268</v>
      </c>
      <c r="C58" s="109">
        <v>56</v>
      </c>
      <c r="D58" s="109">
        <v>6</v>
      </c>
      <c r="E58" s="108" t="s">
        <v>269</v>
      </c>
      <c r="F58" s="108" t="s">
        <v>177</v>
      </c>
      <c r="G58" s="108" t="s">
        <v>180</v>
      </c>
      <c r="H58" s="110">
        <v>45953.8125</v>
      </c>
      <c r="I58" s="108" t="s">
        <v>314</v>
      </c>
    </row>
    <row r="59" spans="1:9" ht="14.5" x14ac:dyDescent="0.35">
      <c r="A59" t="str">
        <f t="shared" si="0"/>
        <v>E2025057</v>
      </c>
      <c r="B59" s="108" t="s">
        <v>268</v>
      </c>
      <c r="C59" s="109">
        <v>57</v>
      </c>
      <c r="D59" s="109">
        <v>6</v>
      </c>
      <c r="E59" s="108" t="s">
        <v>269</v>
      </c>
      <c r="F59" s="108" t="s">
        <v>182</v>
      </c>
      <c r="G59" s="108" t="s">
        <v>194</v>
      </c>
      <c r="H59" s="110">
        <v>45954.854166666664</v>
      </c>
      <c r="I59" s="108" t="s">
        <v>315</v>
      </c>
    </row>
    <row r="60" spans="1:9" ht="14.5" x14ac:dyDescent="0.35">
      <c r="A60" t="str">
        <f t="shared" si="0"/>
        <v>E2025058</v>
      </c>
      <c r="B60" s="108" t="s">
        <v>268</v>
      </c>
      <c r="C60" s="109">
        <v>58</v>
      </c>
      <c r="D60" s="109">
        <v>6</v>
      </c>
      <c r="E60" s="108" t="s">
        <v>269</v>
      </c>
      <c r="F60" s="108" t="s">
        <v>186</v>
      </c>
      <c r="G60" s="108" t="s">
        <v>187</v>
      </c>
      <c r="H60" s="110">
        <v>45954.864583333336</v>
      </c>
      <c r="I60" s="108" t="s">
        <v>316</v>
      </c>
    </row>
    <row r="61" spans="1:9" ht="14.5" x14ac:dyDescent="0.35">
      <c r="A61" t="str">
        <f t="shared" si="0"/>
        <v>E2025059</v>
      </c>
      <c r="B61" s="108" t="s">
        <v>268</v>
      </c>
      <c r="C61" s="109">
        <v>59</v>
      </c>
      <c r="D61" s="109">
        <v>6</v>
      </c>
      <c r="E61" s="108" t="s">
        <v>269</v>
      </c>
      <c r="F61" s="108" t="s">
        <v>190</v>
      </c>
      <c r="G61" s="108" t="s">
        <v>191</v>
      </c>
      <c r="H61" s="110">
        <v>45954.854166666664</v>
      </c>
      <c r="I61" s="108" t="s">
        <v>317</v>
      </c>
    </row>
    <row r="62" spans="1:9" ht="14.5" x14ac:dyDescent="0.35">
      <c r="A62" t="str">
        <f t="shared" si="0"/>
        <v>E2025060</v>
      </c>
      <c r="B62" s="108" t="s">
        <v>268</v>
      </c>
      <c r="C62" s="109">
        <v>60</v>
      </c>
      <c r="D62" s="109">
        <v>6</v>
      </c>
      <c r="E62" s="108" t="s">
        <v>269</v>
      </c>
      <c r="F62" s="108" t="s">
        <v>195</v>
      </c>
      <c r="G62" s="108" t="s">
        <v>189</v>
      </c>
      <c r="H62" s="110">
        <v>45954.833333333336</v>
      </c>
      <c r="I62" s="108" t="s">
        <v>318</v>
      </c>
    </row>
    <row r="63" spans="1:9" ht="14.5" x14ac:dyDescent="0.35">
      <c r="A63" t="str">
        <f t="shared" si="0"/>
        <v>E2025061</v>
      </c>
      <c r="B63" s="108" t="s">
        <v>268</v>
      </c>
      <c r="C63" s="109">
        <v>61</v>
      </c>
      <c r="D63" s="109">
        <v>7</v>
      </c>
      <c r="E63" s="108" t="s">
        <v>269</v>
      </c>
      <c r="F63" s="108" t="s">
        <v>179</v>
      </c>
      <c r="G63" s="108" t="s">
        <v>180</v>
      </c>
      <c r="H63" s="110">
        <v>45958.854166666664</v>
      </c>
      <c r="I63" s="108" t="s">
        <v>319</v>
      </c>
    </row>
    <row r="64" spans="1:9" ht="14.5" x14ac:dyDescent="0.35">
      <c r="A64" t="str">
        <f t="shared" si="0"/>
        <v>E2025062</v>
      </c>
      <c r="B64" s="108" t="s">
        <v>268</v>
      </c>
      <c r="C64" s="109">
        <v>62</v>
      </c>
      <c r="D64" s="109">
        <v>7</v>
      </c>
      <c r="E64" s="108" t="s">
        <v>269</v>
      </c>
      <c r="F64" s="108" t="s">
        <v>192</v>
      </c>
      <c r="G64" s="108" t="s">
        <v>177</v>
      </c>
      <c r="H64" s="110">
        <v>45958.791666666664</v>
      </c>
      <c r="I64" s="108" t="s">
        <v>320</v>
      </c>
    </row>
    <row r="65" spans="1:9" ht="14.5" x14ac:dyDescent="0.35">
      <c r="A65" t="str">
        <f t="shared" si="0"/>
        <v>E2025063</v>
      </c>
      <c r="B65" s="108" t="s">
        <v>268</v>
      </c>
      <c r="C65" s="109">
        <v>63</v>
      </c>
      <c r="D65" s="109">
        <v>7</v>
      </c>
      <c r="E65" s="108" t="s">
        <v>269</v>
      </c>
      <c r="F65" s="108" t="s">
        <v>178</v>
      </c>
      <c r="G65" s="108" t="s">
        <v>185</v>
      </c>
      <c r="H65" s="110">
        <v>45958.854166666664</v>
      </c>
      <c r="I65" s="108" t="s">
        <v>319</v>
      </c>
    </row>
    <row r="66" spans="1:9" ht="14.5" x14ac:dyDescent="0.35">
      <c r="A66" t="str">
        <f t="shared" si="0"/>
        <v>E2025064</v>
      </c>
      <c r="B66" s="108" t="s">
        <v>268</v>
      </c>
      <c r="C66" s="109">
        <v>64</v>
      </c>
      <c r="D66" s="109">
        <v>7</v>
      </c>
      <c r="E66" s="108" t="s">
        <v>269</v>
      </c>
      <c r="F66" s="108" t="s">
        <v>186</v>
      </c>
      <c r="G66" s="108" t="s">
        <v>183</v>
      </c>
      <c r="H66" s="110">
        <v>45958.833333333336</v>
      </c>
      <c r="I66" s="108" t="s">
        <v>321</v>
      </c>
    </row>
    <row r="67" spans="1:9" ht="14.5" x14ac:dyDescent="0.35">
      <c r="A67" t="str">
        <f t="shared" si="0"/>
        <v>E2025065</v>
      </c>
      <c r="B67" s="108" t="s">
        <v>268</v>
      </c>
      <c r="C67" s="109">
        <v>65</v>
      </c>
      <c r="D67" s="109">
        <v>7</v>
      </c>
      <c r="E67" s="108" t="s">
        <v>269</v>
      </c>
      <c r="F67" s="108" t="s">
        <v>189</v>
      </c>
      <c r="G67" s="108" t="s">
        <v>193</v>
      </c>
      <c r="H67" s="110">
        <v>45958.885416666664</v>
      </c>
      <c r="I67" s="108" t="s">
        <v>322</v>
      </c>
    </row>
    <row r="68" spans="1:9" ht="14.5" x14ac:dyDescent="0.35">
      <c r="A68" t="str">
        <f t="shared" ref="A68:A131" si="1">B68&amp;TEXT(C68,"000")</f>
        <v>E2025066</v>
      </c>
      <c r="B68" s="108" t="s">
        <v>268</v>
      </c>
      <c r="C68" s="109">
        <v>66</v>
      </c>
      <c r="D68" s="109">
        <v>7</v>
      </c>
      <c r="E68" s="108" t="s">
        <v>269</v>
      </c>
      <c r="F68" s="108" t="s">
        <v>191</v>
      </c>
      <c r="G68" s="108" t="s">
        <v>182</v>
      </c>
      <c r="H68" s="110">
        <v>45958.864583333336</v>
      </c>
      <c r="I68" s="108" t="s">
        <v>323</v>
      </c>
    </row>
    <row r="69" spans="1:9" ht="14.5" x14ac:dyDescent="0.35">
      <c r="A69" t="str">
        <f t="shared" si="1"/>
        <v>E2025067</v>
      </c>
      <c r="B69" s="108" t="s">
        <v>268</v>
      </c>
      <c r="C69" s="109">
        <v>67</v>
      </c>
      <c r="D69" s="109">
        <v>7</v>
      </c>
      <c r="E69" s="108" t="s">
        <v>269</v>
      </c>
      <c r="F69" s="108" t="s">
        <v>188</v>
      </c>
      <c r="G69" s="108" t="s">
        <v>194</v>
      </c>
      <c r="H69" s="110">
        <v>45958.875</v>
      </c>
      <c r="I69" s="108" t="s">
        <v>324</v>
      </c>
    </row>
    <row r="70" spans="1:9" ht="14.5" x14ac:dyDescent="0.35">
      <c r="A70" t="str">
        <f t="shared" si="1"/>
        <v>E2025068</v>
      </c>
      <c r="B70" s="108" t="s">
        <v>268</v>
      </c>
      <c r="C70" s="109">
        <v>68</v>
      </c>
      <c r="D70" s="109">
        <v>7</v>
      </c>
      <c r="E70" s="108" t="s">
        <v>269</v>
      </c>
      <c r="F70" s="108" t="s">
        <v>196</v>
      </c>
      <c r="G70" s="108" t="s">
        <v>195</v>
      </c>
      <c r="H70" s="110">
        <v>45958.833333333336</v>
      </c>
      <c r="I70" s="108" t="s">
        <v>320</v>
      </c>
    </row>
    <row r="71" spans="1:9" ht="14.5" x14ac:dyDescent="0.35">
      <c r="A71" t="str">
        <f t="shared" si="1"/>
        <v>E2025069</v>
      </c>
      <c r="B71" s="108" t="s">
        <v>268</v>
      </c>
      <c r="C71" s="109">
        <v>69</v>
      </c>
      <c r="D71" s="109">
        <v>7</v>
      </c>
      <c r="E71" s="108" t="s">
        <v>269</v>
      </c>
      <c r="F71" s="108" t="s">
        <v>181</v>
      </c>
      <c r="G71" s="108" t="s">
        <v>190</v>
      </c>
      <c r="H71" s="110">
        <v>45959.833333333336</v>
      </c>
      <c r="I71" s="108" t="s">
        <v>325</v>
      </c>
    </row>
    <row r="72" spans="1:9" ht="14.5" x14ac:dyDescent="0.35">
      <c r="A72" t="str">
        <f t="shared" si="1"/>
        <v>E2025070</v>
      </c>
      <c r="B72" s="108" t="s">
        <v>268</v>
      </c>
      <c r="C72" s="109">
        <v>70</v>
      </c>
      <c r="D72" s="109">
        <v>7</v>
      </c>
      <c r="E72" s="108" t="s">
        <v>269</v>
      </c>
      <c r="F72" s="108" t="s">
        <v>187</v>
      </c>
      <c r="G72" s="108" t="s">
        <v>184</v>
      </c>
      <c r="H72" s="110">
        <v>45959.885416666664</v>
      </c>
      <c r="I72" s="108" t="s">
        <v>326</v>
      </c>
    </row>
    <row r="73" spans="1:9" ht="14.5" x14ac:dyDescent="0.35">
      <c r="A73" t="str">
        <f t="shared" si="1"/>
        <v>E2025071</v>
      </c>
      <c r="B73" s="108" t="s">
        <v>268</v>
      </c>
      <c r="C73" s="109">
        <v>71</v>
      </c>
      <c r="D73" s="109">
        <v>8</v>
      </c>
      <c r="E73" s="108" t="s">
        <v>269</v>
      </c>
      <c r="F73" s="108" t="s">
        <v>185</v>
      </c>
      <c r="G73" s="108" t="s">
        <v>191</v>
      </c>
      <c r="H73" s="110">
        <v>45960.854166666664</v>
      </c>
      <c r="I73" s="108" t="s">
        <v>327</v>
      </c>
    </row>
    <row r="74" spans="1:9" ht="14.5" x14ac:dyDescent="0.35">
      <c r="A74" t="str">
        <f t="shared" si="1"/>
        <v>E2025072</v>
      </c>
      <c r="B74" s="108" t="s">
        <v>268</v>
      </c>
      <c r="C74" s="109">
        <v>72</v>
      </c>
      <c r="D74" s="109">
        <v>8</v>
      </c>
      <c r="E74" s="108" t="s">
        <v>269</v>
      </c>
      <c r="F74" s="108" t="s">
        <v>186</v>
      </c>
      <c r="G74" s="108" t="s">
        <v>195</v>
      </c>
      <c r="H74" s="110">
        <v>45960.854166666664</v>
      </c>
      <c r="I74" s="108" t="s">
        <v>327</v>
      </c>
    </row>
    <row r="75" spans="1:9" ht="14.5" x14ac:dyDescent="0.35">
      <c r="A75" t="str">
        <f t="shared" si="1"/>
        <v>E2025073</v>
      </c>
      <c r="B75" s="108" t="s">
        <v>268</v>
      </c>
      <c r="C75" s="109">
        <v>73</v>
      </c>
      <c r="D75" s="109">
        <v>8</v>
      </c>
      <c r="E75" s="108" t="s">
        <v>269</v>
      </c>
      <c r="F75" s="108" t="s">
        <v>193</v>
      </c>
      <c r="G75" s="108" t="s">
        <v>192</v>
      </c>
      <c r="H75" s="110">
        <v>45960.836805555555</v>
      </c>
      <c r="I75" s="108" t="s">
        <v>328</v>
      </c>
    </row>
    <row r="76" spans="1:9" ht="14.5" x14ac:dyDescent="0.35">
      <c r="A76" t="str">
        <f t="shared" si="1"/>
        <v>E2025074</v>
      </c>
      <c r="B76" s="108" t="s">
        <v>268</v>
      </c>
      <c r="C76" s="109">
        <v>74</v>
      </c>
      <c r="D76" s="109">
        <v>8</v>
      </c>
      <c r="E76" s="108" t="s">
        <v>269</v>
      </c>
      <c r="F76" s="108" t="s">
        <v>183</v>
      </c>
      <c r="G76" s="108" t="s">
        <v>194</v>
      </c>
      <c r="H76" s="110">
        <v>45960.875</v>
      </c>
      <c r="I76" s="108" t="s">
        <v>329</v>
      </c>
    </row>
    <row r="77" spans="1:9" ht="14.5" x14ac:dyDescent="0.35">
      <c r="A77" t="str">
        <f t="shared" si="1"/>
        <v>E2025075</v>
      </c>
      <c r="B77" s="108" t="s">
        <v>268</v>
      </c>
      <c r="C77" s="109">
        <v>75</v>
      </c>
      <c r="D77" s="109">
        <v>8</v>
      </c>
      <c r="E77" s="108" t="s">
        <v>269</v>
      </c>
      <c r="F77" s="108" t="s">
        <v>188</v>
      </c>
      <c r="G77" s="108" t="s">
        <v>180</v>
      </c>
      <c r="H77" s="110">
        <v>45960.854166666664</v>
      </c>
      <c r="I77" s="108" t="s">
        <v>327</v>
      </c>
    </row>
    <row r="78" spans="1:9" ht="14.5" x14ac:dyDescent="0.35">
      <c r="A78" t="str">
        <f t="shared" si="1"/>
        <v>E2025076</v>
      </c>
      <c r="B78" s="108" t="s">
        <v>268</v>
      </c>
      <c r="C78" s="109">
        <v>76</v>
      </c>
      <c r="D78" s="109">
        <v>8</v>
      </c>
      <c r="E78" s="108" t="s">
        <v>269</v>
      </c>
      <c r="F78" s="108" t="s">
        <v>196</v>
      </c>
      <c r="G78" s="108" t="s">
        <v>177</v>
      </c>
      <c r="H78" s="110">
        <v>45960.833333333336</v>
      </c>
      <c r="I78" s="108" t="s">
        <v>330</v>
      </c>
    </row>
    <row r="79" spans="1:9" ht="14.5" x14ac:dyDescent="0.35">
      <c r="A79" t="str">
        <f t="shared" si="1"/>
        <v>E2025077</v>
      </c>
      <c r="B79" s="108" t="s">
        <v>268</v>
      </c>
      <c r="C79" s="109">
        <v>77</v>
      </c>
      <c r="D79" s="109">
        <v>8</v>
      </c>
      <c r="E79" s="108" t="s">
        <v>269</v>
      </c>
      <c r="F79" s="108" t="s">
        <v>184</v>
      </c>
      <c r="G79" s="108" t="s">
        <v>189</v>
      </c>
      <c r="H79" s="110">
        <v>45961.791666666664</v>
      </c>
      <c r="I79" s="108" t="s">
        <v>331</v>
      </c>
    </row>
    <row r="80" spans="1:9" ht="14.5" x14ac:dyDescent="0.35">
      <c r="A80" t="str">
        <f t="shared" si="1"/>
        <v>E2025078</v>
      </c>
      <c r="B80" s="108" t="s">
        <v>268</v>
      </c>
      <c r="C80" s="109">
        <v>78</v>
      </c>
      <c r="D80" s="109">
        <v>8</v>
      </c>
      <c r="E80" s="108" t="s">
        <v>269</v>
      </c>
      <c r="F80" s="108" t="s">
        <v>179</v>
      </c>
      <c r="G80" s="108" t="s">
        <v>182</v>
      </c>
      <c r="H80" s="110">
        <v>45961.854166666664</v>
      </c>
      <c r="I80" s="108" t="s">
        <v>332</v>
      </c>
    </row>
    <row r="81" spans="1:9" ht="14.5" x14ac:dyDescent="0.35">
      <c r="A81" t="str">
        <f t="shared" si="1"/>
        <v>E2025079</v>
      </c>
      <c r="B81" s="108" t="s">
        <v>268</v>
      </c>
      <c r="C81" s="109">
        <v>79</v>
      </c>
      <c r="D81" s="109">
        <v>8</v>
      </c>
      <c r="E81" s="108" t="s">
        <v>269</v>
      </c>
      <c r="F81" s="108" t="s">
        <v>187</v>
      </c>
      <c r="G81" s="108" t="s">
        <v>181</v>
      </c>
      <c r="H81" s="110">
        <v>45961.885416666664</v>
      </c>
      <c r="I81" s="108" t="s">
        <v>333</v>
      </c>
    </row>
    <row r="82" spans="1:9" ht="14.5" x14ac:dyDescent="0.35">
      <c r="A82" t="str">
        <f t="shared" si="1"/>
        <v>E2025080</v>
      </c>
      <c r="B82" s="108" t="s">
        <v>268</v>
      </c>
      <c r="C82" s="109">
        <v>80</v>
      </c>
      <c r="D82" s="109">
        <v>8</v>
      </c>
      <c r="E82" s="108" t="s">
        <v>269</v>
      </c>
      <c r="F82" s="108" t="s">
        <v>190</v>
      </c>
      <c r="G82" s="108" t="s">
        <v>178</v>
      </c>
      <c r="H82" s="110">
        <v>45961.854166666664</v>
      </c>
      <c r="I82" s="108" t="s">
        <v>332</v>
      </c>
    </row>
    <row r="83" spans="1:9" ht="14.5" x14ac:dyDescent="0.35">
      <c r="A83" t="str">
        <f t="shared" si="1"/>
        <v>E2025081</v>
      </c>
      <c r="B83" s="108" t="s">
        <v>268</v>
      </c>
      <c r="C83" s="109">
        <v>81</v>
      </c>
      <c r="D83" s="109">
        <v>9</v>
      </c>
      <c r="E83" s="108" t="s">
        <v>269</v>
      </c>
      <c r="F83" s="108" t="s">
        <v>191</v>
      </c>
      <c r="G83" s="108" t="s">
        <v>186</v>
      </c>
      <c r="H83" s="110">
        <v>45967.864583333336</v>
      </c>
      <c r="I83" s="108" t="s">
        <v>334</v>
      </c>
    </row>
    <row r="84" spans="1:9" ht="14.5" x14ac:dyDescent="0.35">
      <c r="A84" t="str">
        <f t="shared" si="1"/>
        <v>E2025082</v>
      </c>
      <c r="B84" s="108" t="s">
        <v>268</v>
      </c>
      <c r="C84" s="109">
        <v>82</v>
      </c>
      <c r="D84" s="109">
        <v>9</v>
      </c>
      <c r="E84" s="108" t="s">
        <v>269</v>
      </c>
      <c r="F84" s="108" t="s">
        <v>179</v>
      </c>
      <c r="G84" s="108" t="s">
        <v>195</v>
      </c>
      <c r="H84" s="110">
        <v>45967.854166666664</v>
      </c>
      <c r="I84" s="108" t="s">
        <v>335</v>
      </c>
    </row>
    <row r="85" spans="1:9" ht="14.5" x14ac:dyDescent="0.35">
      <c r="A85" t="str">
        <f t="shared" si="1"/>
        <v>E2025083</v>
      </c>
      <c r="B85" s="108" t="s">
        <v>268</v>
      </c>
      <c r="C85" s="109">
        <v>83</v>
      </c>
      <c r="D85" s="109">
        <v>9</v>
      </c>
      <c r="E85" s="108" t="s">
        <v>269</v>
      </c>
      <c r="F85" s="108" t="s">
        <v>192</v>
      </c>
      <c r="G85" s="108" t="s">
        <v>189</v>
      </c>
      <c r="H85" s="110">
        <v>45967.833333333336</v>
      </c>
      <c r="I85" s="108" t="s">
        <v>336</v>
      </c>
    </row>
    <row r="86" spans="1:9" ht="14.5" x14ac:dyDescent="0.35">
      <c r="A86" t="str">
        <f t="shared" si="1"/>
        <v>E2025084</v>
      </c>
      <c r="B86" s="108" t="s">
        <v>268</v>
      </c>
      <c r="C86" s="109">
        <v>84</v>
      </c>
      <c r="D86" s="109">
        <v>9</v>
      </c>
      <c r="E86" s="108" t="s">
        <v>269</v>
      </c>
      <c r="F86" s="108" t="s">
        <v>180</v>
      </c>
      <c r="G86" s="108" t="s">
        <v>181</v>
      </c>
      <c r="H86" s="110">
        <v>45967.833333333336</v>
      </c>
      <c r="I86" s="108" t="s">
        <v>337</v>
      </c>
    </row>
    <row r="87" spans="1:9" ht="14.5" x14ac:dyDescent="0.35">
      <c r="A87" t="str">
        <f t="shared" si="1"/>
        <v>E2025085</v>
      </c>
      <c r="B87" s="108" t="s">
        <v>268</v>
      </c>
      <c r="C87" s="109">
        <v>85</v>
      </c>
      <c r="D87" s="109">
        <v>9</v>
      </c>
      <c r="E87" s="108" t="s">
        <v>269</v>
      </c>
      <c r="F87" s="108" t="s">
        <v>194</v>
      </c>
      <c r="G87" s="108" t="s">
        <v>177</v>
      </c>
      <c r="H87" s="110">
        <v>45967.864583333336</v>
      </c>
      <c r="I87" s="108" t="s">
        <v>338</v>
      </c>
    </row>
    <row r="88" spans="1:9" ht="14.5" x14ac:dyDescent="0.35">
      <c r="A88" t="str">
        <f t="shared" si="1"/>
        <v>E2025086</v>
      </c>
      <c r="B88" s="108" t="s">
        <v>268</v>
      </c>
      <c r="C88" s="109">
        <v>86</v>
      </c>
      <c r="D88" s="109">
        <v>9</v>
      </c>
      <c r="E88" s="108" t="s">
        <v>269</v>
      </c>
      <c r="F88" s="108" t="s">
        <v>193</v>
      </c>
      <c r="G88" s="108" t="s">
        <v>184</v>
      </c>
      <c r="H88" s="110">
        <v>45967.836805555555</v>
      </c>
      <c r="I88" s="108" t="s">
        <v>339</v>
      </c>
    </row>
    <row r="89" spans="1:9" ht="14.5" x14ac:dyDescent="0.35">
      <c r="A89" t="str">
        <f t="shared" si="1"/>
        <v>E2025087</v>
      </c>
      <c r="B89" s="108" t="s">
        <v>268</v>
      </c>
      <c r="C89" s="109">
        <v>87</v>
      </c>
      <c r="D89" s="109">
        <v>9</v>
      </c>
      <c r="E89" s="108" t="s">
        <v>269</v>
      </c>
      <c r="F89" s="108" t="s">
        <v>182</v>
      </c>
      <c r="G89" s="108" t="s">
        <v>185</v>
      </c>
      <c r="H89" s="110">
        <v>45968.854166666664</v>
      </c>
      <c r="I89" s="108" t="s">
        <v>340</v>
      </c>
    </row>
    <row r="90" spans="1:9" ht="14.5" x14ac:dyDescent="0.35">
      <c r="A90" t="str">
        <f t="shared" si="1"/>
        <v>E2025088</v>
      </c>
      <c r="B90" s="108" t="s">
        <v>268</v>
      </c>
      <c r="C90" s="109">
        <v>88</v>
      </c>
      <c r="D90" s="109">
        <v>9</v>
      </c>
      <c r="E90" s="108" t="s">
        <v>269</v>
      </c>
      <c r="F90" s="108" t="s">
        <v>178</v>
      </c>
      <c r="G90" s="108" t="s">
        <v>183</v>
      </c>
      <c r="H90" s="110">
        <v>45968.854166666664</v>
      </c>
      <c r="I90" s="108" t="s">
        <v>341</v>
      </c>
    </row>
    <row r="91" spans="1:9" ht="14.5" x14ac:dyDescent="0.35">
      <c r="A91" t="str">
        <f t="shared" si="1"/>
        <v>E2025089</v>
      </c>
      <c r="B91" s="108" t="s">
        <v>268</v>
      </c>
      <c r="C91" s="109">
        <v>89</v>
      </c>
      <c r="D91" s="109">
        <v>9</v>
      </c>
      <c r="E91" s="108" t="s">
        <v>269</v>
      </c>
      <c r="F91" s="108" t="s">
        <v>187</v>
      </c>
      <c r="G91" s="108" t="s">
        <v>190</v>
      </c>
      <c r="H91" s="110">
        <v>45968.885416666664</v>
      </c>
      <c r="I91" s="108" t="s">
        <v>342</v>
      </c>
    </row>
    <row r="92" spans="1:9" ht="14.5" x14ac:dyDescent="0.35">
      <c r="A92" t="str">
        <f t="shared" si="1"/>
        <v>E2025090</v>
      </c>
      <c r="B92" s="108" t="s">
        <v>268</v>
      </c>
      <c r="C92" s="109">
        <v>90</v>
      </c>
      <c r="D92" s="109">
        <v>9</v>
      </c>
      <c r="E92" s="108" t="s">
        <v>269</v>
      </c>
      <c r="F92" s="108" t="s">
        <v>196</v>
      </c>
      <c r="G92" s="108" t="s">
        <v>188</v>
      </c>
      <c r="H92" s="110">
        <v>45968.833333333336</v>
      </c>
      <c r="I92" s="108" t="s">
        <v>343</v>
      </c>
    </row>
    <row r="93" spans="1:9" ht="14.5" x14ac:dyDescent="0.35">
      <c r="A93" t="str">
        <f t="shared" si="1"/>
        <v>E2025091</v>
      </c>
      <c r="B93" s="108" t="s">
        <v>268</v>
      </c>
      <c r="C93" s="109">
        <v>91</v>
      </c>
      <c r="D93" s="109">
        <v>10</v>
      </c>
      <c r="E93" s="108" t="s">
        <v>269</v>
      </c>
      <c r="F93" s="108" t="s">
        <v>194</v>
      </c>
      <c r="G93" s="108" t="s">
        <v>193</v>
      </c>
      <c r="H93" s="110">
        <v>45972.864583333336</v>
      </c>
      <c r="I93" s="108" t="s">
        <v>344</v>
      </c>
    </row>
    <row r="94" spans="1:9" ht="14.5" x14ac:dyDescent="0.35">
      <c r="A94" t="str">
        <f t="shared" si="1"/>
        <v>E2025092</v>
      </c>
      <c r="B94" s="108" t="s">
        <v>268</v>
      </c>
      <c r="C94" s="109">
        <v>92</v>
      </c>
      <c r="D94" s="109">
        <v>10</v>
      </c>
      <c r="E94" s="108" t="s">
        <v>269</v>
      </c>
      <c r="F94" s="108" t="s">
        <v>181</v>
      </c>
      <c r="G94" s="108" t="s">
        <v>179</v>
      </c>
      <c r="H94" s="110">
        <v>45972.878472222219</v>
      </c>
      <c r="I94" s="108" t="s">
        <v>345</v>
      </c>
    </row>
    <row r="95" spans="1:9" ht="14.5" x14ac:dyDescent="0.35">
      <c r="A95" t="str">
        <f t="shared" si="1"/>
        <v>E2025093</v>
      </c>
      <c r="B95" s="108" t="s">
        <v>268</v>
      </c>
      <c r="C95" s="109">
        <v>93</v>
      </c>
      <c r="D95" s="109">
        <v>10</v>
      </c>
      <c r="E95" s="108" t="s">
        <v>269</v>
      </c>
      <c r="F95" s="108" t="s">
        <v>191</v>
      </c>
      <c r="G95" s="108" t="s">
        <v>189</v>
      </c>
      <c r="H95" s="110">
        <v>45972.864583333336</v>
      </c>
      <c r="I95" s="108" t="s">
        <v>346</v>
      </c>
    </row>
    <row r="96" spans="1:9" ht="14.5" x14ac:dyDescent="0.35">
      <c r="A96" t="str">
        <f t="shared" si="1"/>
        <v>E2025094</v>
      </c>
      <c r="B96" s="108" t="s">
        <v>268</v>
      </c>
      <c r="C96" s="109">
        <v>94</v>
      </c>
      <c r="D96" s="109">
        <v>10</v>
      </c>
      <c r="E96" s="108" t="s">
        <v>269</v>
      </c>
      <c r="F96" s="108" t="s">
        <v>188</v>
      </c>
      <c r="G96" s="108" t="s">
        <v>183</v>
      </c>
      <c r="H96" s="110">
        <v>45972.854166666664</v>
      </c>
      <c r="I96" s="108" t="s">
        <v>347</v>
      </c>
    </row>
    <row r="97" spans="1:9" ht="14.5" x14ac:dyDescent="0.35">
      <c r="A97" t="str">
        <f t="shared" si="1"/>
        <v>E2025095</v>
      </c>
      <c r="B97" s="108" t="s">
        <v>268</v>
      </c>
      <c r="C97" s="109">
        <v>95</v>
      </c>
      <c r="D97" s="109">
        <v>10</v>
      </c>
      <c r="E97" s="108" t="s">
        <v>269</v>
      </c>
      <c r="F97" s="108" t="s">
        <v>195</v>
      </c>
      <c r="G97" s="108" t="s">
        <v>182</v>
      </c>
      <c r="H97" s="110">
        <v>45972.854166666664</v>
      </c>
      <c r="I97" s="108" t="s">
        <v>347</v>
      </c>
    </row>
    <row r="98" spans="1:9" ht="14.5" x14ac:dyDescent="0.35">
      <c r="A98" t="str">
        <f t="shared" si="1"/>
        <v>E2025096</v>
      </c>
      <c r="B98" s="108" t="s">
        <v>268</v>
      </c>
      <c r="C98" s="109">
        <v>96</v>
      </c>
      <c r="D98" s="109">
        <v>10</v>
      </c>
      <c r="E98" s="108" t="s">
        <v>269</v>
      </c>
      <c r="F98" s="108" t="s">
        <v>180</v>
      </c>
      <c r="G98" s="108" t="s">
        <v>192</v>
      </c>
      <c r="H98" s="110">
        <v>45972.833333333336</v>
      </c>
      <c r="I98" s="108" t="s">
        <v>348</v>
      </c>
    </row>
    <row r="99" spans="1:9" ht="14.5" x14ac:dyDescent="0.35">
      <c r="A99" t="str">
        <f t="shared" si="1"/>
        <v>E2025097</v>
      </c>
      <c r="B99" s="108" t="s">
        <v>268</v>
      </c>
      <c r="C99" s="109">
        <v>97</v>
      </c>
      <c r="D99" s="109">
        <v>10</v>
      </c>
      <c r="E99" s="108" t="s">
        <v>269</v>
      </c>
      <c r="F99" s="108" t="s">
        <v>190</v>
      </c>
      <c r="G99" s="108" t="s">
        <v>184</v>
      </c>
      <c r="H99" s="110">
        <v>45972.854166666664</v>
      </c>
      <c r="I99" s="108" t="s">
        <v>347</v>
      </c>
    </row>
    <row r="100" spans="1:9" ht="14.5" x14ac:dyDescent="0.35">
      <c r="A100" t="str">
        <f t="shared" si="1"/>
        <v>E2025098</v>
      </c>
      <c r="B100" s="108" t="s">
        <v>268</v>
      </c>
      <c r="C100" s="109">
        <v>98</v>
      </c>
      <c r="D100" s="109">
        <v>10</v>
      </c>
      <c r="E100" s="108" t="s">
        <v>269</v>
      </c>
      <c r="F100" s="108" t="s">
        <v>185</v>
      </c>
      <c r="G100" s="108" t="s">
        <v>177</v>
      </c>
      <c r="H100" s="110">
        <v>45973.854166666664</v>
      </c>
      <c r="I100" s="108" t="s">
        <v>349</v>
      </c>
    </row>
    <row r="101" spans="1:9" ht="14.5" x14ac:dyDescent="0.35">
      <c r="A101" t="str">
        <f t="shared" si="1"/>
        <v>E2025099</v>
      </c>
      <c r="B101" s="108" t="s">
        <v>268</v>
      </c>
      <c r="C101" s="109">
        <v>99</v>
      </c>
      <c r="D101" s="109">
        <v>10</v>
      </c>
      <c r="E101" s="108" t="s">
        <v>269</v>
      </c>
      <c r="F101" s="108" t="s">
        <v>186</v>
      </c>
      <c r="G101" s="108" t="s">
        <v>178</v>
      </c>
      <c r="H101" s="110">
        <v>45973.854166666664</v>
      </c>
      <c r="I101" s="108" t="s">
        <v>349</v>
      </c>
    </row>
    <row r="102" spans="1:9" ht="14.5" x14ac:dyDescent="0.35">
      <c r="A102" t="str">
        <f t="shared" si="1"/>
        <v>E2025100</v>
      </c>
      <c r="B102" s="108" t="s">
        <v>268</v>
      </c>
      <c r="C102" s="109">
        <v>100</v>
      </c>
      <c r="D102" s="109">
        <v>10</v>
      </c>
      <c r="E102" s="108" t="s">
        <v>269</v>
      </c>
      <c r="F102" s="108" t="s">
        <v>187</v>
      </c>
      <c r="G102" s="108" t="s">
        <v>196</v>
      </c>
      <c r="H102" s="110">
        <v>45973.885416666664</v>
      </c>
      <c r="I102" s="108" t="s">
        <v>350</v>
      </c>
    </row>
    <row r="103" spans="1:9" ht="14.5" x14ac:dyDescent="0.35">
      <c r="A103" t="str">
        <f t="shared" si="1"/>
        <v>E2025101</v>
      </c>
      <c r="B103" s="108" t="s">
        <v>268</v>
      </c>
      <c r="C103" s="109">
        <v>101</v>
      </c>
      <c r="D103" s="109">
        <v>11</v>
      </c>
      <c r="E103" s="108" t="s">
        <v>269</v>
      </c>
      <c r="F103" s="108" t="s">
        <v>194</v>
      </c>
      <c r="G103" s="108" t="s">
        <v>181</v>
      </c>
      <c r="H103" s="110">
        <v>45974.864583333336</v>
      </c>
      <c r="I103" s="108" t="s">
        <v>351</v>
      </c>
    </row>
    <row r="104" spans="1:9" ht="14.5" x14ac:dyDescent="0.35">
      <c r="A104" t="str">
        <f t="shared" si="1"/>
        <v>E2025102</v>
      </c>
      <c r="B104" s="108" t="s">
        <v>268</v>
      </c>
      <c r="C104" s="109">
        <v>102</v>
      </c>
      <c r="D104" s="109">
        <v>11</v>
      </c>
      <c r="E104" s="108" t="s">
        <v>269</v>
      </c>
      <c r="F104" s="108" t="s">
        <v>193</v>
      </c>
      <c r="G104" s="108" t="s">
        <v>179</v>
      </c>
      <c r="H104" s="110">
        <v>45974.854166666664</v>
      </c>
      <c r="I104" s="108" t="s">
        <v>352</v>
      </c>
    </row>
    <row r="105" spans="1:9" ht="14.5" x14ac:dyDescent="0.35">
      <c r="A105" t="str">
        <f t="shared" si="1"/>
        <v>E2025103</v>
      </c>
      <c r="B105" s="108" t="s">
        <v>268</v>
      </c>
      <c r="C105" s="109">
        <v>103</v>
      </c>
      <c r="D105" s="109">
        <v>11</v>
      </c>
      <c r="E105" s="108" t="s">
        <v>269</v>
      </c>
      <c r="F105" s="108" t="s">
        <v>191</v>
      </c>
      <c r="G105" s="108" t="s">
        <v>188</v>
      </c>
      <c r="H105" s="110">
        <v>45974.864583333336</v>
      </c>
      <c r="I105" s="108" t="s">
        <v>353</v>
      </c>
    </row>
    <row r="106" spans="1:9" ht="14.5" x14ac:dyDescent="0.35">
      <c r="A106" t="str">
        <f t="shared" si="1"/>
        <v>E2025104</v>
      </c>
      <c r="B106" s="108" t="s">
        <v>268</v>
      </c>
      <c r="C106" s="109">
        <v>104</v>
      </c>
      <c r="D106" s="109">
        <v>11</v>
      </c>
      <c r="E106" s="108" t="s">
        <v>269</v>
      </c>
      <c r="F106" s="108" t="s">
        <v>183</v>
      </c>
      <c r="G106" s="108" t="s">
        <v>189</v>
      </c>
      <c r="H106" s="110">
        <v>45974.864583333336</v>
      </c>
      <c r="I106" s="108" t="s">
        <v>353</v>
      </c>
    </row>
    <row r="107" spans="1:9" ht="14.5" x14ac:dyDescent="0.35">
      <c r="A107" t="str">
        <f t="shared" si="1"/>
        <v>E2025105</v>
      </c>
      <c r="B107" s="108" t="s">
        <v>268</v>
      </c>
      <c r="C107" s="109">
        <v>105</v>
      </c>
      <c r="D107" s="109">
        <v>11</v>
      </c>
      <c r="E107" s="108" t="s">
        <v>269</v>
      </c>
      <c r="F107" s="108" t="s">
        <v>192</v>
      </c>
      <c r="G107" s="108" t="s">
        <v>184</v>
      </c>
      <c r="H107" s="110">
        <v>45974.833333333336</v>
      </c>
      <c r="I107" s="108" t="s">
        <v>354</v>
      </c>
    </row>
    <row r="108" spans="1:9" ht="14.5" x14ac:dyDescent="0.35">
      <c r="A108" t="str">
        <f t="shared" si="1"/>
        <v>E2025106</v>
      </c>
      <c r="B108" s="108" t="s">
        <v>268</v>
      </c>
      <c r="C108" s="109">
        <v>106</v>
      </c>
      <c r="D108" s="109">
        <v>11</v>
      </c>
      <c r="E108" s="108" t="s">
        <v>269</v>
      </c>
      <c r="F108" s="108" t="s">
        <v>182</v>
      </c>
      <c r="G108" s="108" t="s">
        <v>186</v>
      </c>
      <c r="H108" s="110">
        <v>45975.854166666664</v>
      </c>
      <c r="I108" s="108" t="s">
        <v>355</v>
      </c>
    </row>
    <row r="109" spans="1:9" ht="14.5" x14ac:dyDescent="0.35">
      <c r="A109" t="str">
        <f t="shared" si="1"/>
        <v>E2025107</v>
      </c>
      <c r="B109" s="108" t="s">
        <v>268</v>
      </c>
      <c r="C109" s="109">
        <v>107</v>
      </c>
      <c r="D109" s="109">
        <v>11</v>
      </c>
      <c r="E109" s="108" t="s">
        <v>269</v>
      </c>
      <c r="F109" s="108" t="s">
        <v>180</v>
      </c>
      <c r="G109" s="108" t="s">
        <v>196</v>
      </c>
      <c r="H109" s="110">
        <v>45975.833333333336</v>
      </c>
      <c r="I109" s="108" t="s">
        <v>356</v>
      </c>
    </row>
    <row r="110" spans="1:9" ht="14.5" x14ac:dyDescent="0.35">
      <c r="A110" t="str">
        <f t="shared" si="1"/>
        <v>E2025108</v>
      </c>
      <c r="B110" s="108" t="s">
        <v>268</v>
      </c>
      <c r="C110" s="109">
        <v>108</v>
      </c>
      <c r="D110" s="109">
        <v>11</v>
      </c>
      <c r="E110" s="108" t="s">
        <v>269</v>
      </c>
      <c r="F110" s="108" t="s">
        <v>185</v>
      </c>
      <c r="G110" s="108" t="s">
        <v>187</v>
      </c>
      <c r="H110" s="110">
        <v>45975.854166666664</v>
      </c>
      <c r="I110" s="108" t="s">
        <v>357</v>
      </c>
    </row>
    <row r="111" spans="1:9" ht="14.5" x14ac:dyDescent="0.35">
      <c r="A111" t="str">
        <f t="shared" si="1"/>
        <v>E2025109</v>
      </c>
      <c r="B111" s="108" t="s">
        <v>268</v>
      </c>
      <c r="C111" s="109">
        <v>109</v>
      </c>
      <c r="D111" s="109">
        <v>11</v>
      </c>
      <c r="E111" s="108" t="s">
        <v>269</v>
      </c>
      <c r="F111" s="108" t="s">
        <v>178</v>
      </c>
      <c r="G111" s="108" t="s">
        <v>195</v>
      </c>
      <c r="H111" s="110">
        <v>45975.854166666664</v>
      </c>
      <c r="I111" s="108" t="s">
        <v>357</v>
      </c>
    </row>
    <row r="112" spans="1:9" ht="14.5" x14ac:dyDescent="0.35">
      <c r="A112" t="str">
        <f t="shared" si="1"/>
        <v>E2025110</v>
      </c>
      <c r="B112" s="108" t="s">
        <v>268</v>
      </c>
      <c r="C112" s="109">
        <v>110</v>
      </c>
      <c r="D112" s="109">
        <v>11</v>
      </c>
      <c r="E112" s="108" t="s">
        <v>269</v>
      </c>
      <c r="F112" s="108" t="s">
        <v>177</v>
      </c>
      <c r="G112" s="108" t="s">
        <v>190</v>
      </c>
      <c r="H112" s="110">
        <v>45975.833333333336</v>
      </c>
      <c r="I112" s="108" t="s">
        <v>358</v>
      </c>
    </row>
    <row r="113" spans="1:9" ht="14.5" x14ac:dyDescent="0.35">
      <c r="A113" t="str">
        <f t="shared" si="1"/>
        <v>E2025111</v>
      </c>
      <c r="B113" s="108" t="s">
        <v>268</v>
      </c>
      <c r="C113" s="109">
        <v>111</v>
      </c>
      <c r="D113" s="109">
        <v>12</v>
      </c>
      <c r="E113" s="108" t="s">
        <v>269</v>
      </c>
      <c r="F113" s="108" t="s">
        <v>177</v>
      </c>
      <c r="G113" s="108" t="s">
        <v>184</v>
      </c>
      <c r="H113" s="110">
        <v>45980.833333333336</v>
      </c>
      <c r="I113" s="108" t="s">
        <v>359</v>
      </c>
    </row>
    <row r="114" spans="1:9" ht="14.5" x14ac:dyDescent="0.35">
      <c r="A114" t="str">
        <f t="shared" si="1"/>
        <v>E2025112</v>
      </c>
      <c r="B114" s="108" t="s">
        <v>268</v>
      </c>
      <c r="C114" s="109">
        <v>112</v>
      </c>
      <c r="D114" s="109">
        <v>12</v>
      </c>
      <c r="E114" s="108" t="s">
        <v>269</v>
      </c>
      <c r="F114" s="108" t="s">
        <v>182</v>
      </c>
      <c r="G114" s="108" t="s">
        <v>178</v>
      </c>
      <c r="H114" s="110">
        <v>45981.854166666664</v>
      </c>
      <c r="I114" s="108" t="s">
        <v>360</v>
      </c>
    </row>
    <row r="115" spans="1:9" ht="14.5" x14ac:dyDescent="0.35">
      <c r="A115" t="str">
        <f t="shared" si="1"/>
        <v>E2025113</v>
      </c>
      <c r="B115" s="108" t="s">
        <v>268</v>
      </c>
      <c r="C115" s="109">
        <v>113</v>
      </c>
      <c r="D115" s="109">
        <v>12</v>
      </c>
      <c r="E115" s="108" t="s">
        <v>269</v>
      </c>
      <c r="F115" s="108" t="s">
        <v>185</v>
      </c>
      <c r="G115" s="108" t="s">
        <v>181</v>
      </c>
      <c r="H115" s="110">
        <v>45981.854166666664</v>
      </c>
      <c r="I115" s="108" t="s">
        <v>361</v>
      </c>
    </row>
    <row r="116" spans="1:9" ht="14.5" x14ac:dyDescent="0.35">
      <c r="A116" t="str">
        <f t="shared" si="1"/>
        <v>E2025114</v>
      </c>
      <c r="B116" s="108" t="s">
        <v>268</v>
      </c>
      <c r="C116" s="109">
        <v>114</v>
      </c>
      <c r="D116" s="109">
        <v>12</v>
      </c>
      <c r="E116" s="108" t="s">
        <v>269</v>
      </c>
      <c r="F116" s="108" t="s">
        <v>189</v>
      </c>
      <c r="G116" s="108" t="s">
        <v>180</v>
      </c>
      <c r="H116" s="110">
        <v>45981.885416666664</v>
      </c>
      <c r="I116" s="108" t="s">
        <v>362</v>
      </c>
    </row>
    <row r="117" spans="1:9" ht="14.5" x14ac:dyDescent="0.35">
      <c r="A117" t="str">
        <f t="shared" si="1"/>
        <v>E2025115</v>
      </c>
      <c r="B117" s="108" t="s">
        <v>268</v>
      </c>
      <c r="C117" s="109">
        <v>115</v>
      </c>
      <c r="D117" s="109">
        <v>12</v>
      </c>
      <c r="E117" s="108" t="s">
        <v>269</v>
      </c>
      <c r="F117" s="108" t="s">
        <v>183</v>
      </c>
      <c r="G117" s="108" t="s">
        <v>196</v>
      </c>
      <c r="H117" s="110">
        <v>45981.864583333336</v>
      </c>
      <c r="I117" s="108" t="s">
        <v>363</v>
      </c>
    </row>
    <row r="118" spans="1:9" ht="14.5" x14ac:dyDescent="0.35">
      <c r="A118" t="str">
        <f t="shared" si="1"/>
        <v>E2025116</v>
      </c>
      <c r="B118" s="108" t="s">
        <v>268</v>
      </c>
      <c r="C118" s="109">
        <v>116</v>
      </c>
      <c r="D118" s="109">
        <v>12</v>
      </c>
      <c r="E118" s="108" t="s">
        <v>269</v>
      </c>
      <c r="F118" s="108" t="s">
        <v>179</v>
      </c>
      <c r="G118" s="108" t="s">
        <v>186</v>
      </c>
      <c r="H118" s="110">
        <v>45982.854166666664</v>
      </c>
      <c r="I118" s="108" t="s">
        <v>364</v>
      </c>
    </row>
    <row r="119" spans="1:9" ht="14.5" x14ac:dyDescent="0.35">
      <c r="A119" t="str">
        <f t="shared" si="1"/>
        <v>E2025117</v>
      </c>
      <c r="B119" s="108" t="s">
        <v>268</v>
      </c>
      <c r="C119" s="109">
        <v>117</v>
      </c>
      <c r="D119" s="109">
        <v>12</v>
      </c>
      <c r="E119" s="108" t="s">
        <v>269</v>
      </c>
      <c r="F119" s="108" t="s">
        <v>187</v>
      </c>
      <c r="G119" s="108" t="s">
        <v>191</v>
      </c>
      <c r="H119" s="110">
        <v>45982.885416666664</v>
      </c>
      <c r="I119" s="108" t="s">
        <v>365</v>
      </c>
    </row>
    <row r="120" spans="1:9" ht="14.5" x14ac:dyDescent="0.35">
      <c r="A120" t="str">
        <f t="shared" si="1"/>
        <v>E2025118</v>
      </c>
      <c r="B120" s="108" t="s">
        <v>268</v>
      </c>
      <c r="C120" s="109">
        <v>118</v>
      </c>
      <c r="D120" s="109">
        <v>12</v>
      </c>
      <c r="E120" s="108" t="s">
        <v>269</v>
      </c>
      <c r="F120" s="108" t="s">
        <v>190</v>
      </c>
      <c r="G120" s="108" t="s">
        <v>194</v>
      </c>
      <c r="H120" s="110">
        <v>45982.854166666664</v>
      </c>
      <c r="I120" s="108" t="s">
        <v>364</v>
      </c>
    </row>
    <row r="121" spans="1:9" ht="14.5" x14ac:dyDescent="0.35">
      <c r="A121" t="str">
        <f t="shared" si="1"/>
        <v>E2025119</v>
      </c>
      <c r="B121" s="108" t="s">
        <v>268</v>
      </c>
      <c r="C121" s="109">
        <v>119</v>
      </c>
      <c r="D121" s="109">
        <v>12</v>
      </c>
      <c r="E121" s="108" t="s">
        <v>269</v>
      </c>
      <c r="F121" s="108" t="s">
        <v>188</v>
      </c>
      <c r="G121" s="108" t="s">
        <v>192</v>
      </c>
      <c r="H121" s="110">
        <v>45982.875</v>
      </c>
      <c r="I121" s="108" t="s">
        <v>366</v>
      </c>
    </row>
    <row r="122" spans="1:9" ht="14.5" x14ac:dyDescent="0.35">
      <c r="A122" t="str">
        <f t="shared" si="1"/>
        <v>E2025120</v>
      </c>
      <c r="B122" s="108" t="s">
        <v>268</v>
      </c>
      <c r="C122" s="109">
        <v>120</v>
      </c>
      <c r="D122" s="109">
        <v>12</v>
      </c>
      <c r="E122" s="108" t="s">
        <v>269</v>
      </c>
      <c r="F122" s="108" t="s">
        <v>195</v>
      </c>
      <c r="G122" s="108" t="s">
        <v>193</v>
      </c>
      <c r="H122" s="110">
        <v>45982.854166666664</v>
      </c>
      <c r="I122" s="108" t="s">
        <v>364</v>
      </c>
    </row>
    <row r="123" spans="1:9" ht="14.5" x14ac:dyDescent="0.35">
      <c r="A123" t="str">
        <f t="shared" si="1"/>
        <v>E2025121</v>
      </c>
      <c r="B123" s="108" t="s">
        <v>268</v>
      </c>
      <c r="C123" s="109">
        <v>121</v>
      </c>
      <c r="D123" s="109">
        <v>13</v>
      </c>
      <c r="E123" s="108" t="s">
        <v>269</v>
      </c>
      <c r="F123" s="108" t="s">
        <v>180</v>
      </c>
      <c r="G123" s="108" t="s">
        <v>191</v>
      </c>
      <c r="H123" s="110">
        <v>45986.833333333336</v>
      </c>
      <c r="I123" s="108" t="s">
        <v>367</v>
      </c>
    </row>
    <row r="124" spans="1:9" ht="14.5" x14ac:dyDescent="0.35">
      <c r="A124" t="str">
        <f t="shared" si="1"/>
        <v>E2025122</v>
      </c>
      <c r="B124" s="108" t="s">
        <v>268</v>
      </c>
      <c r="C124" s="109">
        <v>122</v>
      </c>
      <c r="D124" s="109">
        <v>13</v>
      </c>
      <c r="E124" s="108" t="s">
        <v>269</v>
      </c>
      <c r="F124" s="108" t="s">
        <v>181</v>
      </c>
      <c r="G124" s="108" t="s">
        <v>183</v>
      </c>
      <c r="H124" s="110">
        <v>45986.833333333336</v>
      </c>
      <c r="I124" s="108" t="s">
        <v>368</v>
      </c>
    </row>
    <row r="125" spans="1:9" ht="14.5" x14ac:dyDescent="0.35">
      <c r="A125" t="str">
        <f t="shared" si="1"/>
        <v>E2025123</v>
      </c>
      <c r="B125" s="108" t="s">
        <v>268</v>
      </c>
      <c r="C125" s="109">
        <v>123</v>
      </c>
      <c r="D125" s="109">
        <v>13</v>
      </c>
      <c r="E125" s="108" t="s">
        <v>269</v>
      </c>
      <c r="F125" s="108" t="s">
        <v>189</v>
      </c>
      <c r="G125" s="108" t="s">
        <v>190</v>
      </c>
      <c r="H125" s="110">
        <v>45986.885416666664</v>
      </c>
      <c r="I125" s="108" t="s">
        <v>369</v>
      </c>
    </row>
    <row r="126" spans="1:9" ht="14.5" x14ac:dyDescent="0.35">
      <c r="A126" t="str">
        <f t="shared" si="1"/>
        <v>E2025124</v>
      </c>
      <c r="B126" s="108" t="s">
        <v>268</v>
      </c>
      <c r="C126" s="109">
        <v>124</v>
      </c>
      <c r="D126" s="109">
        <v>13</v>
      </c>
      <c r="E126" s="108" t="s">
        <v>269</v>
      </c>
      <c r="F126" s="108" t="s">
        <v>188</v>
      </c>
      <c r="G126" s="108" t="s">
        <v>186</v>
      </c>
      <c r="H126" s="110">
        <v>45986.854166666664</v>
      </c>
      <c r="I126" s="108" t="s">
        <v>370</v>
      </c>
    </row>
    <row r="127" spans="1:9" ht="14.5" x14ac:dyDescent="0.35">
      <c r="A127" t="str">
        <f t="shared" si="1"/>
        <v>E2025125</v>
      </c>
      <c r="B127" s="108" t="s">
        <v>268</v>
      </c>
      <c r="C127" s="109">
        <v>125</v>
      </c>
      <c r="D127" s="109">
        <v>13</v>
      </c>
      <c r="E127" s="108" t="s">
        <v>269</v>
      </c>
      <c r="F127" s="108" t="s">
        <v>196</v>
      </c>
      <c r="G127" s="108" t="s">
        <v>179</v>
      </c>
      <c r="H127" s="110">
        <v>45986.833333333336</v>
      </c>
      <c r="I127" s="108" t="s">
        <v>368</v>
      </c>
    </row>
    <row r="128" spans="1:9" ht="14.5" x14ac:dyDescent="0.35">
      <c r="A128" t="str">
        <f t="shared" si="1"/>
        <v>E2025126</v>
      </c>
      <c r="B128" s="108" t="s">
        <v>268</v>
      </c>
      <c r="C128" s="109">
        <v>126</v>
      </c>
      <c r="D128" s="109">
        <v>13</v>
      </c>
      <c r="E128" s="108" t="s">
        <v>269</v>
      </c>
      <c r="F128" s="108" t="s">
        <v>194</v>
      </c>
      <c r="G128" s="108" t="s">
        <v>195</v>
      </c>
      <c r="H128" s="110">
        <v>45986.864583333336</v>
      </c>
      <c r="I128" s="108" t="s">
        <v>371</v>
      </c>
    </row>
    <row r="129" spans="1:9" ht="14.5" x14ac:dyDescent="0.35">
      <c r="A129" t="str">
        <f t="shared" si="1"/>
        <v>E2025127</v>
      </c>
      <c r="B129" s="108" t="s">
        <v>268</v>
      </c>
      <c r="C129" s="109">
        <v>127</v>
      </c>
      <c r="D129" s="109">
        <v>13</v>
      </c>
      <c r="E129" s="108" t="s">
        <v>269</v>
      </c>
      <c r="F129" s="108" t="s">
        <v>184</v>
      </c>
      <c r="G129" s="108" t="s">
        <v>182</v>
      </c>
      <c r="H129" s="110">
        <v>45987.8125</v>
      </c>
      <c r="I129" s="108" t="s">
        <v>372</v>
      </c>
    </row>
    <row r="130" spans="1:9" ht="14.5" x14ac:dyDescent="0.35">
      <c r="A130" t="str">
        <f t="shared" si="1"/>
        <v>E2025128</v>
      </c>
      <c r="B130" s="108" t="s">
        <v>268</v>
      </c>
      <c r="C130" s="109">
        <v>128</v>
      </c>
      <c r="D130" s="109">
        <v>13</v>
      </c>
      <c r="E130" s="108" t="s">
        <v>269</v>
      </c>
      <c r="F130" s="108" t="s">
        <v>192</v>
      </c>
      <c r="G130" s="108" t="s">
        <v>187</v>
      </c>
      <c r="H130" s="110">
        <v>45987.833333333336</v>
      </c>
      <c r="I130" s="108" t="s">
        <v>373</v>
      </c>
    </row>
    <row r="131" spans="1:9" ht="14.5" x14ac:dyDescent="0.35">
      <c r="A131" t="str">
        <f t="shared" si="1"/>
        <v>E2025129</v>
      </c>
      <c r="B131" s="108" t="s">
        <v>268</v>
      </c>
      <c r="C131" s="109">
        <v>129</v>
      </c>
      <c r="D131" s="109">
        <v>13</v>
      </c>
      <c r="E131" s="108" t="s">
        <v>269</v>
      </c>
      <c r="F131" s="108" t="s">
        <v>178</v>
      </c>
      <c r="G131" s="108" t="s">
        <v>177</v>
      </c>
      <c r="H131" s="110">
        <v>45987.854166666664</v>
      </c>
      <c r="I131" s="108" t="s">
        <v>374</v>
      </c>
    </row>
    <row r="132" spans="1:9" ht="14.5" x14ac:dyDescent="0.3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5" x14ac:dyDescent="0.35">
      <c r="A133" t="str">
        <f t="shared" si="2"/>
        <v>E2025131</v>
      </c>
      <c r="B133" s="108" t="s">
        <v>268</v>
      </c>
      <c r="C133" s="109">
        <v>131</v>
      </c>
      <c r="D133" s="109">
        <v>14</v>
      </c>
      <c r="E133" s="108" t="s">
        <v>269</v>
      </c>
      <c r="F133" s="108" t="s">
        <v>184</v>
      </c>
      <c r="G133" s="108" t="s">
        <v>191</v>
      </c>
      <c r="H133" s="110">
        <v>45995.8125</v>
      </c>
      <c r="I133" s="108" t="s">
        <v>376</v>
      </c>
    </row>
    <row r="134" spans="1:9" ht="14.5" x14ac:dyDescent="0.35">
      <c r="A134" t="str">
        <f t="shared" si="2"/>
        <v>E2025132</v>
      </c>
      <c r="B134" s="108" t="s">
        <v>268</v>
      </c>
      <c r="C134" s="109">
        <v>132</v>
      </c>
      <c r="D134" s="109">
        <v>14</v>
      </c>
      <c r="E134" s="108" t="s">
        <v>269</v>
      </c>
      <c r="F134" s="108" t="s">
        <v>190</v>
      </c>
      <c r="G134" s="108" t="s">
        <v>186</v>
      </c>
      <c r="H134" s="110">
        <v>45995.864583333336</v>
      </c>
      <c r="I134" s="108" t="s">
        <v>377</v>
      </c>
    </row>
    <row r="135" spans="1:9" ht="14.5" x14ac:dyDescent="0.35">
      <c r="A135" t="str">
        <f t="shared" si="2"/>
        <v>E2025133</v>
      </c>
      <c r="B135" s="108" t="s">
        <v>268</v>
      </c>
      <c r="C135" s="109">
        <v>133</v>
      </c>
      <c r="D135" s="109">
        <v>14</v>
      </c>
      <c r="E135" s="108" t="s">
        <v>269</v>
      </c>
      <c r="F135" s="108" t="s">
        <v>181</v>
      </c>
      <c r="G135" s="108" t="s">
        <v>177</v>
      </c>
      <c r="H135" s="110">
        <v>45995.878472222219</v>
      </c>
      <c r="I135" s="108" t="s">
        <v>378</v>
      </c>
    </row>
    <row r="136" spans="1:9" ht="14.5" x14ac:dyDescent="0.35">
      <c r="A136" t="str">
        <f t="shared" si="2"/>
        <v>E2025134</v>
      </c>
      <c r="B136" s="108" t="s">
        <v>268</v>
      </c>
      <c r="C136" s="109">
        <v>134</v>
      </c>
      <c r="D136" s="109">
        <v>14</v>
      </c>
      <c r="E136" s="108" t="s">
        <v>269</v>
      </c>
      <c r="F136" s="108" t="s">
        <v>187</v>
      </c>
      <c r="G136" s="108" t="s">
        <v>194</v>
      </c>
      <c r="H136" s="110">
        <v>45995.885416666664</v>
      </c>
      <c r="I136" s="108" t="s">
        <v>379</v>
      </c>
    </row>
    <row r="137" spans="1:9" ht="14.5" x14ac:dyDescent="0.35">
      <c r="A137" t="str">
        <f t="shared" si="2"/>
        <v>E2025135</v>
      </c>
      <c r="B137" s="108" t="s">
        <v>268</v>
      </c>
      <c r="C137" s="109">
        <v>135</v>
      </c>
      <c r="D137" s="109">
        <v>14</v>
      </c>
      <c r="E137" s="108" t="s">
        <v>269</v>
      </c>
      <c r="F137" s="108" t="s">
        <v>196</v>
      </c>
      <c r="G137" s="108" t="s">
        <v>193</v>
      </c>
      <c r="H137" s="110">
        <v>45995.833333333336</v>
      </c>
      <c r="I137" s="108" t="s">
        <v>380</v>
      </c>
    </row>
    <row r="138" spans="1:9" ht="14.5" x14ac:dyDescent="0.35">
      <c r="A138" t="str">
        <f t="shared" si="2"/>
        <v>E2025136</v>
      </c>
      <c r="B138" s="108" t="s">
        <v>268</v>
      </c>
      <c r="C138" s="109">
        <v>136</v>
      </c>
      <c r="D138" s="109">
        <v>14</v>
      </c>
      <c r="E138" s="108" t="s">
        <v>269</v>
      </c>
      <c r="F138" s="108" t="s">
        <v>182</v>
      </c>
      <c r="G138" s="108" t="s">
        <v>183</v>
      </c>
      <c r="H138" s="110">
        <v>45995.84375</v>
      </c>
      <c r="I138" s="108" t="s">
        <v>381</v>
      </c>
    </row>
    <row r="139" spans="1:9" ht="14.5" x14ac:dyDescent="0.35">
      <c r="A139" t="str">
        <f t="shared" si="2"/>
        <v>E2025137</v>
      </c>
      <c r="B139" s="108" t="s">
        <v>268</v>
      </c>
      <c r="C139" s="109">
        <v>137</v>
      </c>
      <c r="D139" s="109">
        <v>14</v>
      </c>
      <c r="E139" s="108" t="s">
        <v>269</v>
      </c>
      <c r="F139" s="108" t="s">
        <v>192</v>
      </c>
      <c r="G139" s="108" t="s">
        <v>178</v>
      </c>
      <c r="H139" s="110">
        <v>45996.833333333336</v>
      </c>
      <c r="I139" s="108" t="s">
        <v>382</v>
      </c>
    </row>
    <row r="140" spans="1:9" ht="14.5" x14ac:dyDescent="0.35">
      <c r="A140" t="str">
        <f t="shared" si="2"/>
        <v>E2025138</v>
      </c>
      <c r="B140" s="108" t="s">
        <v>268</v>
      </c>
      <c r="C140" s="109">
        <v>138</v>
      </c>
      <c r="D140" s="109">
        <v>14</v>
      </c>
      <c r="E140" s="108" t="s">
        <v>269</v>
      </c>
      <c r="F140" s="108" t="s">
        <v>179</v>
      </c>
      <c r="G140" s="108" t="s">
        <v>185</v>
      </c>
      <c r="H140" s="110">
        <v>45996.854166666664</v>
      </c>
      <c r="I140" s="108" t="s">
        <v>383</v>
      </c>
    </row>
    <row r="141" spans="1:9" ht="14.5" x14ac:dyDescent="0.35">
      <c r="A141" t="str">
        <f t="shared" si="2"/>
        <v>E2025139</v>
      </c>
      <c r="B141" s="108" t="s">
        <v>268</v>
      </c>
      <c r="C141" s="109">
        <v>139</v>
      </c>
      <c r="D141" s="109">
        <v>14</v>
      </c>
      <c r="E141" s="108" t="s">
        <v>269</v>
      </c>
      <c r="F141" s="108" t="s">
        <v>189</v>
      </c>
      <c r="G141" s="108" t="s">
        <v>188</v>
      </c>
      <c r="H141" s="110">
        <v>45996.885416666664</v>
      </c>
      <c r="I141" s="108" t="s">
        <v>384</v>
      </c>
    </row>
    <row r="142" spans="1:9" ht="14.5" x14ac:dyDescent="0.35">
      <c r="A142" t="str">
        <f t="shared" si="2"/>
        <v>E2025140</v>
      </c>
      <c r="B142" s="108" t="s">
        <v>268</v>
      </c>
      <c r="C142" s="109">
        <v>140</v>
      </c>
      <c r="D142" s="109">
        <v>14</v>
      </c>
      <c r="E142" s="108" t="s">
        <v>269</v>
      </c>
      <c r="F142" s="108" t="s">
        <v>195</v>
      </c>
      <c r="G142" s="108" t="s">
        <v>180</v>
      </c>
      <c r="H142" s="110">
        <v>45996.854166666664</v>
      </c>
      <c r="I142" s="108" t="s">
        <v>383</v>
      </c>
    </row>
    <row r="143" spans="1:9" ht="14.5" x14ac:dyDescent="0.35">
      <c r="A143" t="str">
        <f t="shared" si="2"/>
        <v>E2025141</v>
      </c>
      <c r="B143" s="108" t="s">
        <v>268</v>
      </c>
      <c r="C143" s="109">
        <v>141</v>
      </c>
      <c r="D143" s="109">
        <v>15</v>
      </c>
      <c r="E143" s="108" t="s">
        <v>269</v>
      </c>
      <c r="F143" s="108" t="s">
        <v>193</v>
      </c>
      <c r="G143" s="108" t="s">
        <v>177</v>
      </c>
      <c r="H143" s="110">
        <v>46002.836805555555</v>
      </c>
      <c r="I143" s="108" t="s">
        <v>385</v>
      </c>
    </row>
    <row r="144" spans="1:9" ht="14.5" x14ac:dyDescent="0.35">
      <c r="A144" t="str">
        <f t="shared" si="2"/>
        <v>E2025142</v>
      </c>
      <c r="B144" s="108" t="s">
        <v>268</v>
      </c>
      <c r="C144" s="109">
        <v>142</v>
      </c>
      <c r="D144" s="109">
        <v>15</v>
      </c>
      <c r="E144" s="108" t="s">
        <v>269</v>
      </c>
      <c r="F144" s="108" t="s">
        <v>180</v>
      </c>
      <c r="G144" s="108" t="s">
        <v>186</v>
      </c>
      <c r="H144" s="110">
        <v>46003.833333333336</v>
      </c>
      <c r="I144" s="108" t="s">
        <v>386</v>
      </c>
    </row>
    <row r="145" spans="1:9" ht="14.5" x14ac:dyDescent="0.35">
      <c r="A145" t="str">
        <f t="shared" si="2"/>
        <v>E2025143</v>
      </c>
      <c r="B145" s="108" t="s">
        <v>268</v>
      </c>
      <c r="C145" s="109">
        <v>143</v>
      </c>
      <c r="D145" s="109">
        <v>15</v>
      </c>
      <c r="E145" s="108" t="s">
        <v>269</v>
      </c>
      <c r="F145" s="108" t="s">
        <v>185</v>
      </c>
      <c r="G145" s="108" t="s">
        <v>189</v>
      </c>
      <c r="H145" s="110">
        <v>46002.854166666664</v>
      </c>
      <c r="I145" s="108" t="s">
        <v>387</v>
      </c>
    </row>
    <row r="146" spans="1:9" ht="14.5" x14ac:dyDescent="0.35">
      <c r="A146" t="str">
        <f t="shared" si="2"/>
        <v>E2025144</v>
      </c>
      <c r="B146" s="108" t="s">
        <v>268</v>
      </c>
      <c r="C146" s="109">
        <v>144</v>
      </c>
      <c r="D146" s="109">
        <v>15</v>
      </c>
      <c r="E146" s="108" t="s">
        <v>269</v>
      </c>
      <c r="F146" s="108" t="s">
        <v>191</v>
      </c>
      <c r="G146" s="108" t="s">
        <v>196</v>
      </c>
      <c r="H146" s="110">
        <v>46002.864583333336</v>
      </c>
      <c r="I146" s="108" t="s">
        <v>388</v>
      </c>
    </row>
    <row r="147" spans="1:9" ht="14.5" x14ac:dyDescent="0.35">
      <c r="A147" t="str">
        <f t="shared" si="2"/>
        <v>E2025145</v>
      </c>
      <c r="B147" s="108" t="s">
        <v>268</v>
      </c>
      <c r="C147" s="109">
        <v>145</v>
      </c>
      <c r="D147" s="109">
        <v>15</v>
      </c>
      <c r="E147" s="108" t="s">
        <v>269</v>
      </c>
      <c r="F147" s="108" t="s">
        <v>183</v>
      </c>
      <c r="G147" s="108" t="s">
        <v>179</v>
      </c>
      <c r="H147" s="110">
        <v>46002.875</v>
      </c>
      <c r="I147" s="108" t="s">
        <v>389</v>
      </c>
    </row>
    <row r="148" spans="1:9" ht="14.5" x14ac:dyDescent="0.35">
      <c r="A148" t="str">
        <f t="shared" si="2"/>
        <v>E2025146</v>
      </c>
      <c r="B148" s="108" t="s">
        <v>268</v>
      </c>
      <c r="C148" s="109">
        <v>146</v>
      </c>
      <c r="D148" s="109">
        <v>15</v>
      </c>
      <c r="E148" s="108" t="s">
        <v>269</v>
      </c>
      <c r="F148" s="108" t="s">
        <v>188</v>
      </c>
      <c r="G148" s="108" t="s">
        <v>182</v>
      </c>
      <c r="H148" s="110">
        <v>46002.854166666664</v>
      </c>
      <c r="I148" s="108" t="s">
        <v>387</v>
      </c>
    </row>
    <row r="149" spans="1:9" ht="14.5" x14ac:dyDescent="0.35">
      <c r="A149" t="str">
        <f t="shared" si="2"/>
        <v>E2025147</v>
      </c>
      <c r="B149" s="108" t="s">
        <v>268</v>
      </c>
      <c r="C149" s="109">
        <v>147</v>
      </c>
      <c r="D149" s="109">
        <v>15</v>
      </c>
      <c r="E149" s="108" t="s">
        <v>269</v>
      </c>
      <c r="F149" s="108" t="s">
        <v>184</v>
      </c>
      <c r="G149" s="108" t="s">
        <v>194</v>
      </c>
      <c r="H149" s="110">
        <v>46003.8125</v>
      </c>
      <c r="I149" s="108" t="s">
        <v>390</v>
      </c>
    </row>
    <row r="150" spans="1:9" ht="14.5" x14ac:dyDescent="0.35">
      <c r="A150" t="str">
        <f t="shared" si="2"/>
        <v>E2025148</v>
      </c>
      <c r="B150" s="108" t="s">
        <v>268</v>
      </c>
      <c r="C150" s="109">
        <v>148</v>
      </c>
      <c r="D150" s="109">
        <v>15</v>
      </c>
      <c r="E150" s="108" t="s">
        <v>269</v>
      </c>
      <c r="F150" s="108" t="s">
        <v>178</v>
      </c>
      <c r="G150" s="108" t="s">
        <v>187</v>
      </c>
      <c r="H150" s="110">
        <v>46003.854166666664</v>
      </c>
      <c r="I150" s="108" t="s">
        <v>391</v>
      </c>
    </row>
    <row r="151" spans="1:9" ht="14.5" x14ac:dyDescent="0.35">
      <c r="A151" t="str">
        <f t="shared" si="2"/>
        <v>E2025149</v>
      </c>
      <c r="B151" s="108" t="s">
        <v>268</v>
      </c>
      <c r="C151" s="109">
        <v>149</v>
      </c>
      <c r="D151" s="109">
        <v>15</v>
      </c>
      <c r="E151" s="108" t="s">
        <v>269</v>
      </c>
      <c r="F151" s="108" t="s">
        <v>190</v>
      </c>
      <c r="G151" s="108" t="s">
        <v>192</v>
      </c>
      <c r="H151" s="110">
        <v>46003.854166666664</v>
      </c>
      <c r="I151" s="108" t="s">
        <v>391</v>
      </c>
    </row>
    <row r="152" spans="1:9" ht="14.5" x14ac:dyDescent="0.35">
      <c r="A152" t="str">
        <f t="shared" si="2"/>
        <v>E2025150</v>
      </c>
      <c r="B152" s="108" t="s">
        <v>268</v>
      </c>
      <c r="C152" s="109">
        <v>150</v>
      </c>
      <c r="D152" s="109">
        <v>15</v>
      </c>
      <c r="E152" s="108" t="s">
        <v>269</v>
      </c>
      <c r="F152" s="108" t="s">
        <v>195</v>
      </c>
      <c r="G152" s="108" t="s">
        <v>181</v>
      </c>
      <c r="H152" s="110">
        <v>46003.854166666664</v>
      </c>
      <c r="I152" s="108" t="s">
        <v>391</v>
      </c>
    </row>
    <row r="153" spans="1:9" ht="14.5" x14ac:dyDescent="0.35">
      <c r="A153" t="str">
        <f t="shared" si="2"/>
        <v>E2025151</v>
      </c>
      <c r="B153" s="108" t="s">
        <v>268</v>
      </c>
      <c r="C153" s="109">
        <v>151</v>
      </c>
      <c r="D153" s="109">
        <v>16</v>
      </c>
      <c r="E153" s="108" t="s">
        <v>269</v>
      </c>
      <c r="F153" s="108" t="s">
        <v>180</v>
      </c>
      <c r="G153" s="108" t="s">
        <v>193</v>
      </c>
      <c r="H153" s="110">
        <v>46007.833333333336</v>
      </c>
      <c r="I153" s="108" t="s">
        <v>392</v>
      </c>
    </row>
    <row r="154" spans="1:9" ht="14.5" x14ac:dyDescent="0.35">
      <c r="A154" t="str">
        <f t="shared" si="2"/>
        <v>E2025152</v>
      </c>
      <c r="B154" s="108" t="s">
        <v>268</v>
      </c>
      <c r="C154" s="109">
        <v>152</v>
      </c>
      <c r="D154" s="109">
        <v>16</v>
      </c>
      <c r="E154" s="108" t="s">
        <v>269</v>
      </c>
      <c r="F154" s="108" t="s">
        <v>185</v>
      </c>
      <c r="G154" s="108" t="s">
        <v>183</v>
      </c>
      <c r="H154" s="110">
        <v>46007.854166666664</v>
      </c>
      <c r="I154" s="108" t="s">
        <v>393</v>
      </c>
    </row>
    <row r="155" spans="1:9" ht="14.5" x14ac:dyDescent="0.35">
      <c r="A155" t="str">
        <f t="shared" si="2"/>
        <v>E2025153</v>
      </c>
      <c r="B155" s="108" t="s">
        <v>268</v>
      </c>
      <c r="C155" s="109">
        <v>153</v>
      </c>
      <c r="D155" s="109">
        <v>16</v>
      </c>
      <c r="E155" s="108" t="s">
        <v>269</v>
      </c>
      <c r="F155" s="108" t="s">
        <v>194</v>
      </c>
      <c r="G155" s="108" t="s">
        <v>189</v>
      </c>
      <c r="H155" s="110">
        <v>46007.864583333336</v>
      </c>
      <c r="I155" s="108" t="s">
        <v>394</v>
      </c>
    </row>
    <row r="156" spans="1:9" ht="14.5" x14ac:dyDescent="0.35">
      <c r="A156" t="str">
        <f t="shared" si="2"/>
        <v>E2025154</v>
      </c>
      <c r="B156" s="108" t="s">
        <v>268</v>
      </c>
      <c r="C156" s="109">
        <v>154</v>
      </c>
      <c r="D156" s="109">
        <v>16</v>
      </c>
      <c r="E156" s="108" t="s">
        <v>269</v>
      </c>
      <c r="F156" s="108" t="s">
        <v>181</v>
      </c>
      <c r="G156" s="108" t="s">
        <v>192</v>
      </c>
      <c r="H156" s="110">
        <v>46007.878472222219</v>
      </c>
      <c r="I156" s="108" t="s">
        <v>395</v>
      </c>
    </row>
    <row r="157" spans="1:9" ht="14.5" x14ac:dyDescent="0.35">
      <c r="A157" t="str">
        <f t="shared" si="2"/>
        <v>E2025155</v>
      </c>
      <c r="B157" s="108" t="s">
        <v>268</v>
      </c>
      <c r="C157" s="109">
        <v>155</v>
      </c>
      <c r="D157" s="109">
        <v>16</v>
      </c>
      <c r="E157" s="108" t="s">
        <v>269</v>
      </c>
      <c r="F157" s="108" t="s">
        <v>187</v>
      </c>
      <c r="G157" s="108" t="s">
        <v>188</v>
      </c>
      <c r="H157" s="110">
        <v>46007.885416666664</v>
      </c>
      <c r="I157" s="108" t="s">
        <v>396</v>
      </c>
    </row>
    <row r="158" spans="1:9" ht="14.5" x14ac:dyDescent="0.35">
      <c r="A158" t="str">
        <f t="shared" si="2"/>
        <v>E2025156</v>
      </c>
      <c r="B158" s="108" t="s">
        <v>268</v>
      </c>
      <c r="C158" s="109">
        <v>156</v>
      </c>
      <c r="D158" s="109">
        <v>16</v>
      </c>
      <c r="E158" s="108" t="s">
        <v>269</v>
      </c>
      <c r="F158" s="108" t="s">
        <v>191</v>
      </c>
      <c r="G158" s="108" t="s">
        <v>178</v>
      </c>
      <c r="H158" s="110">
        <v>46007.864583333336</v>
      </c>
      <c r="I158" s="108" t="s">
        <v>397</v>
      </c>
    </row>
    <row r="159" spans="1:9" ht="14.5" x14ac:dyDescent="0.35">
      <c r="A159" t="str">
        <f t="shared" si="2"/>
        <v>E2025157</v>
      </c>
      <c r="B159" s="108" t="s">
        <v>268</v>
      </c>
      <c r="C159" s="109">
        <v>157</v>
      </c>
      <c r="D159" s="109">
        <v>16</v>
      </c>
      <c r="E159" s="108" t="s">
        <v>269</v>
      </c>
      <c r="F159" s="108" t="s">
        <v>179</v>
      </c>
      <c r="G159" s="108" t="s">
        <v>184</v>
      </c>
      <c r="H159" s="110">
        <v>46008.854166666664</v>
      </c>
      <c r="I159" s="108" t="s">
        <v>398</v>
      </c>
    </row>
    <row r="160" spans="1:9" ht="14.5" x14ac:dyDescent="0.35">
      <c r="A160" t="str">
        <f t="shared" si="2"/>
        <v>E2025158</v>
      </c>
      <c r="B160" s="108" t="s">
        <v>268</v>
      </c>
      <c r="C160" s="109">
        <v>158</v>
      </c>
      <c r="D160" s="109">
        <v>16</v>
      </c>
      <c r="E160" s="108" t="s">
        <v>269</v>
      </c>
      <c r="F160" s="108" t="s">
        <v>177</v>
      </c>
      <c r="G160" s="108" t="s">
        <v>186</v>
      </c>
      <c r="H160" s="110">
        <v>46008.833333333336</v>
      </c>
      <c r="I160" s="108" t="s">
        <v>399</v>
      </c>
    </row>
    <row r="161" spans="1:9" ht="14.5" x14ac:dyDescent="0.35">
      <c r="A161" t="str">
        <f t="shared" si="2"/>
        <v>E2025159</v>
      </c>
      <c r="B161" s="108" t="s">
        <v>268</v>
      </c>
      <c r="C161" s="109">
        <v>159</v>
      </c>
      <c r="D161" s="109">
        <v>16</v>
      </c>
      <c r="E161" s="108" t="s">
        <v>269</v>
      </c>
      <c r="F161" s="108" t="s">
        <v>190</v>
      </c>
      <c r="G161" s="108" t="s">
        <v>195</v>
      </c>
      <c r="H161" s="110">
        <v>46008.854166666664</v>
      </c>
      <c r="I161" s="108" t="s">
        <v>398</v>
      </c>
    </row>
    <row r="162" spans="1:9" ht="14.5" x14ac:dyDescent="0.35">
      <c r="A162" t="str">
        <f t="shared" si="2"/>
        <v>E2025160</v>
      </c>
      <c r="B162" s="108" t="s">
        <v>268</v>
      </c>
      <c r="C162" s="109">
        <v>160</v>
      </c>
      <c r="D162" s="109">
        <v>16</v>
      </c>
      <c r="E162" s="108" t="s">
        <v>269</v>
      </c>
      <c r="F162" s="108" t="s">
        <v>196</v>
      </c>
      <c r="G162" s="108" t="s">
        <v>182</v>
      </c>
      <c r="H162" s="110">
        <v>46008.833333333336</v>
      </c>
      <c r="I162" s="108" t="s">
        <v>400</v>
      </c>
    </row>
    <row r="163" spans="1:9" ht="14.5" x14ac:dyDescent="0.35">
      <c r="A163" t="str">
        <f t="shared" si="2"/>
        <v>E2025161</v>
      </c>
      <c r="B163" s="108" t="s">
        <v>268</v>
      </c>
      <c r="C163" s="109">
        <v>161</v>
      </c>
      <c r="D163" s="109">
        <v>17</v>
      </c>
      <c r="E163" s="108" t="s">
        <v>269</v>
      </c>
      <c r="F163" s="108" t="s">
        <v>185</v>
      </c>
      <c r="G163" s="108" t="s">
        <v>194</v>
      </c>
      <c r="H163" s="110">
        <v>46009.854166666664</v>
      </c>
      <c r="I163" s="108" t="s">
        <v>401</v>
      </c>
    </row>
    <row r="164" spans="1:9" ht="14.5" x14ac:dyDescent="0.35">
      <c r="A164" t="str">
        <f t="shared" si="2"/>
        <v>E2025162</v>
      </c>
      <c r="B164" s="108" t="s">
        <v>268</v>
      </c>
      <c r="C164" s="109">
        <v>162</v>
      </c>
      <c r="D164" s="109">
        <v>17</v>
      </c>
      <c r="E164" s="108" t="s">
        <v>269</v>
      </c>
      <c r="F164" s="108" t="s">
        <v>193</v>
      </c>
      <c r="G164" s="108" t="s">
        <v>188</v>
      </c>
      <c r="H164" s="110">
        <v>46009.791666666664</v>
      </c>
      <c r="I164" s="108" t="s">
        <v>402</v>
      </c>
    </row>
    <row r="165" spans="1:9" ht="14.5" x14ac:dyDescent="0.35">
      <c r="A165" t="str">
        <f t="shared" si="2"/>
        <v>E2025163</v>
      </c>
      <c r="B165" s="108" t="s">
        <v>268</v>
      </c>
      <c r="C165" s="109">
        <v>163</v>
      </c>
      <c r="D165" s="109">
        <v>17</v>
      </c>
      <c r="E165" s="108" t="s">
        <v>269</v>
      </c>
      <c r="F165" s="108" t="s">
        <v>189</v>
      </c>
      <c r="G165" s="108" t="s">
        <v>181</v>
      </c>
      <c r="H165" s="110">
        <v>46009.885416666664</v>
      </c>
      <c r="I165" s="108" t="s">
        <v>403</v>
      </c>
    </row>
    <row r="166" spans="1:9" ht="14.5" x14ac:dyDescent="0.35">
      <c r="A166" t="str">
        <f t="shared" si="2"/>
        <v>E2025164</v>
      </c>
      <c r="B166" s="108" t="s">
        <v>268</v>
      </c>
      <c r="C166" s="109">
        <v>164</v>
      </c>
      <c r="D166" s="109">
        <v>17</v>
      </c>
      <c r="E166" s="108" t="s">
        <v>269</v>
      </c>
      <c r="F166" s="108" t="s">
        <v>183</v>
      </c>
      <c r="G166" s="108" t="s">
        <v>191</v>
      </c>
      <c r="H166" s="110">
        <v>46009.864583333336</v>
      </c>
      <c r="I166" s="108" t="s">
        <v>404</v>
      </c>
    </row>
    <row r="167" spans="1:9" ht="14.5" x14ac:dyDescent="0.35">
      <c r="A167" t="str">
        <f t="shared" si="2"/>
        <v>E2025165</v>
      </c>
      <c r="B167" s="108" t="s">
        <v>268</v>
      </c>
      <c r="C167" s="109">
        <v>165</v>
      </c>
      <c r="D167" s="109">
        <v>17</v>
      </c>
      <c r="E167" s="108" t="s">
        <v>269</v>
      </c>
      <c r="F167" s="108" t="s">
        <v>182</v>
      </c>
      <c r="G167" s="108" t="s">
        <v>180</v>
      </c>
      <c r="H167" s="110">
        <v>46010.854166666664</v>
      </c>
      <c r="I167" s="108" t="s">
        <v>405</v>
      </c>
    </row>
    <row r="168" spans="1:9" ht="14.5" x14ac:dyDescent="0.35">
      <c r="A168" t="str">
        <f t="shared" si="2"/>
        <v>E2025166</v>
      </c>
      <c r="B168" s="108" t="s">
        <v>268</v>
      </c>
      <c r="C168" s="109">
        <v>166</v>
      </c>
      <c r="D168" s="109">
        <v>17</v>
      </c>
      <c r="E168" s="108" t="s">
        <v>269</v>
      </c>
      <c r="F168" s="108" t="s">
        <v>184</v>
      </c>
      <c r="G168" s="108" t="s">
        <v>186</v>
      </c>
      <c r="H168" s="110">
        <v>46010.8125</v>
      </c>
      <c r="I168" s="108" t="s">
        <v>406</v>
      </c>
    </row>
    <row r="169" spans="1:9" ht="14.5" x14ac:dyDescent="0.35">
      <c r="A169" t="str">
        <f t="shared" si="2"/>
        <v>E2025167</v>
      </c>
      <c r="B169" s="108" t="s">
        <v>268</v>
      </c>
      <c r="C169" s="109">
        <v>167</v>
      </c>
      <c r="D169" s="109">
        <v>17</v>
      </c>
      <c r="E169" s="108" t="s">
        <v>269</v>
      </c>
      <c r="F169" s="108" t="s">
        <v>192</v>
      </c>
      <c r="G169" s="108" t="s">
        <v>195</v>
      </c>
      <c r="H169" s="110">
        <v>46010.864583333336</v>
      </c>
      <c r="I169" s="108" t="s">
        <v>407</v>
      </c>
    </row>
    <row r="170" spans="1:9" ht="14.5" x14ac:dyDescent="0.35">
      <c r="A170" t="str">
        <f t="shared" si="2"/>
        <v>E2025168</v>
      </c>
      <c r="B170" s="108" t="s">
        <v>268</v>
      </c>
      <c r="C170" s="109">
        <v>168</v>
      </c>
      <c r="D170" s="109">
        <v>17</v>
      </c>
      <c r="E170" s="108" t="s">
        <v>269</v>
      </c>
      <c r="F170" s="108" t="s">
        <v>178</v>
      </c>
      <c r="G170" s="108" t="s">
        <v>179</v>
      </c>
      <c r="H170" s="110">
        <v>46010.854166666664</v>
      </c>
      <c r="I170" s="108" t="s">
        <v>408</v>
      </c>
    </row>
    <row r="171" spans="1:9" ht="14.5" x14ac:dyDescent="0.35">
      <c r="A171" t="str">
        <f t="shared" si="2"/>
        <v>E2025169</v>
      </c>
      <c r="B171" s="108" t="s">
        <v>268</v>
      </c>
      <c r="C171" s="109">
        <v>169</v>
      </c>
      <c r="D171" s="109">
        <v>17</v>
      </c>
      <c r="E171" s="108" t="s">
        <v>269</v>
      </c>
      <c r="F171" s="108" t="s">
        <v>187</v>
      </c>
      <c r="G171" s="108" t="s">
        <v>177</v>
      </c>
      <c r="H171" s="110">
        <v>46010.885416666664</v>
      </c>
      <c r="I171" s="108" t="s">
        <v>409</v>
      </c>
    </row>
    <row r="172" spans="1:9" ht="14.5" x14ac:dyDescent="0.35">
      <c r="A172" t="str">
        <f t="shared" si="2"/>
        <v>E2025170</v>
      </c>
      <c r="B172" s="108" t="s">
        <v>268</v>
      </c>
      <c r="C172" s="109">
        <v>170</v>
      </c>
      <c r="D172" s="109">
        <v>17</v>
      </c>
      <c r="E172" s="108" t="s">
        <v>269</v>
      </c>
      <c r="F172" s="108" t="s">
        <v>196</v>
      </c>
      <c r="G172" s="108" t="s">
        <v>190</v>
      </c>
      <c r="H172" s="110">
        <v>46010.833333333336</v>
      </c>
      <c r="I172" s="108" t="s">
        <v>410</v>
      </c>
    </row>
    <row r="173" spans="1:9" ht="14.5" x14ac:dyDescent="0.35">
      <c r="A173" t="str">
        <f t="shared" si="2"/>
        <v>E2025171</v>
      </c>
      <c r="B173" s="108" t="s">
        <v>268</v>
      </c>
      <c r="C173" s="109">
        <v>171</v>
      </c>
      <c r="D173" s="109">
        <v>18</v>
      </c>
      <c r="E173" s="108" t="s">
        <v>269</v>
      </c>
      <c r="F173" s="108" t="s">
        <v>186</v>
      </c>
      <c r="G173" s="108" t="s">
        <v>181</v>
      </c>
      <c r="H173" s="110">
        <v>46014.854166666664</v>
      </c>
      <c r="I173" s="108" t="s">
        <v>411</v>
      </c>
    </row>
    <row r="174" spans="1:9" ht="14.5" x14ac:dyDescent="0.35">
      <c r="A174" t="str">
        <f t="shared" si="2"/>
        <v>E2025172</v>
      </c>
      <c r="B174" s="108" t="s">
        <v>268</v>
      </c>
      <c r="C174" s="109">
        <v>172</v>
      </c>
      <c r="D174" s="109">
        <v>18</v>
      </c>
      <c r="E174" s="108" t="s">
        <v>269</v>
      </c>
      <c r="F174" s="108" t="s">
        <v>194</v>
      </c>
      <c r="G174" s="108" t="s">
        <v>178</v>
      </c>
      <c r="H174" s="110">
        <v>46014.864583333336</v>
      </c>
      <c r="I174" s="108" t="s">
        <v>412</v>
      </c>
    </row>
    <row r="175" spans="1:9" ht="14.5" x14ac:dyDescent="0.35">
      <c r="A175" t="str">
        <f t="shared" si="2"/>
        <v>E2025173</v>
      </c>
      <c r="B175" s="108" t="s">
        <v>268</v>
      </c>
      <c r="C175" s="109">
        <v>173</v>
      </c>
      <c r="D175" s="109">
        <v>18</v>
      </c>
      <c r="E175" s="108" t="s">
        <v>269</v>
      </c>
      <c r="F175" s="108" t="s">
        <v>177</v>
      </c>
      <c r="G175" s="108" t="s">
        <v>182</v>
      </c>
      <c r="H175" s="110">
        <v>46014.864583333336</v>
      </c>
      <c r="I175" s="108" t="s">
        <v>413</v>
      </c>
    </row>
    <row r="176" spans="1:9" ht="14.5" x14ac:dyDescent="0.35">
      <c r="A176" t="str">
        <f t="shared" si="2"/>
        <v>E2025174</v>
      </c>
      <c r="B176" s="108" t="s">
        <v>268</v>
      </c>
      <c r="C176" s="109">
        <v>174</v>
      </c>
      <c r="D176" s="109">
        <v>18</v>
      </c>
      <c r="E176" s="108" t="s">
        <v>269</v>
      </c>
      <c r="F176" s="108" t="s">
        <v>191</v>
      </c>
      <c r="G176" s="108" t="s">
        <v>192</v>
      </c>
      <c r="H176" s="110">
        <v>46014.864583333336</v>
      </c>
      <c r="I176" s="108" t="s">
        <v>413</v>
      </c>
    </row>
    <row r="177" spans="1:9" ht="14.5" x14ac:dyDescent="0.35">
      <c r="A177" t="str">
        <f t="shared" si="2"/>
        <v>E2025175</v>
      </c>
      <c r="B177" s="108" t="s">
        <v>268</v>
      </c>
      <c r="C177" s="109">
        <v>175</v>
      </c>
      <c r="D177" s="109">
        <v>18</v>
      </c>
      <c r="E177" s="108" t="s">
        <v>269</v>
      </c>
      <c r="F177" s="108" t="s">
        <v>188</v>
      </c>
      <c r="G177" s="108" t="s">
        <v>179</v>
      </c>
      <c r="H177" s="110">
        <v>46014.854166666664</v>
      </c>
      <c r="I177" s="108" t="s">
        <v>414</v>
      </c>
    </row>
    <row r="178" spans="1:9" ht="14.5" x14ac:dyDescent="0.35">
      <c r="A178" t="str">
        <f t="shared" si="2"/>
        <v>E2025176</v>
      </c>
      <c r="B178" s="108" t="s">
        <v>268</v>
      </c>
      <c r="C178" s="109">
        <v>176</v>
      </c>
      <c r="D178" s="109">
        <v>18</v>
      </c>
      <c r="E178" s="108" t="s">
        <v>269</v>
      </c>
      <c r="F178" s="108" t="s">
        <v>196</v>
      </c>
      <c r="G178" s="108" t="s">
        <v>189</v>
      </c>
      <c r="H178" s="110">
        <v>46014.833333333336</v>
      </c>
      <c r="I178" s="108" t="s">
        <v>415</v>
      </c>
    </row>
    <row r="179" spans="1:9" ht="14.5" x14ac:dyDescent="0.35">
      <c r="A179" t="str">
        <f t="shared" si="2"/>
        <v>E2025177</v>
      </c>
      <c r="B179" s="108" t="s">
        <v>268</v>
      </c>
      <c r="C179" s="109">
        <v>177</v>
      </c>
      <c r="D179" s="109">
        <v>18</v>
      </c>
      <c r="E179" s="108" t="s">
        <v>269</v>
      </c>
      <c r="F179" s="108" t="s">
        <v>180</v>
      </c>
      <c r="G179" s="108" t="s">
        <v>185</v>
      </c>
      <c r="H179" s="110">
        <v>46014.833333333336</v>
      </c>
      <c r="I179" s="108" t="s">
        <v>416</v>
      </c>
    </row>
    <row r="180" spans="1:9" ht="14.5" x14ac:dyDescent="0.35">
      <c r="A180" t="str">
        <f t="shared" si="2"/>
        <v>E2025178</v>
      </c>
      <c r="B180" s="108" t="s">
        <v>268</v>
      </c>
      <c r="C180" s="109">
        <v>178</v>
      </c>
      <c r="D180" s="109">
        <v>18</v>
      </c>
      <c r="E180" s="108" t="s">
        <v>269</v>
      </c>
      <c r="F180" s="108" t="s">
        <v>184</v>
      </c>
      <c r="G180" s="108" t="s">
        <v>183</v>
      </c>
      <c r="H180" s="110">
        <v>46017.8125</v>
      </c>
      <c r="I180" s="108" t="s">
        <v>417</v>
      </c>
    </row>
    <row r="181" spans="1:9" ht="14.5" x14ac:dyDescent="0.35">
      <c r="A181" t="str">
        <f t="shared" si="2"/>
        <v>E2025179</v>
      </c>
      <c r="B181" s="108" t="s">
        <v>268</v>
      </c>
      <c r="C181" s="109">
        <v>179</v>
      </c>
      <c r="D181" s="109">
        <v>18</v>
      </c>
      <c r="E181" s="108" t="s">
        <v>269</v>
      </c>
      <c r="F181" s="108" t="s">
        <v>190</v>
      </c>
      <c r="G181" s="108" t="s">
        <v>193</v>
      </c>
      <c r="H181" s="110">
        <v>46017.75</v>
      </c>
      <c r="I181" s="108" t="s">
        <v>418</v>
      </c>
    </row>
    <row r="182" spans="1:9" ht="14.5" x14ac:dyDescent="0.35">
      <c r="A182" t="str">
        <f t="shared" si="2"/>
        <v>E2025180</v>
      </c>
      <c r="B182" s="108" t="s">
        <v>268</v>
      </c>
      <c r="C182" s="109">
        <v>180</v>
      </c>
      <c r="D182" s="109">
        <v>18</v>
      </c>
      <c r="E182" s="108" t="s">
        <v>269</v>
      </c>
      <c r="F182" s="108" t="s">
        <v>195</v>
      </c>
      <c r="G182" s="108" t="s">
        <v>187</v>
      </c>
      <c r="H182" s="110">
        <v>46017.854166666664</v>
      </c>
      <c r="I182" s="108" t="s">
        <v>419</v>
      </c>
    </row>
    <row r="183" spans="1:9" ht="14.5" x14ac:dyDescent="0.35">
      <c r="A183" t="str">
        <f t="shared" si="2"/>
        <v>E2025181</v>
      </c>
      <c r="B183" s="108" t="s">
        <v>268</v>
      </c>
      <c r="C183" s="109">
        <v>181</v>
      </c>
      <c r="D183" s="109">
        <v>19</v>
      </c>
      <c r="E183" s="108" t="s">
        <v>269</v>
      </c>
      <c r="F183" s="108" t="s">
        <v>178</v>
      </c>
      <c r="G183" s="108" t="s">
        <v>184</v>
      </c>
      <c r="H183" s="110">
        <v>46021.854166666664</v>
      </c>
      <c r="I183" s="108" t="s">
        <v>420</v>
      </c>
    </row>
    <row r="184" spans="1:9" ht="14.5" x14ac:dyDescent="0.35">
      <c r="A184" t="str">
        <f t="shared" si="2"/>
        <v>E2025182</v>
      </c>
      <c r="B184" s="108" t="s">
        <v>268</v>
      </c>
      <c r="C184" s="109">
        <v>182</v>
      </c>
      <c r="D184" s="109">
        <v>19</v>
      </c>
      <c r="E184" s="108" t="s">
        <v>269</v>
      </c>
      <c r="F184" s="108" t="s">
        <v>181</v>
      </c>
      <c r="G184" s="108" t="s">
        <v>196</v>
      </c>
      <c r="H184" s="110">
        <v>46021.878472222219</v>
      </c>
      <c r="I184" s="108" t="s">
        <v>421</v>
      </c>
    </row>
    <row r="185" spans="1:9" ht="14.5" x14ac:dyDescent="0.35">
      <c r="A185" t="str">
        <f t="shared" si="2"/>
        <v>E2025183</v>
      </c>
      <c r="B185" s="108" t="s">
        <v>268</v>
      </c>
      <c r="C185" s="109">
        <v>183</v>
      </c>
      <c r="D185" s="109">
        <v>19</v>
      </c>
      <c r="E185" s="108" t="s">
        <v>269</v>
      </c>
      <c r="F185" s="108" t="s">
        <v>177</v>
      </c>
      <c r="G185" s="108" t="s">
        <v>191</v>
      </c>
      <c r="H185" s="110">
        <v>46021.833333333336</v>
      </c>
      <c r="I185" s="108" t="s">
        <v>422</v>
      </c>
    </row>
    <row r="186" spans="1:9" ht="14.5" x14ac:dyDescent="0.35">
      <c r="A186" t="str">
        <f t="shared" si="2"/>
        <v>E2025184</v>
      </c>
      <c r="B186" s="108" t="s">
        <v>268</v>
      </c>
      <c r="C186" s="109">
        <v>184</v>
      </c>
      <c r="D186" s="109">
        <v>19</v>
      </c>
      <c r="E186" s="108" t="s">
        <v>269</v>
      </c>
      <c r="F186" s="108" t="s">
        <v>188</v>
      </c>
      <c r="G186" s="108" t="s">
        <v>190</v>
      </c>
      <c r="H186" s="110">
        <v>46021.854166666664</v>
      </c>
      <c r="I186" s="108" t="s">
        <v>420</v>
      </c>
    </row>
    <row r="187" spans="1:9" ht="14.5" x14ac:dyDescent="0.35">
      <c r="A187" t="str">
        <f t="shared" si="2"/>
        <v>E2025185</v>
      </c>
      <c r="B187" s="108" t="s">
        <v>268</v>
      </c>
      <c r="C187" s="109">
        <v>185</v>
      </c>
      <c r="D187" s="109">
        <v>19</v>
      </c>
      <c r="E187" s="108" t="s">
        <v>269</v>
      </c>
      <c r="F187" s="108" t="s">
        <v>182</v>
      </c>
      <c r="G187" s="108" t="s">
        <v>192</v>
      </c>
      <c r="H187" s="110">
        <v>46024.854166666664</v>
      </c>
      <c r="I187" s="108" t="s">
        <v>423</v>
      </c>
    </row>
    <row r="188" spans="1:9" ht="14.5" x14ac:dyDescent="0.35">
      <c r="A188" t="str">
        <f t="shared" si="2"/>
        <v>E2025186</v>
      </c>
      <c r="B188" s="108" t="s">
        <v>268</v>
      </c>
      <c r="C188" s="109">
        <v>186</v>
      </c>
      <c r="D188" s="109">
        <v>19</v>
      </c>
      <c r="E188" s="108" t="s">
        <v>269</v>
      </c>
      <c r="F188" s="108" t="s">
        <v>179</v>
      </c>
      <c r="G188" s="108" t="s">
        <v>194</v>
      </c>
      <c r="H188" s="110">
        <v>46024.854166666664</v>
      </c>
      <c r="I188" s="108" t="s">
        <v>424</v>
      </c>
    </row>
    <row r="189" spans="1:9" ht="14.5" x14ac:dyDescent="0.35">
      <c r="A189" t="str">
        <f t="shared" si="2"/>
        <v>E2025187</v>
      </c>
      <c r="B189" s="108" t="s">
        <v>268</v>
      </c>
      <c r="C189" s="109">
        <v>187</v>
      </c>
      <c r="D189" s="109">
        <v>19</v>
      </c>
      <c r="E189" s="108" t="s">
        <v>269</v>
      </c>
      <c r="F189" s="108" t="s">
        <v>186</v>
      </c>
      <c r="G189" s="108" t="s">
        <v>193</v>
      </c>
      <c r="H189" s="110">
        <v>46024.875</v>
      </c>
      <c r="I189" s="108" t="s">
        <v>425</v>
      </c>
    </row>
    <row r="190" spans="1:9" ht="14.5" x14ac:dyDescent="0.35">
      <c r="A190" t="str">
        <f t="shared" si="2"/>
        <v>E2025188</v>
      </c>
      <c r="B190" s="108" t="s">
        <v>268</v>
      </c>
      <c r="C190" s="109">
        <v>188</v>
      </c>
      <c r="D190" s="109">
        <v>19</v>
      </c>
      <c r="E190" s="108" t="s">
        <v>269</v>
      </c>
      <c r="F190" s="108" t="s">
        <v>189</v>
      </c>
      <c r="G190" s="108" t="s">
        <v>187</v>
      </c>
      <c r="H190" s="110">
        <v>46024.885416666664</v>
      </c>
      <c r="I190" s="108" t="s">
        <v>426</v>
      </c>
    </row>
    <row r="191" spans="1:9" ht="14.5" x14ac:dyDescent="0.35">
      <c r="A191" t="str">
        <f t="shared" si="2"/>
        <v>E2025189</v>
      </c>
      <c r="B191" s="108" t="s">
        <v>268</v>
      </c>
      <c r="C191" s="109">
        <v>189</v>
      </c>
      <c r="D191" s="109">
        <v>19</v>
      </c>
      <c r="E191" s="108" t="s">
        <v>269</v>
      </c>
      <c r="F191" s="108" t="s">
        <v>183</v>
      </c>
      <c r="G191" s="108" t="s">
        <v>180</v>
      </c>
      <c r="H191" s="110">
        <v>46024.864583333336</v>
      </c>
      <c r="I191" s="108" t="s">
        <v>427</v>
      </c>
    </row>
    <row r="192" spans="1:9" ht="14.5" x14ac:dyDescent="0.35">
      <c r="A192" t="str">
        <f t="shared" si="2"/>
        <v>E2025190</v>
      </c>
      <c r="B192" s="108" t="s">
        <v>268</v>
      </c>
      <c r="C192" s="109">
        <v>190</v>
      </c>
      <c r="D192" s="109">
        <v>19</v>
      </c>
      <c r="E192" s="108" t="s">
        <v>269</v>
      </c>
      <c r="F192" s="108" t="s">
        <v>195</v>
      </c>
      <c r="G192" s="108" t="s">
        <v>185</v>
      </c>
      <c r="H192" s="110">
        <v>46024.854166666664</v>
      </c>
      <c r="I192" s="108" t="s">
        <v>424</v>
      </c>
    </row>
    <row r="193" spans="1:9" ht="14.5" x14ac:dyDescent="0.35">
      <c r="A193" t="str">
        <f t="shared" si="2"/>
        <v>E2025191</v>
      </c>
      <c r="B193" s="108" t="s">
        <v>268</v>
      </c>
      <c r="C193" s="109">
        <v>191</v>
      </c>
      <c r="D193" s="109">
        <v>20</v>
      </c>
      <c r="E193" s="108" t="s">
        <v>269</v>
      </c>
      <c r="F193" s="108" t="s">
        <v>184</v>
      </c>
      <c r="G193" s="108" t="s">
        <v>190</v>
      </c>
      <c r="H193" s="110">
        <v>46028.8125</v>
      </c>
      <c r="I193" s="108" t="s">
        <v>428</v>
      </c>
    </row>
    <row r="194" spans="1:9" ht="14.5" x14ac:dyDescent="0.35">
      <c r="A194" t="str">
        <f t="shared" si="2"/>
        <v>E2025192</v>
      </c>
      <c r="B194" s="108" t="s">
        <v>268</v>
      </c>
      <c r="C194" s="109">
        <v>192</v>
      </c>
      <c r="D194" s="109">
        <v>20</v>
      </c>
      <c r="E194" s="108" t="s">
        <v>269</v>
      </c>
      <c r="F194" s="108" t="s">
        <v>192</v>
      </c>
      <c r="G194" s="108" t="s">
        <v>188</v>
      </c>
      <c r="H194" s="110">
        <v>46028.833333333336</v>
      </c>
      <c r="I194" s="108" t="s">
        <v>429</v>
      </c>
    </row>
    <row r="195" spans="1:9" ht="14.5" x14ac:dyDescent="0.35">
      <c r="A195" t="str">
        <f t="shared" si="2"/>
        <v>E2025193</v>
      </c>
      <c r="B195" s="108" t="s">
        <v>268</v>
      </c>
      <c r="C195" s="109">
        <v>193</v>
      </c>
      <c r="D195" s="109">
        <v>20</v>
      </c>
      <c r="E195" s="108" t="s">
        <v>269</v>
      </c>
      <c r="F195" s="108" t="s">
        <v>178</v>
      </c>
      <c r="G195" s="108" t="s">
        <v>193</v>
      </c>
      <c r="H195" s="110">
        <v>46028.854166666664</v>
      </c>
      <c r="I195" s="108" t="s">
        <v>430</v>
      </c>
    </row>
    <row r="196" spans="1:9" ht="14.5" x14ac:dyDescent="0.3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5" x14ac:dyDescent="0.35">
      <c r="A197" t="str">
        <f t="shared" si="3"/>
        <v>E2025195</v>
      </c>
      <c r="B197" s="108" t="s">
        <v>268</v>
      </c>
      <c r="C197" s="109">
        <v>195</v>
      </c>
      <c r="D197" s="109">
        <v>20</v>
      </c>
      <c r="E197" s="108" t="s">
        <v>269</v>
      </c>
      <c r="F197" s="108" t="s">
        <v>181</v>
      </c>
      <c r="G197" s="108" t="s">
        <v>180</v>
      </c>
      <c r="H197" s="110">
        <v>46028.833333333336</v>
      </c>
      <c r="I197" s="108" t="s">
        <v>432</v>
      </c>
    </row>
    <row r="198" spans="1:9" ht="14.5" x14ac:dyDescent="0.35">
      <c r="A198" t="str">
        <f t="shared" si="3"/>
        <v>E2025196</v>
      </c>
      <c r="B198" s="108" t="s">
        <v>268</v>
      </c>
      <c r="C198" s="109">
        <v>196</v>
      </c>
      <c r="D198" s="109">
        <v>20</v>
      </c>
      <c r="E198" s="108" t="s">
        <v>269</v>
      </c>
      <c r="F198" s="108" t="s">
        <v>177</v>
      </c>
      <c r="G198" s="108" t="s">
        <v>183</v>
      </c>
      <c r="H198" s="110">
        <v>46028.833333333336</v>
      </c>
      <c r="I198" s="108" t="s">
        <v>429</v>
      </c>
    </row>
    <row r="199" spans="1:9" ht="14.5" x14ac:dyDescent="0.35">
      <c r="A199" t="str">
        <f t="shared" si="3"/>
        <v>E2025197</v>
      </c>
      <c r="B199" s="108" t="s">
        <v>268</v>
      </c>
      <c r="C199" s="109">
        <v>197</v>
      </c>
      <c r="D199" s="109">
        <v>20</v>
      </c>
      <c r="E199" s="108" t="s">
        <v>269</v>
      </c>
      <c r="F199" s="108" t="s">
        <v>189</v>
      </c>
      <c r="G199" s="108" t="s">
        <v>185</v>
      </c>
      <c r="H199" s="110">
        <v>46028.885416666664</v>
      </c>
      <c r="I199" s="108" t="s">
        <v>433</v>
      </c>
    </row>
    <row r="200" spans="1:9" ht="14.5" x14ac:dyDescent="0.35">
      <c r="A200" t="str">
        <f t="shared" si="3"/>
        <v>E2025198</v>
      </c>
      <c r="B200" s="108" t="s">
        <v>268</v>
      </c>
      <c r="C200" s="109">
        <v>198</v>
      </c>
      <c r="D200" s="109">
        <v>20</v>
      </c>
      <c r="E200" s="108" t="s">
        <v>269</v>
      </c>
      <c r="F200" s="108" t="s">
        <v>195</v>
      </c>
      <c r="G200" s="108" t="s">
        <v>196</v>
      </c>
      <c r="H200" s="110">
        <v>46028.854166666664</v>
      </c>
      <c r="I200" s="108" t="s">
        <v>430</v>
      </c>
    </row>
    <row r="201" spans="1:9" ht="14.5" x14ac:dyDescent="0.35">
      <c r="A201" t="str">
        <f t="shared" si="3"/>
        <v>E2025199</v>
      </c>
      <c r="B201" s="108" t="s">
        <v>268</v>
      </c>
      <c r="C201" s="109">
        <v>199</v>
      </c>
      <c r="D201" s="109">
        <v>20</v>
      </c>
      <c r="E201" s="108" t="s">
        <v>269</v>
      </c>
      <c r="F201" s="108" t="s">
        <v>182</v>
      </c>
      <c r="G201" s="108" t="s">
        <v>191</v>
      </c>
      <c r="H201" s="110">
        <v>46029.854166666664</v>
      </c>
      <c r="I201" s="108" t="s">
        <v>434</v>
      </c>
    </row>
    <row r="202" spans="1:9" ht="14.5" x14ac:dyDescent="0.35">
      <c r="A202" t="str">
        <f t="shared" si="3"/>
        <v>E2025200</v>
      </c>
      <c r="B202" s="108" t="s">
        <v>268</v>
      </c>
      <c r="C202" s="109">
        <v>200</v>
      </c>
      <c r="D202" s="109">
        <v>20</v>
      </c>
      <c r="E202" s="108" t="s">
        <v>269</v>
      </c>
      <c r="F202" s="108" t="s">
        <v>186</v>
      </c>
      <c r="G202" s="108" t="s">
        <v>179</v>
      </c>
      <c r="H202" s="110">
        <v>46029.854166666664</v>
      </c>
      <c r="I202" s="108" t="s">
        <v>435</v>
      </c>
    </row>
    <row r="203" spans="1:9" ht="14.5" x14ac:dyDescent="0.35">
      <c r="A203" t="str">
        <f t="shared" si="3"/>
        <v>E2025201</v>
      </c>
      <c r="B203" s="108" t="s">
        <v>268</v>
      </c>
      <c r="C203" s="109">
        <v>201</v>
      </c>
      <c r="D203" s="109">
        <v>21</v>
      </c>
      <c r="E203" s="108" t="s">
        <v>269</v>
      </c>
      <c r="F203" s="108" t="s">
        <v>180</v>
      </c>
      <c r="G203" s="108" t="s">
        <v>194</v>
      </c>
      <c r="H203" s="110">
        <v>46030.833333333336</v>
      </c>
      <c r="I203" s="108" t="s">
        <v>436</v>
      </c>
    </row>
    <row r="204" spans="1:9" ht="14.5" x14ac:dyDescent="0.35">
      <c r="A204" t="str">
        <f t="shared" si="3"/>
        <v>E2025202</v>
      </c>
      <c r="B204" s="108" t="s">
        <v>268</v>
      </c>
      <c r="C204" s="109">
        <v>202</v>
      </c>
      <c r="D204" s="109">
        <v>21</v>
      </c>
      <c r="E204" s="108" t="s">
        <v>269</v>
      </c>
      <c r="F204" s="108" t="s">
        <v>183</v>
      </c>
      <c r="G204" s="108" t="s">
        <v>193</v>
      </c>
      <c r="H204" s="110">
        <v>46030.864583333336</v>
      </c>
      <c r="I204" s="108" t="s">
        <v>437</v>
      </c>
    </row>
    <row r="205" spans="1:9" ht="14.5" x14ac:dyDescent="0.35">
      <c r="A205" t="str">
        <f t="shared" si="3"/>
        <v>E2025203</v>
      </c>
      <c r="B205" s="108" t="s">
        <v>268</v>
      </c>
      <c r="C205" s="109">
        <v>203</v>
      </c>
      <c r="D205" s="109">
        <v>21</v>
      </c>
      <c r="E205" s="108" t="s">
        <v>269</v>
      </c>
      <c r="F205" s="108" t="s">
        <v>188</v>
      </c>
      <c r="G205" s="108" t="s">
        <v>184</v>
      </c>
      <c r="H205" s="110">
        <v>46030.854166666664</v>
      </c>
      <c r="I205" s="108" t="s">
        <v>438</v>
      </c>
    </row>
    <row r="206" spans="1:9" ht="14.5" x14ac:dyDescent="0.35">
      <c r="A206" t="str">
        <f t="shared" si="3"/>
        <v>E2025204</v>
      </c>
      <c r="B206" s="108" t="s">
        <v>268</v>
      </c>
      <c r="C206" s="109">
        <v>204</v>
      </c>
      <c r="D206" s="109">
        <v>21</v>
      </c>
      <c r="E206" s="108" t="s">
        <v>269</v>
      </c>
      <c r="F206" s="108" t="s">
        <v>189</v>
      </c>
      <c r="G206" s="108" t="s">
        <v>195</v>
      </c>
      <c r="H206" s="110">
        <v>46030.885416666664</v>
      </c>
      <c r="I206" s="108" t="s">
        <v>439</v>
      </c>
    </row>
    <row r="207" spans="1:9" ht="14.5" x14ac:dyDescent="0.35">
      <c r="A207" t="str">
        <f t="shared" si="3"/>
        <v>E2025205</v>
      </c>
      <c r="B207" s="108" t="s">
        <v>268</v>
      </c>
      <c r="C207" s="109">
        <v>205</v>
      </c>
      <c r="D207" s="109">
        <v>21</v>
      </c>
      <c r="E207" s="108" t="s">
        <v>269</v>
      </c>
      <c r="F207" s="108" t="s">
        <v>181</v>
      </c>
      <c r="G207" s="108" t="s">
        <v>191</v>
      </c>
      <c r="H207" s="110">
        <v>46031.833333333336</v>
      </c>
      <c r="I207" s="108" t="s">
        <v>440</v>
      </c>
    </row>
    <row r="208" spans="1:9" ht="14.5" x14ac:dyDescent="0.35">
      <c r="A208" t="str">
        <f t="shared" si="3"/>
        <v>E2025206</v>
      </c>
      <c r="B208" s="108" t="s">
        <v>268</v>
      </c>
      <c r="C208" s="109">
        <v>206</v>
      </c>
      <c r="D208" s="109">
        <v>21</v>
      </c>
      <c r="E208" s="108" t="s">
        <v>269</v>
      </c>
      <c r="F208" s="108" t="s">
        <v>179</v>
      </c>
      <c r="G208" s="108" t="s">
        <v>177</v>
      </c>
      <c r="H208" s="110">
        <v>46031.854166666664</v>
      </c>
      <c r="I208" s="108" t="s">
        <v>441</v>
      </c>
    </row>
    <row r="209" spans="1:9" ht="14.5" x14ac:dyDescent="0.35">
      <c r="A209" t="str">
        <f t="shared" si="3"/>
        <v>E2025207</v>
      </c>
      <c r="B209" s="108" t="s">
        <v>268</v>
      </c>
      <c r="C209" s="109">
        <v>207</v>
      </c>
      <c r="D209" s="109">
        <v>21</v>
      </c>
      <c r="E209" s="108" t="s">
        <v>269</v>
      </c>
      <c r="F209" s="108" t="s">
        <v>185</v>
      </c>
      <c r="G209" s="108" t="s">
        <v>182</v>
      </c>
      <c r="H209" s="110">
        <v>46031.854166666664</v>
      </c>
      <c r="I209" s="108" t="s">
        <v>441</v>
      </c>
    </row>
    <row r="210" spans="1:9" ht="14.5" x14ac:dyDescent="0.35">
      <c r="A210" t="str">
        <f t="shared" si="3"/>
        <v>E2025208</v>
      </c>
      <c r="B210" s="108" t="s">
        <v>268</v>
      </c>
      <c r="C210" s="109">
        <v>208</v>
      </c>
      <c r="D210" s="109">
        <v>21</v>
      </c>
      <c r="E210" s="108" t="s">
        <v>269</v>
      </c>
      <c r="F210" s="108" t="s">
        <v>178</v>
      </c>
      <c r="G210" s="108" t="s">
        <v>190</v>
      </c>
      <c r="H210" s="110">
        <v>46031.854166666664</v>
      </c>
      <c r="I210" s="108" t="s">
        <v>441</v>
      </c>
    </row>
    <row r="211" spans="1:9" ht="14.5" x14ac:dyDescent="0.35">
      <c r="A211" t="str">
        <f t="shared" si="3"/>
        <v>E2025209</v>
      </c>
      <c r="B211" s="108" t="s">
        <v>268</v>
      </c>
      <c r="C211" s="109">
        <v>209</v>
      </c>
      <c r="D211" s="109">
        <v>21</v>
      </c>
      <c r="E211" s="108" t="s">
        <v>269</v>
      </c>
      <c r="F211" s="108" t="s">
        <v>187</v>
      </c>
      <c r="G211" s="108" t="s">
        <v>186</v>
      </c>
      <c r="H211" s="110">
        <v>46031.885416666664</v>
      </c>
      <c r="I211" s="108" t="s">
        <v>442</v>
      </c>
    </row>
    <row r="212" spans="1:9" ht="14.5" x14ac:dyDescent="0.35">
      <c r="A212" t="str">
        <f t="shared" si="3"/>
        <v>E2025210</v>
      </c>
      <c r="B212" s="108" t="s">
        <v>268</v>
      </c>
      <c r="C212" s="109">
        <v>210</v>
      </c>
      <c r="D212" s="109">
        <v>21</v>
      </c>
      <c r="E212" s="108" t="s">
        <v>269</v>
      </c>
      <c r="F212" s="108" t="s">
        <v>196</v>
      </c>
      <c r="G212" s="108" t="s">
        <v>192</v>
      </c>
      <c r="H212" s="110">
        <v>46031.833333333336</v>
      </c>
      <c r="I212" s="108" t="s">
        <v>440</v>
      </c>
    </row>
    <row r="213" spans="1:9" ht="14.5" x14ac:dyDescent="0.35">
      <c r="A213" t="str">
        <f t="shared" si="3"/>
        <v>E2025211</v>
      </c>
      <c r="B213" s="108" t="s">
        <v>268</v>
      </c>
      <c r="C213" s="109">
        <v>211</v>
      </c>
      <c r="D213" s="109">
        <v>22</v>
      </c>
      <c r="E213" s="108" t="s">
        <v>269</v>
      </c>
      <c r="F213" s="108" t="s">
        <v>182</v>
      </c>
      <c r="G213" s="108" t="s">
        <v>179</v>
      </c>
      <c r="H213" s="110">
        <v>46037.854166666664</v>
      </c>
      <c r="I213" s="108" t="s">
        <v>443</v>
      </c>
    </row>
    <row r="214" spans="1:9" ht="14.5" x14ac:dyDescent="0.35">
      <c r="A214" t="str">
        <f t="shared" si="3"/>
        <v>E2025212</v>
      </c>
      <c r="B214" s="108" t="s">
        <v>268</v>
      </c>
      <c r="C214" s="109">
        <v>212</v>
      </c>
      <c r="D214" s="109">
        <v>22</v>
      </c>
      <c r="E214" s="108" t="s">
        <v>269</v>
      </c>
      <c r="F214" s="108" t="s">
        <v>186</v>
      </c>
      <c r="G214" s="108" t="s">
        <v>189</v>
      </c>
      <c r="H214" s="110">
        <v>46037.854166666664</v>
      </c>
      <c r="I214" s="108" t="s">
        <v>444</v>
      </c>
    </row>
    <row r="215" spans="1:9" ht="14.5" x14ac:dyDescent="0.35">
      <c r="A215" t="str">
        <f t="shared" si="3"/>
        <v>E2025213</v>
      </c>
      <c r="B215" s="108" t="s">
        <v>268</v>
      </c>
      <c r="C215" s="109">
        <v>213</v>
      </c>
      <c r="D215" s="109">
        <v>22</v>
      </c>
      <c r="E215" s="108" t="s">
        <v>269</v>
      </c>
      <c r="F215" s="108" t="s">
        <v>193</v>
      </c>
      <c r="G215" s="108" t="s">
        <v>196</v>
      </c>
      <c r="H215" s="110">
        <v>46037.836805555555</v>
      </c>
      <c r="I215" s="108" t="s">
        <v>445</v>
      </c>
    </row>
    <row r="216" spans="1:9" ht="14.5" x14ac:dyDescent="0.35">
      <c r="A216" t="str">
        <f t="shared" si="3"/>
        <v>E2025214</v>
      </c>
      <c r="B216" s="108" t="s">
        <v>268</v>
      </c>
      <c r="C216" s="109">
        <v>214</v>
      </c>
      <c r="D216" s="109">
        <v>22</v>
      </c>
      <c r="E216" s="108" t="s">
        <v>269</v>
      </c>
      <c r="F216" s="108" t="s">
        <v>191</v>
      </c>
      <c r="G216" s="108" t="s">
        <v>184</v>
      </c>
      <c r="H216" s="110">
        <v>46037.864583333336</v>
      </c>
      <c r="I216" s="108" t="s">
        <v>446</v>
      </c>
    </row>
    <row r="217" spans="1:9" ht="14.5" x14ac:dyDescent="0.35">
      <c r="A217" t="str">
        <f t="shared" si="3"/>
        <v>E2025215</v>
      </c>
      <c r="B217" s="108" t="s">
        <v>268</v>
      </c>
      <c r="C217" s="109">
        <v>215</v>
      </c>
      <c r="D217" s="109">
        <v>22</v>
      </c>
      <c r="E217" s="108" t="s">
        <v>269</v>
      </c>
      <c r="F217" s="108" t="s">
        <v>180</v>
      </c>
      <c r="G217" s="108" t="s">
        <v>195</v>
      </c>
      <c r="H217" s="110">
        <v>46037.833333333336</v>
      </c>
      <c r="I217" s="108" t="s">
        <v>447</v>
      </c>
    </row>
    <row r="218" spans="1:9" ht="14.5" x14ac:dyDescent="0.35">
      <c r="A218" t="str">
        <f t="shared" si="3"/>
        <v>E2025216</v>
      </c>
      <c r="B218" s="108" t="s">
        <v>268</v>
      </c>
      <c r="C218" s="109">
        <v>216</v>
      </c>
      <c r="D218" s="109">
        <v>22</v>
      </c>
      <c r="E218" s="108" t="s">
        <v>269</v>
      </c>
      <c r="F218" s="108" t="s">
        <v>185</v>
      </c>
      <c r="G218" s="108" t="s">
        <v>192</v>
      </c>
      <c r="H218" s="110">
        <v>46037.854166666664</v>
      </c>
      <c r="I218" s="108" t="s">
        <v>448</v>
      </c>
    </row>
    <row r="219" spans="1:9" ht="14.5" x14ac:dyDescent="0.35">
      <c r="A219" t="str">
        <f t="shared" si="3"/>
        <v>E2025217</v>
      </c>
      <c r="B219" s="108" t="s">
        <v>268</v>
      </c>
      <c r="C219" s="109">
        <v>217</v>
      </c>
      <c r="D219" s="109">
        <v>22</v>
      </c>
      <c r="E219" s="108" t="s">
        <v>269</v>
      </c>
      <c r="F219" s="108" t="s">
        <v>194</v>
      </c>
      <c r="G219" s="108" t="s">
        <v>188</v>
      </c>
      <c r="H219" s="110">
        <v>46038.864583333336</v>
      </c>
      <c r="I219" s="108" t="s">
        <v>449</v>
      </c>
    </row>
    <row r="220" spans="1:9" ht="14.5" x14ac:dyDescent="0.35">
      <c r="A220" t="str">
        <f t="shared" si="3"/>
        <v>E2025218</v>
      </c>
      <c r="B220" s="108" t="s">
        <v>268</v>
      </c>
      <c r="C220" s="109">
        <v>218</v>
      </c>
      <c r="D220" s="109">
        <v>22</v>
      </c>
      <c r="E220" s="108" t="s">
        <v>269</v>
      </c>
      <c r="F220" s="108" t="s">
        <v>177</v>
      </c>
      <c r="G220" s="108" t="s">
        <v>181</v>
      </c>
      <c r="H220" s="110">
        <v>46038.833333333336</v>
      </c>
      <c r="I220" s="108" t="s">
        <v>450</v>
      </c>
    </row>
    <row r="221" spans="1:9" ht="14.5" x14ac:dyDescent="0.35">
      <c r="A221" t="str">
        <f t="shared" si="3"/>
        <v>E2025219</v>
      </c>
      <c r="B221" s="108" t="s">
        <v>268</v>
      </c>
      <c r="C221" s="109">
        <v>219</v>
      </c>
      <c r="D221" s="109">
        <v>22</v>
      </c>
      <c r="E221" s="108" t="s">
        <v>269</v>
      </c>
      <c r="F221" s="108" t="s">
        <v>190</v>
      </c>
      <c r="G221" s="108" t="s">
        <v>187</v>
      </c>
      <c r="H221" s="110">
        <v>46036.854166666664</v>
      </c>
      <c r="I221" s="108" t="s">
        <v>451</v>
      </c>
    </row>
    <row r="222" spans="1:9" ht="14.5" x14ac:dyDescent="0.35">
      <c r="A222" t="str">
        <f t="shared" si="3"/>
        <v>E2025220</v>
      </c>
      <c r="B222" s="108" t="s">
        <v>268</v>
      </c>
      <c r="C222" s="109">
        <v>220</v>
      </c>
      <c r="D222" s="109">
        <v>22</v>
      </c>
      <c r="E222" s="108" t="s">
        <v>269</v>
      </c>
      <c r="F222" s="108" t="s">
        <v>183</v>
      </c>
      <c r="G222" s="108" t="s">
        <v>178</v>
      </c>
      <c r="H222" s="110">
        <v>46038.864583333336</v>
      </c>
      <c r="I222" s="108" t="s">
        <v>452</v>
      </c>
    </row>
    <row r="223" spans="1:9" ht="14.5" x14ac:dyDescent="0.35">
      <c r="A223" t="str">
        <f t="shared" si="3"/>
        <v>E2025221</v>
      </c>
      <c r="B223" s="108" t="s">
        <v>268</v>
      </c>
      <c r="C223" s="109">
        <v>221</v>
      </c>
      <c r="D223" s="109">
        <v>23</v>
      </c>
      <c r="E223" s="108" t="s">
        <v>269</v>
      </c>
      <c r="F223" s="108" t="s">
        <v>184</v>
      </c>
      <c r="G223" s="108" t="s">
        <v>192</v>
      </c>
      <c r="H223" s="110">
        <v>46042.78125</v>
      </c>
      <c r="I223" s="108" t="s">
        <v>453</v>
      </c>
    </row>
    <row r="224" spans="1:9" ht="14.5" x14ac:dyDescent="0.35">
      <c r="A224" t="str">
        <f t="shared" si="3"/>
        <v>E2025222</v>
      </c>
      <c r="B224" s="108" t="s">
        <v>268</v>
      </c>
      <c r="C224" s="109">
        <v>222</v>
      </c>
      <c r="D224" s="109">
        <v>23</v>
      </c>
      <c r="E224" s="108" t="s">
        <v>269</v>
      </c>
      <c r="F224" s="108" t="s">
        <v>178</v>
      </c>
      <c r="G224" s="108" t="s">
        <v>180</v>
      </c>
      <c r="H224" s="110">
        <v>46042.854166666664</v>
      </c>
      <c r="I224" s="108" t="s">
        <v>454</v>
      </c>
    </row>
    <row r="225" spans="1:9" ht="14.5" x14ac:dyDescent="0.35">
      <c r="A225" t="str">
        <f t="shared" si="3"/>
        <v>E2025223</v>
      </c>
      <c r="B225" s="108" t="s">
        <v>268</v>
      </c>
      <c r="C225" s="109">
        <v>223</v>
      </c>
      <c r="D225" s="109">
        <v>23</v>
      </c>
      <c r="E225" s="108" t="s">
        <v>269</v>
      </c>
      <c r="F225" s="108" t="s">
        <v>181</v>
      </c>
      <c r="G225" s="108" t="s">
        <v>182</v>
      </c>
      <c r="H225" s="110">
        <v>46042.8125</v>
      </c>
      <c r="I225" s="108" t="s">
        <v>455</v>
      </c>
    </row>
    <row r="226" spans="1:9" ht="14.5" x14ac:dyDescent="0.35">
      <c r="A226" t="str">
        <f t="shared" si="3"/>
        <v>E2025224</v>
      </c>
      <c r="B226" s="108" t="s">
        <v>268</v>
      </c>
      <c r="C226" s="109">
        <v>224</v>
      </c>
      <c r="D226" s="109">
        <v>23</v>
      </c>
      <c r="E226" s="108" t="s">
        <v>269</v>
      </c>
      <c r="F226" s="108" t="s">
        <v>187</v>
      </c>
      <c r="G226" s="108" t="s">
        <v>193</v>
      </c>
      <c r="H226" s="110">
        <v>46042.729166666664</v>
      </c>
      <c r="I226" s="108" t="s">
        <v>456</v>
      </c>
    </row>
    <row r="227" spans="1:9" ht="14.5" x14ac:dyDescent="0.35">
      <c r="A227" t="str">
        <f t="shared" si="3"/>
        <v>E2025225</v>
      </c>
      <c r="B227" s="108" t="s">
        <v>268</v>
      </c>
      <c r="C227" s="109">
        <v>225</v>
      </c>
      <c r="D227" s="109">
        <v>23</v>
      </c>
      <c r="E227" s="108" t="s">
        <v>269</v>
      </c>
      <c r="F227" s="108" t="s">
        <v>189</v>
      </c>
      <c r="G227" s="108" t="s">
        <v>179</v>
      </c>
      <c r="H227" s="110">
        <v>46042.885416666664</v>
      </c>
      <c r="I227" s="108" t="s">
        <v>457</v>
      </c>
    </row>
    <row r="228" spans="1:9" ht="14.5" x14ac:dyDescent="0.35">
      <c r="A228" t="str">
        <f t="shared" si="3"/>
        <v>E2025226</v>
      </c>
      <c r="B228" s="108" t="s">
        <v>268</v>
      </c>
      <c r="C228" s="109">
        <v>226</v>
      </c>
      <c r="D228" s="109">
        <v>23</v>
      </c>
      <c r="E228" s="108" t="s">
        <v>269</v>
      </c>
      <c r="F228" s="108" t="s">
        <v>186</v>
      </c>
      <c r="G228" s="108" t="s">
        <v>190</v>
      </c>
      <c r="H228" s="110">
        <v>46042.854166666664</v>
      </c>
      <c r="I228" s="108" t="s">
        <v>454</v>
      </c>
    </row>
    <row r="229" spans="1:9" ht="14.5" x14ac:dyDescent="0.35">
      <c r="A229" t="str">
        <f t="shared" si="3"/>
        <v>E2025227</v>
      </c>
      <c r="B229" s="108" t="s">
        <v>268</v>
      </c>
      <c r="C229" s="109">
        <v>227</v>
      </c>
      <c r="D229" s="109">
        <v>23</v>
      </c>
      <c r="E229" s="108" t="s">
        <v>269</v>
      </c>
      <c r="F229" s="108" t="s">
        <v>183</v>
      </c>
      <c r="G229" s="108" t="s">
        <v>185</v>
      </c>
      <c r="H229" s="110">
        <v>46042.864583333336</v>
      </c>
      <c r="I229" s="108" t="s">
        <v>458</v>
      </c>
    </row>
    <row r="230" spans="1:9" ht="14.5" x14ac:dyDescent="0.35">
      <c r="A230" t="str">
        <f t="shared" si="3"/>
        <v>E2025228</v>
      </c>
      <c r="B230" s="108" t="s">
        <v>268</v>
      </c>
      <c r="C230" s="109">
        <v>228</v>
      </c>
      <c r="D230" s="109">
        <v>23</v>
      </c>
      <c r="E230" s="108" t="s">
        <v>269</v>
      </c>
      <c r="F230" s="108" t="s">
        <v>188</v>
      </c>
      <c r="G230" s="108" t="s">
        <v>191</v>
      </c>
      <c r="H230" s="110">
        <v>46042.854166666664</v>
      </c>
      <c r="I230" s="108" t="s">
        <v>454</v>
      </c>
    </row>
    <row r="231" spans="1:9" ht="14.5" x14ac:dyDescent="0.35">
      <c r="A231" t="str">
        <f t="shared" si="3"/>
        <v>E2025229</v>
      </c>
      <c r="B231" s="108" t="s">
        <v>268</v>
      </c>
      <c r="C231" s="109">
        <v>229</v>
      </c>
      <c r="D231" s="109">
        <v>23</v>
      </c>
      <c r="E231" s="108" t="s">
        <v>269</v>
      </c>
      <c r="F231" s="108" t="s">
        <v>177</v>
      </c>
      <c r="G231" s="108" t="s">
        <v>196</v>
      </c>
      <c r="H231" s="110">
        <v>46042.833333333336</v>
      </c>
      <c r="I231" s="108" t="s">
        <v>459</v>
      </c>
    </row>
    <row r="232" spans="1:9" ht="14.5" x14ac:dyDescent="0.35">
      <c r="A232" t="str">
        <f t="shared" si="3"/>
        <v>E2025230</v>
      </c>
      <c r="B232" s="108" t="s">
        <v>268</v>
      </c>
      <c r="C232" s="109">
        <v>230</v>
      </c>
      <c r="D232" s="109">
        <v>23</v>
      </c>
      <c r="E232" s="108" t="s">
        <v>269</v>
      </c>
      <c r="F232" s="108" t="s">
        <v>195</v>
      </c>
      <c r="G232" s="108" t="s">
        <v>194</v>
      </c>
      <c r="H232" s="110">
        <v>46043.854166666664</v>
      </c>
      <c r="I232" s="108" t="s">
        <v>460</v>
      </c>
    </row>
    <row r="233" spans="1:9" ht="14.5" x14ac:dyDescent="0.35">
      <c r="A233" t="str">
        <f t="shared" si="3"/>
        <v>E2025231</v>
      </c>
      <c r="B233" s="108" t="s">
        <v>268</v>
      </c>
      <c r="C233" s="109">
        <v>231</v>
      </c>
      <c r="D233" s="109">
        <v>24</v>
      </c>
      <c r="E233" s="108" t="s">
        <v>269</v>
      </c>
      <c r="F233" s="108" t="s">
        <v>182</v>
      </c>
      <c r="G233" s="108" t="s">
        <v>187</v>
      </c>
      <c r="H233" s="110">
        <v>46044.854166666664</v>
      </c>
      <c r="I233" s="108" t="s">
        <v>461</v>
      </c>
    </row>
    <row r="234" spans="1:9" ht="14.5" x14ac:dyDescent="0.35">
      <c r="A234" t="str">
        <f t="shared" si="3"/>
        <v>E2025232</v>
      </c>
      <c r="B234" s="108" t="s">
        <v>268</v>
      </c>
      <c r="C234" s="109">
        <v>232</v>
      </c>
      <c r="D234" s="109">
        <v>24</v>
      </c>
      <c r="E234" s="108" t="s">
        <v>269</v>
      </c>
      <c r="F234" s="108" t="s">
        <v>186</v>
      </c>
      <c r="G234" s="108" t="s">
        <v>188</v>
      </c>
      <c r="H234" s="110">
        <v>46044.854166666664</v>
      </c>
      <c r="I234" s="108" t="s">
        <v>462</v>
      </c>
    </row>
    <row r="235" spans="1:9" ht="14.5" x14ac:dyDescent="0.35">
      <c r="A235" t="str">
        <f t="shared" si="3"/>
        <v>E2025233</v>
      </c>
      <c r="B235" s="108" t="s">
        <v>268</v>
      </c>
      <c r="C235" s="109">
        <v>233</v>
      </c>
      <c r="D235" s="109">
        <v>24</v>
      </c>
      <c r="E235" s="108" t="s">
        <v>269</v>
      </c>
      <c r="F235" s="108" t="s">
        <v>193</v>
      </c>
      <c r="G235" s="108" t="s">
        <v>189</v>
      </c>
      <c r="H235" s="110">
        <v>46044.836805555555</v>
      </c>
      <c r="I235" s="108" t="s">
        <v>463</v>
      </c>
    </row>
    <row r="236" spans="1:9" ht="14.5" x14ac:dyDescent="0.35">
      <c r="A236" t="str">
        <f t="shared" si="3"/>
        <v>E2025234</v>
      </c>
      <c r="B236" s="108" t="s">
        <v>268</v>
      </c>
      <c r="C236" s="109">
        <v>234</v>
      </c>
      <c r="D236" s="109">
        <v>24</v>
      </c>
      <c r="E236" s="108" t="s">
        <v>269</v>
      </c>
      <c r="F236" s="108" t="s">
        <v>191</v>
      </c>
      <c r="G236" s="108" t="s">
        <v>180</v>
      </c>
      <c r="H236" s="110">
        <v>46044.864583333336</v>
      </c>
      <c r="I236" s="108" t="s">
        <v>464</v>
      </c>
    </row>
    <row r="237" spans="1:9" ht="14.5" x14ac:dyDescent="0.35">
      <c r="A237" t="str">
        <f t="shared" si="3"/>
        <v>E2025235</v>
      </c>
      <c r="B237" s="108" t="s">
        <v>268</v>
      </c>
      <c r="C237" s="109">
        <v>235</v>
      </c>
      <c r="D237" s="109">
        <v>24</v>
      </c>
      <c r="E237" s="108" t="s">
        <v>269</v>
      </c>
      <c r="F237" s="108" t="s">
        <v>183</v>
      </c>
      <c r="G237" s="108" t="s">
        <v>184</v>
      </c>
      <c r="H237" s="110">
        <v>46044.864583333336</v>
      </c>
      <c r="I237" s="108" t="s">
        <v>464</v>
      </c>
    </row>
    <row r="238" spans="1:9" ht="14.5" x14ac:dyDescent="0.35">
      <c r="A238" t="str">
        <f t="shared" si="3"/>
        <v>E2025236</v>
      </c>
      <c r="B238" s="108" t="s">
        <v>268</v>
      </c>
      <c r="C238" s="109">
        <v>236</v>
      </c>
      <c r="D238" s="109">
        <v>24</v>
      </c>
      <c r="E238" s="108" t="s">
        <v>269</v>
      </c>
      <c r="F238" s="108" t="s">
        <v>185</v>
      </c>
      <c r="G238" s="108" t="s">
        <v>196</v>
      </c>
      <c r="H238" s="110">
        <v>46044.854166666664</v>
      </c>
      <c r="I238" s="108" t="s">
        <v>462</v>
      </c>
    </row>
    <row r="239" spans="1:9" ht="14.5" x14ac:dyDescent="0.35">
      <c r="A239" t="str">
        <f t="shared" si="3"/>
        <v>E2025237</v>
      </c>
      <c r="B239" s="108" t="s">
        <v>268</v>
      </c>
      <c r="C239" s="109">
        <v>237</v>
      </c>
      <c r="D239" s="109">
        <v>24</v>
      </c>
      <c r="E239" s="108" t="s">
        <v>269</v>
      </c>
      <c r="F239" s="108" t="s">
        <v>194</v>
      </c>
      <c r="G239" s="108" t="s">
        <v>179</v>
      </c>
      <c r="H239" s="110">
        <v>46045.864583333336</v>
      </c>
      <c r="I239" s="108" t="s">
        <v>465</v>
      </c>
    </row>
    <row r="240" spans="1:9" ht="14.5" x14ac:dyDescent="0.35">
      <c r="A240" t="str">
        <f t="shared" si="3"/>
        <v>E2025238</v>
      </c>
      <c r="B240" s="108" t="s">
        <v>268</v>
      </c>
      <c r="C240" s="109">
        <v>238</v>
      </c>
      <c r="D240" s="109">
        <v>24</v>
      </c>
      <c r="E240" s="108" t="s">
        <v>269</v>
      </c>
      <c r="F240" s="108" t="s">
        <v>177</v>
      </c>
      <c r="G240" s="108" t="s">
        <v>178</v>
      </c>
      <c r="H240" s="110">
        <v>46045.833333333336</v>
      </c>
      <c r="I240" s="108" t="s">
        <v>466</v>
      </c>
    </row>
    <row r="241" spans="1:9" ht="14.5" x14ac:dyDescent="0.35">
      <c r="A241" t="str">
        <f t="shared" si="3"/>
        <v>E2025239</v>
      </c>
      <c r="B241" s="108" t="s">
        <v>268</v>
      </c>
      <c r="C241" s="109">
        <v>239</v>
      </c>
      <c r="D241" s="109">
        <v>24</v>
      </c>
      <c r="E241" s="108" t="s">
        <v>269</v>
      </c>
      <c r="F241" s="108" t="s">
        <v>190</v>
      </c>
      <c r="G241" s="108" t="s">
        <v>181</v>
      </c>
      <c r="H241" s="110">
        <v>46045.854166666664</v>
      </c>
      <c r="I241" s="108" t="s">
        <v>467</v>
      </c>
    </row>
    <row r="242" spans="1:9" ht="14.5" x14ac:dyDescent="0.35">
      <c r="A242" t="str">
        <f t="shared" si="3"/>
        <v>E2025240</v>
      </c>
      <c r="B242" s="108" t="s">
        <v>268</v>
      </c>
      <c r="C242" s="109">
        <v>240</v>
      </c>
      <c r="D242" s="109">
        <v>24</v>
      </c>
      <c r="E242" s="108" t="s">
        <v>269</v>
      </c>
      <c r="F242" s="108" t="s">
        <v>195</v>
      </c>
      <c r="G242" s="108" t="s">
        <v>192</v>
      </c>
      <c r="H242" s="110">
        <v>46045.854166666664</v>
      </c>
      <c r="I242" s="108" t="s">
        <v>467</v>
      </c>
    </row>
    <row r="243" spans="1:9" ht="14.5" x14ac:dyDescent="0.35">
      <c r="A243" t="str">
        <f t="shared" si="3"/>
        <v>E2025241</v>
      </c>
      <c r="B243" s="108" t="s">
        <v>268</v>
      </c>
      <c r="C243" s="109">
        <v>241</v>
      </c>
      <c r="D243" s="109">
        <v>25</v>
      </c>
      <c r="E243" s="108" t="s">
        <v>269</v>
      </c>
      <c r="F243" s="108" t="s">
        <v>191</v>
      </c>
      <c r="G243" s="108" t="s">
        <v>183</v>
      </c>
      <c r="H243" s="110">
        <v>46049.864583333336</v>
      </c>
      <c r="I243" s="108" t="s">
        <v>468</v>
      </c>
    </row>
    <row r="244" spans="1:9" ht="14.5" x14ac:dyDescent="0.35">
      <c r="A244" t="str">
        <f t="shared" si="3"/>
        <v>E2025242</v>
      </c>
      <c r="B244" s="108" t="s">
        <v>268</v>
      </c>
      <c r="C244" s="109">
        <v>242</v>
      </c>
      <c r="D244" s="109">
        <v>25</v>
      </c>
      <c r="E244" s="108" t="s">
        <v>269</v>
      </c>
      <c r="F244" s="108" t="s">
        <v>194</v>
      </c>
      <c r="G244" s="108" t="s">
        <v>182</v>
      </c>
      <c r="H244" s="110">
        <v>46051.864583333336</v>
      </c>
      <c r="I244" s="108" t="s">
        <v>469</v>
      </c>
    </row>
    <row r="245" spans="1:9" ht="14.5" x14ac:dyDescent="0.35">
      <c r="A245" t="str">
        <f t="shared" si="3"/>
        <v>E2025243</v>
      </c>
      <c r="B245" s="108" t="s">
        <v>268</v>
      </c>
      <c r="C245" s="109">
        <v>243</v>
      </c>
      <c r="D245" s="109">
        <v>25</v>
      </c>
      <c r="E245" s="108" t="s">
        <v>269</v>
      </c>
      <c r="F245" s="108" t="s">
        <v>181</v>
      </c>
      <c r="G245" s="108" t="s">
        <v>186</v>
      </c>
      <c r="H245" s="110">
        <v>46051.833333333336</v>
      </c>
      <c r="I245" s="108" t="s">
        <v>470</v>
      </c>
    </row>
    <row r="246" spans="1:9" ht="14.5" x14ac:dyDescent="0.35">
      <c r="A246" t="str">
        <f t="shared" si="3"/>
        <v>E2025244</v>
      </c>
      <c r="B246" s="108" t="s">
        <v>268</v>
      </c>
      <c r="C246" s="109">
        <v>244</v>
      </c>
      <c r="D246" s="109">
        <v>25</v>
      </c>
      <c r="E246" s="108" t="s">
        <v>269</v>
      </c>
      <c r="F246" s="108" t="s">
        <v>187</v>
      </c>
      <c r="G246" s="108" t="s">
        <v>178</v>
      </c>
      <c r="H246" s="110">
        <v>46051.885416666664</v>
      </c>
      <c r="I246" s="108" t="s">
        <v>471</v>
      </c>
    </row>
    <row r="247" spans="1:9" ht="14.5" x14ac:dyDescent="0.35">
      <c r="A247" t="str">
        <f t="shared" si="3"/>
        <v>E2025245</v>
      </c>
      <c r="B247" s="108" t="s">
        <v>268</v>
      </c>
      <c r="C247" s="109">
        <v>245</v>
      </c>
      <c r="D247" s="109">
        <v>25</v>
      </c>
      <c r="E247" s="108" t="s">
        <v>269</v>
      </c>
      <c r="F247" s="108" t="s">
        <v>188</v>
      </c>
      <c r="G247" s="108" t="s">
        <v>193</v>
      </c>
      <c r="H247" s="110">
        <v>46051.864583333336</v>
      </c>
      <c r="I247" s="108" t="s">
        <v>472</v>
      </c>
    </row>
    <row r="248" spans="1:9" ht="14.5" x14ac:dyDescent="0.35">
      <c r="A248" t="str">
        <f t="shared" si="3"/>
        <v>E2025246</v>
      </c>
      <c r="B248" s="108" t="s">
        <v>268</v>
      </c>
      <c r="C248" s="109">
        <v>246</v>
      </c>
      <c r="D248" s="109">
        <v>25</v>
      </c>
      <c r="E248" s="108" t="s">
        <v>269</v>
      </c>
      <c r="F248" s="108" t="s">
        <v>185</v>
      </c>
      <c r="G248" s="108" t="s">
        <v>190</v>
      </c>
      <c r="H248" s="110">
        <v>46051.854166666664</v>
      </c>
      <c r="I248" s="108" t="s">
        <v>473</v>
      </c>
    </row>
    <row r="249" spans="1:9" ht="14.5" x14ac:dyDescent="0.35">
      <c r="A249" t="str">
        <f t="shared" si="3"/>
        <v>E2025247</v>
      </c>
      <c r="B249" s="108" t="s">
        <v>268</v>
      </c>
      <c r="C249" s="109">
        <v>247</v>
      </c>
      <c r="D249" s="109">
        <v>25</v>
      </c>
      <c r="E249" s="108" t="s">
        <v>269</v>
      </c>
      <c r="F249" s="108" t="s">
        <v>184</v>
      </c>
      <c r="G249" s="108" t="s">
        <v>195</v>
      </c>
      <c r="H249" s="110">
        <v>46052.8125</v>
      </c>
      <c r="I249" s="108" t="s">
        <v>474</v>
      </c>
    </row>
    <row r="250" spans="1:9" ht="14.5" x14ac:dyDescent="0.35">
      <c r="A250" t="str">
        <f t="shared" si="3"/>
        <v>E2025248</v>
      </c>
      <c r="B250" s="108" t="s">
        <v>268</v>
      </c>
      <c r="C250" s="109">
        <v>248</v>
      </c>
      <c r="D250" s="109">
        <v>25</v>
      </c>
      <c r="E250" s="108" t="s">
        <v>269</v>
      </c>
      <c r="F250" s="108" t="s">
        <v>179</v>
      </c>
      <c r="G250" s="108" t="s">
        <v>196</v>
      </c>
      <c r="H250" s="110">
        <v>46052.854166666664</v>
      </c>
      <c r="I250" s="108" t="s">
        <v>475</v>
      </c>
    </row>
    <row r="251" spans="1:9" ht="14.5" x14ac:dyDescent="0.35">
      <c r="A251" t="str">
        <f t="shared" si="3"/>
        <v>E2025249</v>
      </c>
      <c r="B251" s="108" t="s">
        <v>268</v>
      </c>
      <c r="C251" s="109">
        <v>249</v>
      </c>
      <c r="D251" s="109">
        <v>25</v>
      </c>
      <c r="E251" s="108" t="s">
        <v>269</v>
      </c>
      <c r="F251" s="108" t="s">
        <v>192</v>
      </c>
      <c r="G251" s="108" t="s">
        <v>180</v>
      </c>
      <c r="H251" s="110">
        <v>46052.833333333336</v>
      </c>
      <c r="I251" s="108" t="s">
        <v>476</v>
      </c>
    </row>
    <row r="252" spans="1:9" ht="14.5" x14ac:dyDescent="0.35">
      <c r="A252" t="str">
        <f t="shared" si="3"/>
        <v>E2025250</v>
      </c>
      <c r="B252" s="108" t="s">
        <v>268</v>
      </c>
      <c r="C252" s="109">
        <v>250</v>
      </c>
      <c r="D252" s="109">
        <v>25</v>
      </c>
      <c r="E252" s="108" t="s">
        <v>269</v>
      </c>
      <c r="F252" s="108" t="s">
        <v>177</v>
      </c>
      <c r="G252" s="108" t="s">
        <v>189</v>
      </c>
      <c r="H252" s="110">
        <v>46052.833333333336</v>
      </c>
      <c r="I252" s="108" t="s">
        <v>476</v>
      </c>
    </row>
    <row r="253" spans="1:9" ht="14.5" x14ac:dyDescent="0.35">
      <c r="A253" t="str">
        <f t="shared" si="3"/>
        <v>E2025251</v>
      </c>
      <c r="B253" s="108" t="s">
        <v>268</v>
      </c>
      <c r="C253" s="109">
        <v>251</v>
      </c>
      <c r="D253" s="109">
        <v>26</v>
      </c>
      <c r="E253" s="108" t="s">
        <v>269</v>
      </c>
      <c r="F253" s="108" t="s">
        <v>182</v>
      </c>
      <c r="G253" s="108" t="s">
        <v>188</v>
      </c>
      <c r="H253" s="110">
        <v>46056.854166666664</v>
      </c>
      <c r="I253" s="108" t="s">
        <v>477</v>
      </c>
    </row>
    <row r="254" spans="1:9" ht="14.5" x14ac:dyDescent="0.35">
      <c r="A254" t="str">
        <f t="shared" si="3"/>
        <v>E2025252</v>
      </c>
      <c r="B254" s="108" t="s">
        <v>268</v>
      </c>
      <c r="C254" s="109">
        <v>252</v>
      </c>
      <c r="D254" s="109">
        <v>26</v>
      </c>
      <c r="E254" s="108" t="s">
        <v>269</v>
      </c>
      <c r="F254" s="108" t="s">
        <v>192</v>
      </c>
      <c r="G254" s="108" t="s">
        <v>181</v>
      </c>
      <c r="H254" s="110">
        <v>46056.833333333336</v>
      </c>
      <c r="I254" s="108" t="s">
        <v>478</v>
      </c>
    </row>
    <row r="255" spans="1:9" ht="14.5" x14ac:dyDescent="0.35">
      <c r="A255" t="str">
        <f t="shared" si="3"/>
        <v>E2025253</v>
      </c>
      <c r="B255" s="108" t="s">
        <v>268</v>
      </c>
      <c r="C255" s="109">
        <v>253</v>
      </c>
      <c r="D255" s="109">
        <v>26</v>
      </c>
      <c r="E255" s="108" t="s">
        <v>269</v>
      </c>
      <c r="F255" s="108" t="s">
        <v>180</v>
      </c>
      <c r="G255" s="108" t="s">
        <v>187</v>
      </c>
      <c r="H255" s="110">
        <v>46056.833333333336</v>
      </c>
      <c r="I255" s="108" t="s">
        <v>479</v>
      </c>
    </row>
    <row r="256" spans="1:9" ht="14.5" x14ac:dyDescent="0.35">
      <c r="A256" t="str">
        <f t="shared" si="3"/>
        <v>E2025254</v>
      </c>
      <c r="B256" s="108" t="s">
        <v>268</v>
      </c>
      <c r="C256" s="109">
        <v>254</v>
      </c>
      <c r="D256" s="109">
        <v>26</v>
      </c>
      <c r="E256" s="108" t="s">
        <v>269</v>
      </c>
      <c r="F256" s="108" t="s">
        <v>185</v>
      </c>
      <c r="G256" s="108" t="s">
        <v>179</v>
      </c>
      <c r="H256" s="110">
        <v>46056.854166666664</v>
      </c>
      <c r="I256" s="108" t="s">
        <v>480</v>
      </c>
    </row>
    <row r="257" spans="1:9" ht="14.5" x14ac:dyDescent="0.35">
      <c r="A257" t="str">
        <f t="shared" si="3"/>
        <v>E2025255</v>
      </c>
      <c r="B257" s="108" t="s">
        <v>268</v>
      </c>
      <c r="C257" s="109">
        <v>255</v>
      </c>
      <c r="D257" s="109">
        <v>26</v>
      </c>
      <c r="E257" s="108" t="s">
        <v>269</v>
      </c>
      <c r="F257" s="108" t="s">
        <v>178</v>
      </c>
      <c r="G257" s="108" t="s">
        <v>194</v>
      </c>
      <c r="H257" s="110">
        <v>46056.854166666664</v>
      </c>
      <c r="I257" s="108" t="s">
        <v>480</v>
      </c>
    </row>
    <row r="258" spans="1:9" ht="14.5" x14ac:dyDescent="0.35">
      <c r="A258" t="str">
        <f t="shared" si="3"/>
        <v>E2025256</v>
      </c>
      <c r="B258" s="108" t="s">
        <v>268</v>
      </c>
      <c r="C258" s="109">
        <v>256</v>
      </c>
      <c r="D258" s="109">
        <v>26</v>
      </c>
      <c r="E258" s="108" t="s">
        <v>269</v>
      </c>
      <c r="F258" s="108" t="s">
        <v>186</v>
      </c>
      <c r="G258" s="108" t="s">
        <v>191</v>
      </c>
      <c r="H258" s="110">
        <v>46056.854166666664</v>
      </c>
      <c r="I258" s="108" t="s">
        <v>480</v>
      </c>
    </row>
    <row r="259" spans="1:9" ht="14.5" x14ac:dyDescent="0.35">
      <c r="A259" t="str">
        <f t="shared" si="3"/>
        <v>E2025257</v>
      </c>
      <c r="B259" s="108" t="s">
        <v>268</v>
      </c>
      <c r="C259" s="109">
        <v>257</v>
      </c>
      <c r="D259" s="109">
        <v>26</v>
      </c>
      <c r="E259" s="108" t="s">
        <v>269</v>
      </c>
      <c r="F259" s="108" t="s">
        <v>193</v>
      </c>
      <c r="G259" s="108" t="s">
        <v>190</v>
      </c>
      <c r="H259" s="110">
        <v>46056.885416666664</v>
      </c>
      <c r="I259" s="108" t="s">
        <v>481</v>
      </c>
    </row>
    <row r="260" spans="1:9" ht="14.5" x14ac:dyDescent="0.3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5" x14ac:dyDescent="0.35">
      <c r="A261" t="str">
        <f t="shared" si="4"/>
        <v>E2025259</v>
      </c>
      <c r="B261" s="108" t="s">
        <v>268</v>
      </c>
      <c r="C261" s="109">
        <v>259</v>
      </c>
      <c r="D261" s="109">
        <v>26</v>
      </c>
      <c r="E261" s="108" t="s">
        <v>269</v>
      </c>
      <c r="F261" s="108" t="s">
        <v>196</v>
      </c>
      <c r="G261" s="108" t="s">
        <v>184</v>
      </c>
      <c r="H261" s="110">
        <v>46056.833333333336</v>
      </c>
      <c r="I261" s="108" t="s">
        <v>483</v>
      </c>
    </row>
    <row r="262" spans="1:9" ht="14.5" x14ac:dyDescent="0.35">
      <c r="A262" t="str">
        <f t="shared" si="4"/>
        <v>E2025260</v>
      </c>
      <c r="B262" s="108" t="s">
        <v>268</v>
      </c>
      <c r="C262" s="109">
        <v>260</v>
      </c>
      <c r="D262" s="109">
        <v>26</v>
      </c>
      <c r="E262" s="108" t="s">
        <v>269</v>
      </c>
      <c r="F262" s="108" t="s">
        <v>195</v>
      </c>
      <c r="G262" s="108" t="s">
        <v>177</v>
      </c>
      <c r="H262" s="110">
        <v>46057.854166666664</v>
      </c>
      <c r="I262" s="108" t="s">
        <v>484</v>
      </c>
    </row>
    <row r="263" spans="1:9" ht="14.5" x14ac:dyDescent="0.35">
      <c r="A263" t="str">
        <f t="shared" si="4"/>
        <v>E2025261</v>
      </c>
      <c r="B263" s="108" t="s">
        <v>268</v>
      </c>
      <c r="C263" s="109">
        <v>261</v>
      </c>
      <c r="D263" s="109">
        <v>27</v>
      </c>
      <c r="E263" s="108" t="s">
        <v>269</v>
      </c>
      <c r="F263" s="108" t="s">
        <v>180</v>
      </c>
      <c r="G263" s="108" t="s">
        <v>183</v>
      </c>
      <c r="H263" s="110">
        <v>46058.833333333336</v>
      </c>
      <c r="I263" s="108" t="s">
        <v>485</v>
      </c>
    </row>
    <row r="264" spans="1:9" ht="14.5" x14ac:dyDescent="0.35">
      <c r="A264" t="str">
        <f t="shared" si="4"/>
        <v>E2025262</v>
      </c>
      <c r="B264" s="108" t="s">
        <v>268</v>
      </c>
      <c r="C264" s="109">
        <v>262</v>
      </c>
      <c r="D264" s="109">
        <v>27</v>
      </c>
      <c r="E264" s="108" t="s">
        <v>269</v>
      </c>
      <c r="F264" s="108" t="s">
        <v>186</v>
      </c>
      <c r="G264" s="108" t="s">
        <v>184</v>
      </c>
      <c r="H264" s="110">
        <v>46058.854166666664</v>
      </c>
      <c r="I264" s="108" t="s">
        <v>486</v>
      </c>
    </row>
    <row r="265" spans="1:9" ht="14.5" x14ac:dyDescent="0.35">
      <c r="A265" t="str">
        <f t="shared" si="4"/>
        <v>E2025263</v>
      </c>
      <c r="B265" s="108" t="s">
        <v>268</v>
      </c>
      <c r="C265" s="109">
        <v>263</v>
      </c>
      <c r="D265" s="109">
        <v>27</v>
      </c>
      <c r="E265" s="108" t="s">
        <v>269</v>
      </c>
      <c r="F265" s="108" t="s">
        <v>181</v>
      </c>
      <c r="G265" s="108" t="s">
        <v>188</v>
      </c>
      <c r="H265" s="110">
        <v>46058.875</v>
      </c>
      <c r="I265" s="108" t="s">
        <v>487</v>
      </c>
    </row>
    <row r="266" spans="1:9" ht="14.5" x14ac:dyDescent="0.35">
      <c r="A266" t="str">
        <f t="shared" si="4"/>
        <v>E2025264</v>
      </c>
      <c r="B266" s="108" t="s">
        <v>268</v>
      </c>
      <c r="C266" s="109">
        <v>264</v>
      </c>
      <c r="D266" s="109">
        <v>27</v>
      </c>
      <c r="E266" s="108" t="s">
        <v>269</v>
      </c>
      <c r="F266" s="108" t="s">
        <v>191</v>
      </c>
      <c r="G266" s="108" t="s">
        <v>194</v>
      </c>
      <c r="H266" s="110">
        <v>46058.864583333336</v>
      </c>
      <c r="I266" s="108" t="s">
        <v>488</v>
      </c>
    </row>
    <row r="267" spans="1:9" ht="14.5" x14ac:dyDescent="0.35">
      <c r="A267" t="str">
        <f t="shared" si="4"/>
        <v>E2025265</v>
      </c>
      <c r="B267" s="108" t="s">
        <v>268</v>
      </c>
      <c r="C267" s="109">
        <v>265</v>
      </c>
      <c r="D267" s="109">
        <v>27</v>
      </c>
      <c r="E267" s="108" t="s">
        <v>269</v>
      </c>
      <c r="F267" s="108" t="s">
        <v>190</v>
      </c>
      <c r="G267" s="108" t="s">
        <v>189</v>
      </c>
      <c r="H267" s="110">
        <v>46058.854166666664</v>
      </c>
      <c r="I267" s="108" t="s">
        <v>486</v>
      </c>
    </row>
    <row r="268" spans="1:9" ht="14.5" x14ac:dyDescent="0.35">
      <c r="A268" t="str">
        <f t="shared" si="4"/>
        <v>E2025266</v>
      </c>
      <c r="B268" s="108" t="s">
        <v>268</v>
      </c>
      <c r="C268" s="109">
        <v>266</v>
      </c>
      <c r="D268" s="109">
        <v>27</v>
      </c>
      <c r="E268" s="108" t="s">
        <v>269</v>
      </c>
      <c r="F268" s="108" t="s">
        <v>182</v>
      </c>
      <c r="G268" s="108" t="s">
        <v>196</v>
      </c>
      <c r="H268" s="110">
        <v>46059.854166666664</v>
      </c>
      <c r="I268" s="108" t="s">
        <v>489</v>
      </c>
    </row>
    <row r="269" spans="1:9" ht="14.5" x14ac:dyDescent="0.35">
      <c r="A269" t="str">
        <f t="shared" si="4"/>
        <v>E2025267</v>
      </c>
      <c r="B269" s="108" t="s">
        <v>268</v>
      </c>
      <c r="C269" s="109">
        <v>267</v>
      </c>
      <c r="D269" s="109">
        <v>27</v>
      </c>
      <c r="E269" s="108" t="s">
        <v>269</v>
      </c>
      <c r="F269" s="108" t="s">
        <v>179</v>
      </c>
      <c r="G269" s="108" t="s">
        <v>178</v>
      </c>
      <c r="H269" s="110">
        <v>46059.854166666664</v>
      </c>
      <c r="I269" s="108" t="s">
        <v>490</v>
      </c>
    </row>
    <row r="270" spans="1:9" ht="14.5" x14ac:dyDescent="0.35">
      <c r="A270" t="str">
        <f t="shared" si="4"/>
        <v>E2025268</v>
      </c>
      <c r="B270" s="108" t="s">
        <v>268</v>
      </c>
      <c r="C270" s="109">
        <v>268</v>
      </c>
      <c r="D270" s="109">
        <v>27</v>
      </c>
      <c r="E270" s="108" t="s">
        <v>269</v>
      </c>
      <c r="F270" s="108" t="s">
        <v>192</v>
      </c>
      <c r="G270" s="108" t="s">
        <v>193</v>
      </c>
      <c r="H270" s="110">
        <v>46059.833333333336</v>
      </c>
      <c r="I270" s="108" t="s">
        <v>491</v>
      </c>
    </row>
    <row r="271" spans="1:9" ht="14.5" x14ac:dyDescent="0.35">
      <c r="A271" t="str">
        <f t="shared" si="4"/>
        <v>E2025269</v>
      </c>
      <c r="B271" s="108" t="s">
        <v>268</v>
      </c>
      <c r="C271" s="109">
        <v>269</v>
      </c>
      <c r="D271" s="109">
        <v>27</v>
      </c>
      <c r="E271" s="108" t="s">
        <v>269</v>
      </c>
      <c r="F271" s="108" t="s">
        <v>177</v>
      </c>
      <c r="G271" s="108" t="s">
        <v>185</v>
      </c>
      <c r="H271" s="110">
        <v>46059.833333333336</v>
      </c>
      <c r="I271" s="108" t="s">
        <v>491</v>
      </c>
    </row>
    <row r="272" spans="1:9" ht="14.5" x14ac:dyDescent="0.35">
      <c r="A272" t="str">
        <f t="shared" si="4"/>
        <v>E2025270</v>
      </c>
      <c r="B272" s="108" t="s">
        <v>268</v>
      </c>
      <c r="C272" s="109">
        <v>270</v>
      </c>
      <c r="D272" s="109">
        <v>27</v>
      </c>
      <c r="E272" s="108" t="s">
        <v>269</v>
      </c>
      <c r="F272" s="108" t="s">
        <v>187</v>
      </c>
      <c r="G272" s="108" t="s">
        <v>195</v>
      </c>
      <c r="H272" s="110">
        <v>46059.885416666664</v>
      </c>
      <c r="I272" s="108" t="s">
        <v>492</v>
      </c>
    </row>
    <row r="273" spans="1:9" ht="14.5" x14ac:dyDescent="0.35">
      <c r="A273" t="str">
        <f t="shared" si="4"/>
        <v>E2025271</v>
      </c>
      <c r="B273" s="108" t="s">
        <v>268</v>
      </c>
      <c r="C273" s="109">
        <v>271</v>
      </c>
      <c r="D273" s="109">
        <v>28</v>
      </c>
      <c r="E273" s="108" t="s">
        <v>269</v>
      </c>
      <c r="F273" s="108" t="s">
        <v>182</v>
      </c>
      <c r="G273" s="108" t="s">
        <v>195</v>
      </c>
      <c r="H273" s="110">
        <v>46065.854166666664</v>
      </c>
      <c r="I273" s="108" t="s">
        <v>493</v>
      </c>
    </row>
    <row r="274" spans="1:9" ht="14.5" x14ac:dyDescent="0.35">
      <c r="A274" t="str">
        <f t="shared" si="4"/>
        <v>E2025272</v>
      </c>
      <c r="B274" s="108" t="s">
        <v>268</v>
      </c>
      <c r="C274" s="109">
        <v>272</v>
      </c>
      <c r="D274" s="109">
        <v>28</v>
      </c>
      <c r="E274" s="108" t="s">
        <v>269</v>
      </c>
      <c r="F274" s="108" t="s">
        <v>187</v>
      </c>
      <c r="G274" s="108" t="s">
        <v>192</v>
      </c>
      <c r="H274" s="110">
        <v>46065.885416666664</v>
      </c>
      <c r="I274" s="108" t="s">
        <v>494</v>
      </c>
    </row>
    <row r="275" spans="1:9" ht="14.5" x14ac:dyDescent="0.35">
      <c r="A275" t="str">
        <f t="shared" si="4"/>
        <v>E2025273</v>
      </c>
      <c r="B275" s="108" t="s">
        <v>268</v>
      </c>
      <c r="C275" s="109">
        <v>273</v>
      </c>
      <c r="D275" s="109">
        <v>28</v>
      </c>
      <c r="E275" s="108" t="s">
        <v>269</v>
      </c>
      <c r="F275" s="108" t="s">
        <v>193</v>
      </c>
      <c r="G275" s="108" t="s">
        <v>186</v>
      </c>
      <c r="H275" s="110">
        <v>46065.836805555555</v>
      </c>
      <c r="I275" s="108" t="s">
        <v>495</v>
      </c>
    </row>
    <row r="276" spans="1:9" ht="14.5" x14ac:dyDescent="0.35">
      <c r="A276" t="str">
        <f t="shared" si="4"/>
        <v>E2025274</v>
      </c>
      <c r="B276" s="108" t="s">
        <v>268</v>
      </c>
      <c r="C276" s="109">
        <v>274</v>
      </c>
      <c r="D276" s="109">
        <v>28</v>
      </c>
      <c r="E276" s="108" t="s">
        <v>269</v>
      </c>
      <c r="F276" s="108" t="s">
        <v>188</v>
      </c>
      <c r="G276" s="108" t="s">
        <v>177</v>
      </c>
      <c r="H276" s="110">
        <v>46065.854166666664</v>
      </c>
      <c r="I276" s="108" t="s">
        <v>496</v>
      </c>
    </row>
    <row r="277" spans="1:9" ht="14.5" x14ac:dyDescent="0.35">
      <c r="A277" t="str">
        <f t="shared" si="4"/>
        <v>E2025275</v>
      </c>
      <c r="B277" s="108" t="s">
        <v>268</v>
      </c>
      <c r="C277" s="109">
        <v>275</v>
      </c>
      <c r="D277" s="109">
        <v>28</v>
      </c>
      <c r="E277" s="108" t="s">
        <v>269</v>
      </c>
      <c r="F277" s="108" t="s">
        <v>178</v>
      </c>
      <c r="G277" s="108" t="s">
        <v>191</v>
      </c>
      <c r="H277" s="110">
        <v>46065.854166666664</v>
      </c>
      <c r="I277" s="108" t="s">
        <v>496</v>
      </c>
    </row>
    <row r="278" spans="1:9" ht="14.5" x14ac:dyDescent="0.35">
      <c r="A278" t="str">
        <f t="shared" si="4"/>
        <v>E2025276</v>
      </c>
      <c r="B278" s="108" t="s">
        <v>268</v>
      </c>
      <c r="C278" s="109">
        <v>276</v>
      </c>
      <c r="D278" s="109">
        <v>28</v>
      </c>
      <c r="E278" s="108" t="s">
        <v>269</v>
      </c>
      <c r="F278" s="108" t="s">
        <v>190</v>
      </c>
      <c r="G278" s="108" t="s">
        <v>183</v>
      </c>
      <c r="H278" s="110">
        <v>46066.854166666664</v>
      </c>
      <c r="I278" s="108" t="s">
        <v>497</v>
      </c>
    </row>
    <row r="279" spans="1:9" ht="14.5" x14ac:dyDescent="0.35">
      <c r="A279" t="str">
        <f t="shared" si="4"/>
        <v>E2025277</v>
      </c>
      <c r="B279" s="108" t="s">
        <v>268</v>
      </c>
      <c r="C279" s="109">
        <v>277</v>
      </c>
      <c r="D279" s="109">
        <v>28</v>
      </c>
      <c r="E279" s="108" t="s">
        <v>269</v>
      </c>
      <c r="F279" s="108" t="s">
        <v>184</v>
      </c>
      <c r="G279" s="108" t="s">
        <v>179</v>
      </c>
      <c r="H279" s="110">
        <v>46066.8125</v>
      </c>
      <c r="I279" s="108" t="s">
        <v>498</v>
      </c>
    </row>
    <row r="280" spans="1:9" ht="14.5" x14ac:dyDescent="0.35">
      <c r="A280" t="str">
        <f t="shared" si="4"/>
        <v>E2025278</v>
      </c>
      <c r="B280" s="108" t="s">
        <v>268</v>
      </c>
      <c r="C280" s="109">
        <v>278</v>
      </c>
      <c r="D280" s="109">
        <v>28</v>
      </c>
      <c r="E280" s="108" t="s">
        <v>269</v>
      </c>
      <c r="F280" s="108" t="s">
        <v>185</v>
      </c>
      <c r="G280" s="108" t="s">
        <v>180</v>
      </c>
      <c r="H280" s="110">
        <v>46066.854166666664</v>
      </c>
      <c r="I280" s="108" t="s">
        <v>497</v>
      </c>
    </row>
    <row r="281" spans="1:9" ht="14.5" x14ac:dyDescent="0.35">
      <c r="A281" t="str">
        <f t="shared" si="4"/>
        <v>E2025279</v>
      </c>
      <c r="B281" s="108" t="s">
        <v>268</v>
      </c>
      <c r="C281" s="109">
        <v>279</v>
      </c>
      <c r="D281" s="109">
        <v>28</v>
      </c>
      <c r="E281" s="108" t="s">
        <v>269</v>
      </c>
      <c r="F281" s="108" t="s">
        <v>189</v>
      </c>
      <c r="G281" s="108" t="s">
        <v>194</v>
      </c>
      <c r="H281" s="110">
        <v>46066.885416666664</v>
      </c>
      <c r="I281" s="108" t="s">
        <v>499</v>
      </c>
    </row>
    <row r="282" spans="1:9" ht="14.5" x14ac:dyDescent="0.35">
      <c r="A282" t="str">
        <f t="shared" si="4"/>
        <v>E2025280</v>
      </c>
      <c r="B282" s="108" t="s">
        <v>268</v>
      </c>
      <c r="C282" s="109">
        <v>280</v>
      </c>
      <c r="D282" s="109">
        <v>28</v>
      </c>
      <c r="E282" s="108" t="s">
        <v>269</v>
      </c>
      <c r="F282" s="108" t="s">
        <v>196</v>
      </c>
      <c r="G282" s="108" t="s">
        <v>181</v>
      </c>
      <c r="H282" s="110">
        <v>46066.833333333336</v>
      </c>
      <c r="I282" s="108" t="s">
        <v>500</v>
      </c>
    </row>
    <row r="283" spans="1:9" ht="14.5" x14ac:dyDescent="0.35">
      <c r="A283" t="str">
        <f t="shared" si="4"/>
        <v>E2025281</v>
      </c>
      <c r="B283" s="108" t="s">
        <v>268</v>
      </c>
      <c r="C283" s="109">
        <v>281</v>
      </c>
      <c r="D283" s="109">
        <v>29</v>
      </c>
      <c r="E283" s="108" t="s">
        <v>269</v>
      </c>
      <c r="F283" s="108" t="s">
        <v>194</v>
      </c>
      <c r="G283" s="108" t="s">
        <v>190</v>
      </c>
      <c r="H283" s="110">
        <v>46078.864583333336</v>
      </c>
      <c r="I283" s="108" t="s">
        <v>501</v>
      </c>
    </row>
    <row r="284" spans="1:9" ht="14.5" x14ac:dyDescent="0.35">
      <c r="A284" t="str">
        <f t="shared" si="4"/>
        <v>E2025282</v>
      </c>
      <c r="B284" s="108" t="s">
        <v>268</v>
      </c>
      <c r="C284" s="109">
        <v>282</v>
      </c>
      <c r="D284" s="109">
        <v>29</v>
      </c>
      <c r="E284" s="108" t="s">
        <v>269</v>
      </c>
      <c r="F284" s="108" t="s">
        <v>195</v>
      </c>
      <c r="G284" s="108" t="s">
        <v>178</v>
      </c>
      <c r="H284" s="110">
        <v>46078.854166666664</v>
      </c>
      <c r="I284" s="108" t="s">
        <v>502</v>
      </c>
    </row>
    <row r="285" spans="1:9" ht="14.5" x14ac:dyDescent="0.35">
      <c r="A285" t="str">
        <f t="shared" si="4"/>
        <v>E2025283</v>
      </c>
      <c r="B285" s="108" t="s">
        <v>268</v>
      </c>
      <c r="C285" s="109">
        <v>283</v>
      </c>
      <c r="D285" s="109">
        <v>29</v>
      </c>
      <c r="E285" s="108" t="s">
        <v>269</v>
      </c>
      <c r="F285" s="108" t="s">
        <v>196</v>
      </c>
      <c r="G285" s="108" t="s">
        <v>187</v>
      </c>
      <c r="H285" s="110">
        <v>46078.833333333336</v>
      </c>
      <c r="I285" s="108" t="s">
        <v>503</v>
      </c>
    </row>
    <row r="286" spans="1:9" ht="14.5" x14ac:dyDescent="0.35">
      <c r="A286" t="str">
        <f t="shared" si="4"/>
        <v>E2025284</v>
      </c>
      <c r="B286" s="108" t="s">
        <v>268</v>
      </c>
      <c r="C286" s="109">
        <v>284</v>
      </c>
      <c r="D286" s="109">
        <v>29</v>
      </c>
      <c r="E286" s="108" t="s">
        <v>269</v>
      </c>
      <c r="F286" s="108" t="s">
        <v>184</v>
      </c>
      <c r="G286" s="108" t="s">
        <v>193</v>
      </c>
      <c r="H286" s="110">
        <v>46079.8125</v>
      </c>
      <c r="I286" s="108" t="s">
        <v>504</v>
      </c>
    </row>
    <row r="287" spans="1:9" ht="14.5" x14ac:dyDescent="0.35">
      <c r="A287" t="str">
        <f t="shared" si="4"/>
        <v>E2025285</v>
      </c>
      <c r="B287" s="108" t="s">
        <v>268</v>
      </c>
      <c r="C287" s="109">
        <v>285</v>
      </c>
      <c r="D287" s="109">
        <v>29</v>
      </c>
      <c r="E287" s="108" t="s">
        <v>269</v>
      </c>
      <c r="F287" s="108" t="s">
        <v>179</v>
      </c>
      <c r="G287" s="108" t="s">
        <v>188</v>
      </c>
      <c r="H287" s="110">
        <v>46079.854166666664</v>
      </c>
      <c r="I287" s="108" t="s">
        <v>505</v>
      </c>
    </row>
    <row r="288" spans="1:9" ht="14.5" x14ac:dyDescent="0.35">
      <c r="A288" t="str">
        <f t="shared" si="4"/>
        <v>E2025286</v>
      </c>
      <c r="B288" s="108" t="s">
        <v>268</v>
      </c>
      <c r="C288" s="109">
        <v>286</v>
      </c>
      <c r="D288" s="109">
        <v>29</v>
      </c>
      <c r="E288" s="108" t="s">
        <v>269</v>
      </c>
      <c r="F288" s="108" t="s">
        <v>192</v>
      </c>
      <c r="G288" s="108" t="s">
        <v>182</v>
      </c>
      <c r="H288" s="110">
        <v>46079.833333333336</v>
      </c>
      <c r="I288" s="108" t="s">
        <v>506</v>
      </c>
    </row>
    <row r="289" spans="1:9" ht="14.5" x14ac:dyDescent="0.35">
      <c r="A289" t="str">
        <f t="shared" si="4"/>
        <v>E2025287</v>
      </c>
      <c r="B289" s="108" t="s">
        <v>268</v>
      </c>
      <c r="C289" s="109">
        <v>287</v>
      </c>
      <c r="D289" s="109">
        <v>29</v>
      </c>
      <c r="E289" s="108" t="s">
        <v>269</v>
      </c>
      <c r="F289" s="108" t="s">
        <v>180</v>
      </c>
      <c r="G289" s="108" t="s">
        <v>177</v>
      </c>
      <c r="H289" s="110">
        <v>46079.833333333336</v>
      </c>
      <c r="I289" s="108" t="s">
        <v>507</v>
      </c>
    </row>
    <row r="290" spans="1:9" ht="14.5" x14ac:dyDescent="0.35">
      <c r="A290" t="str">
        <f t="shared" si="4"/>
        <v>E2025288</v>
      </c>
      <c r="B290" s="108" t="s">
        <v>268</v>
      </c>
      <c r="C290" s="109">
        <v>288</v>
      </c>
      <c r="D290" s="109">
        <v>29</v>
      </c>
      <c r="E290" s="108" t="s">
        <v>269</v>
      </c>
      <c r="F290" s="108" t="s">
        <v>181</v>
      </c>
      <c r="G290" s="108" t="s">
        <v>185</v>
      </c>
      <c r="H290" s="110">
        <v>46079.833333333336</v>
      </c>
      <c r="I290" s="108" t="s">
        <v>508</v>
      </c>
    </row>
    <row r="291" spans="1:9" ht="14.5" x14ac:dyDescent="0.35">
      <c r="A291" t="str">
        <f t="shared" si="4"/>
        <v>E2025289</v>
      </c>
      <c r="B291" s="108" t="s">
        <v>268</v>
      </c>
      <c r="C291" s="109">
        <v>289</v>
      </c>
      <c r="D291" s="109">
        <v>29</v>
      </c>
      <c r="E291" s="108" t="s">
        <v>269</v>
      </c>
      <c r="F291" s="108" t="s">
        <v>189</v>
      </c>
      <c r="G291" s="108" t="s">
        <v>191</v>
      </c>
      <c r="H291" s="110">
        <v>46079.885416666664</v>
      </c>
      <c r="I291" s="108" t="s">
        <v>509</v>
      </c>
    </row>
    <row r="292" spans="1:9" ht="14.5" x14ac:dyDescent="0.35">
      <c r="A292" t="str">
        <f t="shared" si="4"/>
        <v>E2025290</v>
      </c>
      <c r="B292" s="108" t="s">
        <v>268</v>
      </c>
      <c r="C292" s="109">
        <v>290</v>
      </c>
      <c r="D292" s="109">
        <v>29</v>
      </c>
      <c r="E292" s="108" t="s">
        <v>269</v>
      </c>
      <c r="F292" s="108" t="s">
        <v>183</v>
      </c>
      <c r="G292" s="108" t="s">
        <v>186</v>
      </c>
      <c r="H292" s="110">
        <v>46079.864583333336</v>
      </c>
      <c r="I292" s="108" t="s">
        <v>510</v>
      </c>
    </row>
    <row r="293" spans="1:9" ht="14.5" x14ac:dyDescent="0.35">
      <c r="A293" t="str">
        <f t="shared" si="4"/>
        <v>E2025291</v>
      </c>
      <c r="B293" s="108" t="s">
        <v>268</v>
      </c>
      <c r="C293" s="109">
        <v>291</v>
      </c>
      <c r="D293" s="109">
        <v>30</v>
      </c>
      <c r="E293" s="108" t="s">
        <v>269</v>
      </c>
      <c r="F293" s="108" t="s">
        <v>185</v>
      </c>
      <c r="G293" s="108" t="s">
        <v>178</v>
      </c>
      <c r="H293" s="110">
        <v>46086.854166666664</v>
      </c>
      <c r="I293" s="108" t="s">
        <v>511</v>
      </c>
    </row>
    <row r="294" spans="1:9" ht="14.5" x14ac:dyDescent="0.35">
      <c r="A294" t="str">
        <f t="shared" si="4"/>
        <v>E2025292</v>
      </c>
      <c r="B294" s="108" t="s">
        <v>268</v>
      </c>
      <c r="C294" s="109">
        <v>292</v>
      </c>
      <c r="D294" s="109">
        <v>30</v>
      </c>
      <c r="E294" s="108" t="s">
        <v>269</v>
      </c>
      <c r="F294" s="108" t="s">
        <v>194</v>
      </c>
      <c r="G294" s="108" t="s">
        <v>184</v>
      </c>
      <c r="H294" s="110">
        <v>46086.864583333336</v>
      </c>
      <c r="I294" s="108" t="s">
        <v>512</v>
      </c>
    </row>
    <row r="295" spans="1:9" ht="14.5" x14ac:dyDescent="0.35">
      <c r="A295" t="str">
        <f t="shared" si="4"/>
        <v>E2025293</v>
      </c>
      <c r="B295" s="108" t="s">
        <v>268</v>
      </c>
      <c r="C295" s="109">
        <v>293</v>
      </c>
      <c r="D295" s="109">
        <v>30</v>
      </c>
      <c r="E295" s="108" t="s">
        <v>269</v>
      </c>
      <c r="F295" s="108" t="s">
        <v>193</v>
      </c>
      <c r="G295" s="108" t="s">
        <v>181</v>
      </c>
      <c r="H295" s="110">
        <v>46086.836805555555</v>
      </c>
      <c r="I295" s="108" t="s">
        <v>513</v>
      </c>
    </row>
    <row r="296" spans="1:9" ht="14.5" x14ac:dyDescent="0.35">
      <c r="A296" t="str">
        <f t="shared" si="4"/>
        <v>E2025294</v>
      </c>
      <c r="B296" s="108" t="s">
        <v>268</v>
      </c>
      <c r="C296" s="109">
        <v>294</v>
      </c>
      <c r="D296" s="109">
        <v>30</v>
      </c>
      <c r="E296" s="108" t="s">
        <v>269</v>
      </c>
      <c r="F296" s="108" t="s">
        <v>190</v>
      </c>
      <c r="G296" s="108" t="s">
        <v>180</v>
      </c>
      <c r="H296" s="110">
        <v>46086.854166666664</v>
      </c>
      <c r="I296" s="108" t="s">
        <v>511</v>
      </c>
    </row>
    <row r="297" spans="1:9" ht="14.5" x14ac:dyDescent="0.35">
      <c r="A297" t="str">
        <f t="shared" si="4"/>
        <v>E2025295</v>
      </c>
      <c r="B297" s="108" t="s">
        <v>268</v>
      </c>
      <c r="C297" s="109">
        <v>295</v>
      </c>
      <c r="D297" s="109">
        <v>30</v>
      </c>
      <c r="E297" s="108" t="s">
        <v>269</v>
      </c>
      <c r="F297" s="108" t="s">
        <v>183</v>
      </c>
      <c r="G297" s="108" t="s">
        <v>195</v>
      </c>
      <c r="H297" s="110">
        <v>46086.864583333336</v>
      </c>
      <c r="I297" s="108" t="s">
        <v>514</v>
      </c>
    </row>
    <row r="298" spans="1:9" ht="14.5" x14ac:dyDescent="0.35">
      <c r="A298" t="str">
        <f t="shared" si="4"/>
        <v>E2025296</v>
      </c>
      <c r="B298" s="108" t="s">
        <v>268</v>
      </c>
      <c r="C298" s="109">
        <v>296</v>
      </c>
      <c r="D298" s="109">
        <v>30</v>
      </c>
      <c r="E298" s="108" t="s">
        <v>269</v>
      </c>
      <c r="F298" s="108" t="s">
        <v>188</v>
      </c>
      <c r="G298" s="108" t="s">
        <v>196</v>
      </c>
      <c r="H298" s="110">
        <v>46086.854166666664</v>
      </c>
      <c r="I298" s="108" t="s">
        <v>511</v>
      </c>
    </row>
    <row r="299" spans="1:9" ht="14.5" x14ac:dyDescent="0.35">
      <c r="A299" t="str">
        <f t="shared" si="4"/>
        <v>E2025297</v>
      </c>
      <c r="B299" s="108" t="s">
        <v>268</v>
      </c>
      <c r="C299" s="109">
        <v>297</v>
      </c>
      <c r="D299" s="109">
        <v>30</v>
      </c>
      <c r="E299" s="108" t="s">
        <v>269</v>
      </c>
      <c r="F299" s="108" t="s">
        <v>182</v>
      </c>
      <c r="G299" s="108" t="s">
        <v>177</v>
      </c>
      <c r="H299" s="110">
        <v>46087.854166666664</v>
      </c>
      <c r="I299" s="108" t="s">
        <v>515</v>
      </c>
    </row>
    <row r="300" spans="1:9" ht="14.5" x14ac:dyDescent="0.35">
      <c r="A300" t="str">
        <f t="shared" si="4"/>
        <v>E2025298</v>
      </c>
      <c r="B300" s="108" t="s">
        <v>268</v>
      </c>
      <c r="C300" s="109">
        <v>298</v>
      </c>
      <c r="D300" s="109">
        <v>30</v>
      </c>
      <c r="E300" s="108" t="s">
        <v>269</v>
      </c>
      <c r="F300" s="108" t="s">
        <v>179</v>
      </c>
      <c r="G300" s="108" t="s">
        <v>191</v>
      </c>
      <c r="H300" s="110">
        <v>46087.854166666664</v>
      </c>
      <c r="I300" s="108" t="s">
        <v>516</v>
      </c>
    </row>
    <row r="301" spans="1:9" ht="14.5" x14ac:dyDescent="0.35">
      <c r="A301" t="str">
        <f t="shared" si="4"/>
        <v>E2025299</v>
      </c>
      <c r="B301" s="108" t="s">
        <v>268</v>
      </c>
      <c r="C301" s="109">
        <v>299</v>
      </c>
      <c r="D301" s="109">
        <v>30</v>
      </c>
      <c r="E301" s="108" t="s">
        <v>269</v>
      </c>
      <c r="F301" s="108" t="s">
        <v>192</v>
      </c>
      <c r="G301" s="108" t="s">
        <v>186</v>
      </c>
      <c r="H301" s="110">
        <v>46087.833333333336</v>
      </c>
      <c r="I301" s="108" t="s">
        <v>517</v>
      </c>
    </row>
    <row r="302" spans="1:9" ht="14.5" x14ac:dyDescent="0.35">
      <c r="A302" t="str">
        <f t="shared" si="4"/>
        <v>E2025300</v>
      </c>
      <c r="B302" s="108" t="s">
        <v>268</v>
      </c>
      <c r="C302" s="109">
        <v>300</v>
      </c>
      <c r="D302" s="109">
        <v>30</v>
      </c>
      <c r="E302" s="108" t="s">
        <v>269</v>
      </c>
      <c r="F302" s="108" t="s">
        <v>187</v>
      </c>
      <c r="G302" s="108" t="s">
        <v>189</v>
      </c>
      <c r="H302" s="110">
        <v>46087.885416666664</v>
      </c>
      <c r="I302" s="108" t="s">
        <v>518</v>
      </c>
    </row>
    <row r="303" spans="1:9" ht="14.5" x14ac:dyDescent="0.35">
      <c r="A303" t="str">
        <f t="shared" si="4"/>
        <v>E2025301</v>
      </c>
      <c r="B303" s="108" t="s">
        <v>268</v>
      </c>
      <c r="C303" s="109">
        <v>301</v>
      </c>
      <c r="D303" s="109">
        <v>31</v>
      </c>
      <c r="E303" s="108" t="s">
        <v>269</v>
      </c>
      <c r="F303" s="108" t="s">
        <v>186</v>
      </c>
      <c r="G303" s="108" t="s">
        <v>182</v>
      </c>
      <c r="H303" s="110">
        <v>46093.854166666664</v>
      </c>
      <c r="I303" s="108" t="s">
        <v>519</v>
      </c>
    </row>
    <row r="304" spans="1:9" ht="14.5" x14ac:dyDescent="0.35">
      <c r="A304" t="str">
        <f t="shared" si="4"/>
        <v>E2025302</v>
      </c>
      <c r="B304" s="108" t="s">
        <v>268</v>
      </c>
      <c r="C304" s="109">
        <v>302</v>
      </c>
      <c r="D304" s="109">
        <v>31</v>
      </c>
      <c r="E304" s="108" t="s">
        <v>269</v>
      </c>
      <c r="F304" s="108" t="s">
        <v>191</v>
      </c>
      <c r="G304" s="108" t="s">
        <v>177</v>
      </c>
      <c r="H304" s="110">
        <v>46093.864583333336</v>
      </c>
      <c r="I304" s="108" t="s">
        <v>520</v>
      </c>
    </row>
    <row r="305" spans="1:9" ht="14.5" x14ac:dyDescent="0.35">
      <c r="A305" t="str">
        <f t="shared" si="4"/>
        <v>E2025303</v>
      </c>
      <c r="B305" s="108" t="s">
        <v>268</v>
      </c>
      <c r="C305" s="109">
        <v>303</v>
      </c>
      <c r="D305" s="109">
        <v>31</v>
      </c>
      <c r="E305" s="108" t="s">
        <v>269</v>
      </c>
      <c r="F305" s="108" t="s">
        <v>183</v>
      </c>
      <c r="G305" s="108" t="s">
        <v>188</v>
      </c>
      <c r="H305" s="110">
        <v>46093.864583333336</v>
      </c>
      <c r="I305" s="108" t="s">
        <v>520</v>
      </c>
    </row>
    <row r="306" spans="1:9" ht="14.5" x14ac:dyDescent="0.35">
      <c r="A306" t="str">
        <f t="shared" si="4"/>
        <v>E2025304</v>
      </c>
      <c r="B306" s="108" t="s">
        <v>268</v>
      </c>
      <c r="C306" s="109">
        <v>304</v>
      </c>
      <c r="D306" s="109">
        <v>31</v>
      </c>
      <c r="E306" s="108" t="s">
        <v>269</v>
      </c>
      <c r="F306" s="108" t="s">
        <v>195</v>
      </c>
      <c r="G306" s="108" t="s">
        <v>190</v>
      </c>
      <c r="H306" s="110">
        <v>46093.854166666664</v>
      </c>
      <c r="I306" s="108" t="s">
        <v>519</v>
      </c>
    </row>
    <row r="307" spans="1:9" ht="14.5" x14ac:dyDescent="0.35">
      <c r="A307" t="str">
        <f t="shared" si="4"/>
        <v>E2025305</v>
      </c>
      <c r="B307" s="108" t="s">
        <v>268</v>
      </c>
      <c r="C307" s="109">
        <v>305</v>
      </c>
      <c r="D307" s="109">
        <v>31</v>
      </c>
      <c r="E307" s="108" t="s">
        <v>269</v>
      </c>
      <c r="F307" s="108" t="s">
        <v>189</v>
      </c>
      <c r="G307" s="108" t="s">
        <v>196</v>
      </c>
      <c r="H307" s="110">
        <v>46093.885416666664</v>
      </c>
      <c r="I307" s="108" t="s">
        <v>521</v>
      </c>
    </row>
    <row r="308" spans="1:9" ht="14.5" x14ac:dyDescent="0.35">
      <c r="A308" t="str">
        <f t="shared" si="4"/>
        <v>E2025306</v>
      </c>
      <c r="B308" s="108" t="s">
        <v>268</v>
      </c>
      <c r="C308" s="109">
        <v>306</v>
      </c>
      <c r="D308" s="109">
        <v>31</v>
      </c>
      <c r="E308" s="108" t="s">
        <v>269</v>
      </c>
      <c r="F308" s="108" t="s">
        <v>184</v>
      </c>
      <c r="G308" s="108" t="s">
        <v>187</v>
      </c>
      <c r="H308" s="110">
        <v>46094.8125</v>
      </c>
      <c r="I308" s="108" t="s">
        <v>522</v>
      </c>
    </row>
    <row r="309" spans="1:9" ht="14.5" x14ac:dyDescent="0.35">
      <c r="A309" t="str">
        <f t="shared" si="4"/>
        <v>E2025307</v>
      </c>
      <c r="B309" s="108" t="s">
        <v>268</v>
      </c>
      <c r="C309" s="109">
        <v>307</v>
      </c>
      <c r="D309" s="109">
        <v>31</v>
      </c>
      <c r="E309" s="108" t="s">
        <v>269</v>
      </c>
      <c r="F309" s="108" t="s">
        <v>192</v>
      </c>
      <c r="G309" s="108" t="s">
        <v>194</v>
      </c>
      <c r="H309" s="110">
        <v>46094.833333333336</v>
      </c>
      <c r="I309" s="108" t="s">
        <v>523</v>
      </c>
    </row>
    <row r="310" spans="1:9" ht="14.5" x14ac:dyDescent="0.35">
      <c r="A310" t="str">
        <f t="shared" si="4"/>
        <v>E2025308</v>
      </c>
      <c r="B310" s="108" t="s">
        <v>268</v>
      </c>
      <c r="C310" s="109">
        <v>308</v>
      </c>
      <c r="D310" s="109">
        <v>31</v>
      </c>
      <c r="E310" s="108" t="s">
        <v>269</v>
      </c>
      <c r="F310" s="108" t="s">
        <v>180</v>
      </c>
      <c r="G310" s="108" t="s">
        <v>179</v>
      </c>
      <c r="H310" s="110">
        <v>46093.833333333336</v>
      </c>
      <c r="I310" s="108" t="s">
        <v>524</v>
      </c>
    </row>
    <row r="311" spans="1:9" ht="14.5" x14ac:dyDescent="0.35">
      <c r="A311" t="str">
        <f t="shared" si="4"/>
        <v>E2025309</v>
      </c>
      <c r="B311" s="108" t="s">
        <v>268</v>
      </c>
      <c r="C311" s="109">
        <v>309</v>
      </c>
      <c r="D311" s="109">
        <v>31</v>
      </c>
      <c r="E311" s="108" t="s">
        <v>269</v>
      </c>
      <c r="F311" s="108" t="s">
        <v>185</v>
      </c>
      <c r="G311" s="108" t="s">
        <v>193</v>
      </c>
      <c r="H311" s="110">
        <v>46094.854166666664</v>
      </c>
      <c r="I311" s="108" t="s">
        <v>525</v>
      </c>
    </row>
    <row r="312" spans="1:9" ht="14.5" x14ac:dyDescent="0.35">
      <c r="A312" t="str">
        <f t="shared" si="4"/>
        <v>E2025310</v>
      </c>
      <c r="B312" s="108" t="s">
        <v>268</v>
      </c>
      <c r="C312" s="109">
        <v>310</v>
      </c>
      <c r="D312" s="109">
        <v>31</v>
      </c>
      <c r="E312" s="108" t="s">
        <v>269</v>
      </c>
      <c r="F312" s="108" t="s">
        <v>178</v>
      </c>
      <c r="G312" s="108" t="s">
        <v>181</v>
      </c>
      <c r="H312" s="110">
        <v>46094.854166666664</v>
      </c>
      <c r="I312" s="108" t="s">
        <v>525</v>
      </c>
    </row>
    <row r="313" spans="1:9" ht="14.5" x14ac:dyDescent="0.35">
      <c r="A313" t="str">
        <f t="shared" si="4"/>
        <v>E2025311</v>
      </c>
      <c r="B313" s="108" t="s">
        <v>268</v>
      </c>
      <c r="C313" s="109">
        <v>311</v>
      </c>
      <c r="D313" s="109">
        <v>32</v>
      </c>
      <c r="E313" s="108" t="s">
        <v>269</v>
      </c>
      <c r="F313" s="108" t="s">
        <v>186</v>
      </c>
      <c r="G313" s="108" t="s">
        <v>180</v>
      </c>
      <c r="H313" s="110">
        <v>46100.854166666664</v>
      </c>
      <c r="I313" s="108" t="s">
        <v>526</v>
      </c>
    </row>
    <row r="314" spans="1:9" ht="14.5" x14ac:dyDescent="0.35">
      <c r="A314" t="str">
        <f t="shared" si="4"/>
        <v>E2025312</v>
      </c>
      <c r="B314" s="108" t="s">
        <v>268</v>
      </c>
      <c r="C314" s="109">
        <v>312</v>
      </c>
      <c r="D314" s="109">
        <v>32</v>
      </c>
      <c r="E314" s="108" t="s">
        <v>269</v>
      </c>
      <c r="F314" s="108" t="s">
        <v>181</v>
      </c>
      <c r="G314" s="108" t="s">
        <v>195</v>
      </c>
      <c r="H314" s="110">
        <v>46100.878472222219</v>
      </c>
      <c r="I314" s="108" t="s">
        <v>527</v>
      </c>
    </row>
    <row r="315" spans="1:9" ht="14.5" x14ac:dyDescent="0.35">
      <c r="A315" t="str">
        <f t="shared" si="4"/>
        <v>E2025313</v>
      </c>
      <c r="B315" s="108" t="s">
        <v>268</v>
      </c>
      <c r="C315" s="109">
        <v>313</v>
      </c>
      <c r="D315" s="109">
        <v>32</v>
      </c>
      <c r="E315" s="108" t="s">
        <v>269</v>
      </c>
      <c r="F315" s="108" t="s">
        <v>187</v>
      </c>
      <c r="G315" s="108" t="s">
        <v>179</v>
      </c>
      <c r="H315" s="110">
        <v>46100.885416666664</v>
      </c>
      <c r="I315" s="108" t="s">
        <v>528</v>
      </c>
    </row>
    <row r="316" spans="1:9" ht="14.5" x14ac:dyDescent="0.35">
      <c r="A316" t="str">
        <f t="shared" si="4"/>
        <v>E2025314</v>
      </c>
      <c r="B316" s="108" t="s">
        <v>268</v>
      </c>
      <c r="C316" s="109">
        <v>314</v>
      </c>
      <c r="D316" s="109">
        <v>32</v>
      </c>
      <c r="E316" s="108" t="s">
        <v>269</v>
      </c>
      <c r="F316" s="108" t="s">
        <v>191</v>
      </c>
      <c r="G316" s="108" t="s">
        <v>190</v>
      </c>
      <c r="H316" s="110">
        <v>46100.864583333336</v>
      </c>
      <c r="I316" s="108" t="s">
        <v>529</v>
      </c>
    </row>
    <row r="317" spans="1:9" ht="14.5" x14ac:dyDescent="0.35">
      <c r="A317" t="str">
        <f t="shared" si="4"/>
        <v>E2025315</v>
      </c>
      <c r="B317" s="108" t="s">
        <v>268</v>
      </c>
      <c r="C317" s="109">
        <v>315</v>
      </c>
      <c r="D317" s="109">
        <v>32</v>
      </c>
      <c r="E317" s="108" t="s">
        <v>269</v>
      </c>
      <c r="F317" s="108" t="s">
        <v>188</v>
      </c>
      <c r="G317" s="108" t="s">
        <v>178</v>
      </c>
      <c r="H317" s="110">
        <v>46100.854166666664</v>
      </c>
      <c r="I317" s="108" t="s">
        <v>526</v>
      </c>
    </row>
    <row r="318" spans="1:9" ht="14.5" x14ac:dyDescent="0.35">
      <c r="A318" t="str">
        <f t="shared" si="4"/>
        <v>E2025316</v>
      </c>
      <c r="B318" s="108" t="s">
        <v>268</v>
      </c>
      <c r="C318" s="109">
        <v>316</v>
      </c>
      <c r="D318" s="109">
        <v>32</v>
      </c>
      <c r="E318" s="108" t="s">
        <v>269</v>
      </c>
      <c r="F318" s="108" t="s">
        <v>182</v>
      </c>
      <c r="G318" s="108" t="s">
        <v>184</v>
      </c>
      <c r="H318" s="110">
        <v>46100.854166666664</v>
      </c>
      <c r="I318" s="108" t="s">
        <v>530</v>
      </c>
    </row>
    <row r="319" spans="1:9" ht="14.5" x14ac:dyDescent="0.35">
      <c r="A319" t="str">
        <f t="shared" si="4"/>
        <v>E2025317</v>
      </c>
      <c r="B319" s="108" t="s">
        <v>268</v>
      </c>
      <c r="C319" s="109">
        <v>317</v>
      </c>
      <c r="D319" s="109">
        <v>32</v>
      </c>
      <c r="E319" s="108" t="s">
        <v>269</v>
      </c>
      <c r="F319" s="108" t="s">
        <v>194</v>
      </c>
      <c r="G319" s="108" t="s">
        <v>185</v>
      </c>
      <c r="H319" s="110">
        <v>46101.864583333336</v>
      </c>
      <c r="I319" s="108" t="s">
        <v>531</v>
      </c>
    </row>
    <row r="320" spans="1:9" ht="14.5" x14ac:dyDescent="0.35">
      <c r="A320" t="str">
        <f t="shared" si="4"/>
        <v>E2025318</v>
      </c>
      <c r="B320" s="108" t="s">
        <v>268</v>
      </c>
      <c r="C320" s="109">
        <v>318</v>
      </c>
      <c r="D320" s="109">
        <v>32</v>
      </c>
      <c r="E320" s="108" t="s">
        <v>269</v>
      </c>
      <c r="F320" s="108" t="s">
        <v>177</v>
      </c>
      <c r="G320" s="108" t="s">
        <v>193</v>
      </c>
      <c r="H320" s="110">
        <v>46101.833333333336</v>
      </c>
      <c r="I320" s="108" t="s">
        <v>532</v>
      </c>
    </row>
    <row r="321" spans="1:9" ht="14.5" x14ac:dyDescent="0.35">
      <c r="A321" t="str">
        <f t="shared" si="4"/>
        <v>E2025319</v>
      </c>
      <c r="B321" s="108" t="s">
        <v>268</v>
      </c>
      <c r="C321" s="109">
        <v>319</v>
      </c>
      <c r="D321" s="109">
        <v>32</v>
      </c>
      <c r="E321" s="108" t="s">
        <v>269</v>
      </c>
      <c r="F321" s="108" t="s">
        <v>189</v>
      </c>
      <c r="G321" s="108" t="s">
        <v>192</v>
      </c>
      <c r="H321" s="110">
        <v>46101.885416666664</v>
      </c>
      <c r="I321" s="108" t="s">
        <v>533</v>
      </c>
    </row>
    <row r="322" spans="1:9" ht="14.5" x14ac:dyDescent="0.35">
      <c r="A322" t="str">
        <f t="shared" si="4"/>
        <v>E2025320</v>
      </c>
      <c r="B322" s="108" t="s">
        <v>268</v>
      </c>
      <c r="C322" s="109">
        <v>320</v>
      </c>
      <c r="D322" s="109">
        <v>32</v>
      </c>
      <c r="E322" s="108" t="s">
        <v>269</v>
      </c>
      <c r="F322" s="108" t="s">
        <v>196</v>
      </c>
      <c r="G322" s="108" t="s">
        <v>183</v>
      </c>
      <c r="H322" s="110">
        <v>46101.833333333336</v>
      </c>
      <c r="I322" s="108" t="s">
        <v>534</v>
      </c>
    </row>
    <row r="323" spans="1:9" ht="14.5" x14ac:dyDescent="0.35">
      <c r="A323" t="str">
        <f t="shared" si="4"/>
        <v>E2025321</v>
      </c>
      <c r="B323" s="108" t="s">
        <v>268</v>
      </c>
      <c r="C323" s="109">
        <v>321</v>
      </c>
      <c r="D323" s="109">
        <v>33</v>
      </c>
      <c r="E323" s="108" t="s">
        <v>269</v>
      </c>
      <c r="F323" s="108" t="s">
        <v>184</v>
      </c>
      <c r="G323" s="108" t="s">
        <v>185</v>
      </c>
      <c r="H323" s="110">
        <v>46105.791666666664</v>
      </c>
      <c r="I323" s="108" t="s">
        <v>535</v>
      </c>
    </row>
    <row r="324" spans="1:9" ht="14.5" x14ac:dyDescent="0.3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5" x14ac:dyDescent="0.35">
      <c r="A325" t="str">
        <f t="shared" si="5"/>
        <v>E2025323</v>
      </c>
      <c r="B325" s="108" t="s">
        <v>268</v>
      </c>
      <c r="C325" s="109">
        <v>323</v>
      </c>
      <c r="D325" s="109">
        <v>33</v>
      </c>
      <c r="E325" s="108" t="s">
        <v>269</v>
      </c>
      <c r="F325" s="108" t="s">
        <v>178</v>
      </c>
      <c r="G325" s="108" t="s">
        <v>182</v>
      </c>
      <c r="H325" s="110">
        <v>46105.854166666664</v>
      </c>
      <c r="I325" s="108" t="s">
        <v>537</v>
      </c>
    </row>
    <row r="326" spans="1:9" ht="14.5" x14ac:dyDescent="0.35">
      <c r="A326" t="str">
        <f t="shared" si="5"/>
        <v>E2025324</v>
      </c>
      <c r="B326" s="108" t="s">
        <v>268</v>
      </c>
      <c r="C326" s="109">
        <v>324</v>
      </c>
      <c r="D326" s="109">
        <v>33</v>
      </c>
      <c r="E326" s="108" t="s">
        <v>269</v>
      </c>
      <c r="F326" s="108" t="s">
        <v>193</v>
      </c>
      <c r="G326" s="108" t="s">
        <v>194</v>
      </c>
      <c r="H326" s="110">
        <v>46105.791666666664</v>
      </c>
      <c r="I326" s="108" t="s">
        <v>535</v>
      </c>
    </row>
    <row r="327" spans="1:9" ht="14.5" x14ac:dyDescent="0.35">
      <c r="A327" t="str">
        <f t="shared" si="5"/>
        <v>E2025325</v>
      </c>
      <c r="B327" s="108" t="s">
        <v>268</v>
      </c>
      <c r="C327" s="109">
        <v>325</v>
      </c>
      <c r="D327" s="109">
        <v>33</v>
      </c>
      <c r="E327" s="108" t="s">
        <v>269</v>
      </c>
      <c r="F327" s="108" t="s">
        <v>190</v>
      </c>
      <c r="G327" s="108" t="s">
        <v>177</v>
      </c>
      <c r="H327" s="110">
        <v>46105.854166666664</v>
      </c>
      <c r="I327" s="108" t="s">
        <v>537</v>
      </c>
    </row>
    <row r="328" spans="1:9" ht="14.5" x14ac:dyDescent="0.35">
      <c r="A328" t="str">
        <f t="shared" si="5"/>
        <v>E2025326</v>
      </c>
      <c r="B328" s="108" t="s">
        <v>268</v>
      </c>
      <c r="C328" s="109">
        <v>326</v>
      </c>
      <c r="D328" s="109">
        <v>33</v>
      </c>
      <c r="E328" s="108" t="s">
        <v>269</v>
      </c>
      <c r="F328" s="108" t="s">
        <v>183</v>
      </c>
      <c r="G328" s="108" t="s">
        <v>181</v>
      </c>
      <c r="H328" s="110">
        <v>46105.875</v>
      </c>
      <c r="I328" s="108" t="s">
        <v>538</v>
      </c>
    </row>
    <row r="329" spans="1:9" ht="14.5" x14ac:dyDescent="0.35">
      <c r="A329" t="str">
        <f t="shared" si="5"/>
        <v>E2025327</v>
      </c>
      <c r="B329" s="108" t="s">
        <v>268</v>
      </c>
      <c r="C329" s="109">
        <v>327</v>
      </c>
      <c r="D329" s="109">
        <v>33</v>
      </c>
      <c r="E329" s="108" t="s">
        <v>269</v>
      </c>
      <c r="F329" s="108" t="s">
        <v>188</v>
      </c>
      <c r="G329" s="108" t="s">
        <v>187</v>
      </c>
      <c r="H329" s="110">
        <v>46105.854166666664</v>
      </c>
      <c r="I329" s="108" t="s">
        <v>537</v>
      </c>
    </row>
    <row r="330" spans="1:9" ht="14.5" x14ac:dyDescent="0.35">
      <c r="A330" t="str">
        <f t="shared" si="5"/>
        <v>E2025328</v>
      </c>
      <c r="B330" s="108" t="s">
        <v>268</v>
      </c>
      <c r="C330" s="109">
        <v>328</v>
      </c>
      <c r="D330" s="109">
        <v>33</v>
      </c>
      <c r="E330" s="108" t="s">
        <v>269</v>
      </c>
      <c r="F330" s="108" t="s">
        <v>195</v>
      </c>
      <c r="G330" s="108" t="s">
        <v>191</v>
      </c>
      <c r="H330" s="110">
        <v>46105.864583333336</v>
      </c>
      <c r="I330" s="108" t="s">
        <v>539</v>
      </c>
    </row>
    <row r="331" spans="1:9" ht="14.5" x14ac:dyDescent="0.35">
      <c r="A331" t="str">
        <f t="shared" si="5"/>
        <v>E2025329</v>
      </c>
      <c r="B331" s="108" t="s">
        <v>268</v>
      </c>
      <c r="C331" s="109">
        <v>329</v>
      </c>
      <c r="D331" s="109">
        <v>33</v>
      </c>
      <c r="E331" s="108" t="s">
        <v>269</v>
      </c>
      <c r="F331" s="108" t="s">
        <v>196</v>
      </c>
      <c r="G331" s="108" t="s">
        <v>186</v>
      </c>
      <c r="H331" s="110">
        <v>46105.833333333336</v>
      </c>
      <c r="I331" s="108" t="s">
        <v>535</v>
      </c>
    </row>
    <row r="332" spans="1:9" ht="14.5" x14ac:dyDescent="0.35">
      <c r="A332" t="str">
        <f t="shared" si="5"/>
        <v>E2025330</v>
      </c>
      <c r="B332" s="108" t="s">
        <v>268</v>
      </c>
      <c r="C332" s="109">
        <v>330</v>
      </c>
      <c r="D332" s="109">
        <v>33</v>
      </c>
      <c r="E332" s="108" t="s">
        <v>269</v>
      </c>
      <c r="F332" s="108" t="s">
        <v>179</v>
      </c>
      <c r="G332" s="108" t="s">
        <v>192</v>
      </c>
      <c r="H332" s="110">
        <v>46106.854166666664</v>
      </c>
      <c r="I332" s="108" t="s">
        <v>540</v>
      </c>
    </row>
    <row r="333" spans="1:9" ht="14.5" x14ac:dyDescent="0.35">
      <c r="A333" t="str">
        <f t="shared" si="5"/>
        <v>E2025331</v>
      </c>
      <c r="B333" s="108" t="s">
        <v>268</v>
      </c>
      <c r="C333" s="109">
        <v>331</v>
      </c>
      <c r="D333" s="109">
        <v>34</v>
      </c>
      <c r="E333" s="108" t="s">
        <v>269</v>
      </c>
      <c r="F333" s="108" t="s">
        <v>185</v>
      </c>
      <c r="G333" s="108" t="s">
        <v>195</v>
      </c>
      <c r="H333" s="110">
        <v>46107.854166666664</v>
      </c>
      <c r="I333" s="108" t="s">
        <v>541</v>
      </c>
    </row>
    <row r="334" spans="1:9" ht="14.5" x14ac:dyDescent="0.35">
      <c r="A334" t="str">
        <f t="shared" si="5"/>
        <v>E2025332</v>
      </c>
      <c r="B334" s="108" t="s">
        <v>268</v>
      </c>
      <c r="C334" s="109">
        <v>332</v>
      </c>
      <c r="D334" s="109">
        <v>34</v>
      </c>
      <c r="E334" s="108" t="s">
        <v>269</v>
      </c>
      <c r="F334" s="108" t="s">
        <v>186</v>
      </c>
      <c r="G334" s="108" t="s">
        <v>177</v>
      </c>
      <c r="H334" s="110">
        <v>46107.854166666664</v>
      </c>
      <c r="I334" s="108" t="s">
        <v>541</v>
      </c>
    </row>
    <row r="335" spans="1:9" ht="14.5" x14ac:dyDescent="0.35">
      <c r="A335" t="str">
        <f t="shared" si="5"/>
        <v>E2025333</v>
      </c>
      <c r="B335" s="108" t="s">
        <v>268</v>
      </c>
      <c r="C335" s="109">
        <v>333</v>
      </c>
      <c r="D335" s="109">
        <v>34</v>
      </c>
      <c r="E335" s="108" t="s">
        <v>269</v>
      </c>
      <c r="F335" s="108" t="s">
        <v>193</v>
      </c>
      <c r="G335" s="108" t="s">
        <v>180</v>
      </c>
      <c r="H335" s="110">
        <v>46107.836805555555</v>
      </c>
      <c r="I335" s="108" t="s">
        <v>542</v>
      </c>
    </row>
    <row r="336" spans="1:9" ht="14.5" x14ac:dyDescent="0.35">
      <c r="A336" t="str">
        <f t="shared" si="5"/>
        <v>E2025334</v>
      </c>
      <c r="B336" s="108" t="s">
        <v>268</v>
      </c>
      <c r="C336" s="109">
        <v>334</v>
      </c>
      <c r="D336" s="109">
        <v>34</v>
      </c>
      <c r="E336" s="108" t="s">
        <v>269</v>
      </c>
      <c r="F336" s="108" t="s">
        <v>191</v>
      </c>
      <c r="G336" s="108" t="s">
        <v>187</v>
      </c>
      <c r="H336" s="110">
        <v>46091.864583333336</v>
      </c>
      <c r="I336" s="108" t="s">
        <v>543</v>
      </c>
    </row>
    <row r="337" spans="1:9" ht="14.5" x14ac:dyDescent="0.35">
      <c r="A337" t="str">
        <f t="shared" si="5"/>
        <v>E2025335</v>
      </c>
      <c r="B337" s="108" t="s">
        <v>268</v>
      </c>
      <c r="C337" s="109">
        <v>335</v>
      </c>
      <c r="D337" s="109">
        <v>34</v>
      </c>
      <c r="E337" s="108" t="s">
        <v>269</v>
      </c>
      <c r="F337" s="108" t="s">
        <v>183</v>
      </c>
      <c r="G337" s="108" t="s">
        <v>182</v>
      </c>
      <c r="H337" s="110">
        <v>46107.864583333336</v>
      </c>
      <c r="I337" s="108" t="s">
        <v>544</v>
      </c>
    </row>
    <row r="338" spans="1:9" ht="14.5" x14ac:dyDescent="0.35">
      <c r="A338" t="str">
        <f t="shared" si="5"/>
        <v>E2025336</v>
      </c>
      <c r="B338" s="108" t="s">
        <v>268</v>
      </c>
      <c r="C338" s="109">
        <v>336</v>
      </c>
      <c r="D338" s="109">
        <v>34</v>
      </c>
      <c r="E338" s="108" t="s">
        <v>269</v>
      </c>
      <c r="F338" s="108" t="s">
        <v>179</v>
      </c>
      <c r="G338" s="108" t="s">
        <v>181</v>
      </c>
      <c r="H338" s="110">
        <v>46108.854166666664</v>
      </c>
      <c r="I338" s="108" t="s">
        <v>545</v>
      </c>
    </row>
    <row r="339" spans="1:9" ht="14.5" x14ac:dyDescent="0.35">
      <c r="A339" t="str">
        <f t="shared" si="5"/>
        <v>E2025337</v>
      </c>
      <c r="B339" s="108" t="s">
        <v>268</v>
      </c>
      <c r="C339" s="109">
        <v>337</v>
      </c>
      <c r="D339" s="109">
        <v>34</v>
      </c>
      <c r="E339" s="108" t="s">
        <v>269</v>
      </c>
      <c r="F339" s="108" t="s">
        <v>178</v>
      </c>
      <c r="G339" s="108" t="s">
        <v>192</v>
      </c>
      <c r="H339" s="110">
        <v>46108.854166666664</v>
      </c>
      <c r="I339" s="108" t="s">
        <v>545</v>
      </c>
    </row>
    <row r="340" spans="1:9" ht="14.5" x14ac:dyDescent="0.35">
      <c r="A340" t="str">
        <f t="shared" si="5"/>
        <v>E2025338</v>
      </c>
      <c r="B340" s="108" t="s">
        <v>268</v>
      </c>
      <c r="C340" s="109">
        <v>338</v>
      </c>
      <c r="D340" s="109">
        <v>34</v>
      </c>
      <c r="E340" s="108" t="s">
        <v>269</v>
      </c>
      <c r="F340" s="108" t="s">
        <v>194</v>
      </c>
      <c r="G340" s="108" t="s">
        <v>196</v>
      </c>
      <c r="H340" s="110">
        <v>46108.864583333336</v>
      </c>
      <c r="I340" s="108" t="s">
        <v>546</v>
      </c>
    </row>
    <row r="341" spans="1:9" ht="14.5" x14ac:dyDescent="0.35">
      <c r="A341" t="str">
        <f t="shared" si="5"/>
        <v>E2025339</v>
      </c>
      <c r="B341" s="108" t="s">
        <v>268</v>
      </c>
      <c r="C341" s="109">
        <v>339</v>
      </c>
      <c r="D341" s="109">
        <v>34</v>
      </c>
      <c r="E341" s="108" t="s">
        <v>269</v>
      </c>
      <c r="F341" s="108" t="s">
        <v>189</v>
      </c>
      <c r="G341" s="108" t="s">
        <v>184</v>
      </c>
      <c r="H341" s="110">
        <v>46108.885416666664</v>
      </c>
      <c r="I341" s="108" t="s">
        <v>547</v>
      </c>
    </row>
    <row r="342" spans="1:9" ht="14.5" x14ac:dyDescent="0.35">
      <c r="A342" t="str">
        <f t="shared" si="5"/>
        <v>E2025340</v>
      </c>
      <c r="B342" s="108" t="s">
        <v>268</v>
      </c>
      <c r="C342" s="109">
        <v>340</v>
      </c>
      <c r="D342" s="109">
        <v>34</v>
      </c>
      <c r="E342" s="108" t="s">
        <v>269</v>
      </c>
      <c r="F342" s="108" t="s">
        <v>190</v>
      </c>
      <c r="G342" s="108" t="s">
        <v>188</v>
      </c>
      <c r="H342" s="110">
        <v>46108.854166666664</v>
      </c>
      <c r="I342" s="108" t="s">
        <v>545</v>
      </c>
    </row>
    <row r="343" spans="1:9" ht="14.5" x14ac:dyDescent="0.35">
      <c r="A343" t="str">
        <f t="shared" si="5"/>
        <v>E2025341</v>
      </c>
      <c r="B343" s="108" t="s">
        <v>268</v>
      </c>
      <c r="C343" s="109">
        <v>341</v>
      </c>
      <c r="D343" s="109">
        <v>35</v>
      </c>
      <c r="E343" s="108" t="s">
        <v>269</v>
      </c>
      <c r="F343" s="108" t="s">
        <v>193</v>
      </c>
      <c r="G343" s="108" t="s">
        <v>182</v>
      </c>
      <c r="H343" s="110">
        <v>46113.864583333336</v>
      </c>
      <c r="I343" s="108" t="s">
        <v>548</v>
      </c>
    </row>
    <row r="344" spans="1:9" ht="14.5" x14ac:dyDescent="0.35">
      <c r="A344" t="str">
        <f t="shared" si="5"/>
        <v>E2025342</v>
      </c>
      <c r="B344" s="108" t="s">
        <v>268</v>
      </c>
      <c r="C344" s="109">
        <v>342</v>
      </c>
      <c r="D344" s="109">
        <v>35</v>
      </c>
      <c r="E344" s="108" t="s">
        <v>269</v>
      </c>
      <c r="F344" s="108" t="s">
        <v>192</v>
      </c>
      <c r="G344" s="108" t="s">
        <v>190</v>
      </c>
      <c r="H344" s="110">
        <v>46114.833333333336</v>
      </c>
      <c r="I344" s="108" t="s">
        <v>549</v>
      </c>
    </row>
    <row r="345" spans="1:9" ht="14.5" x14ac:dyDescent="0.35">
      <c r="A345" t="str">
        <f t="shared" si="5"/>
        <v>E2025343</v>
      </c>
      <c r="B345" s="108" t="s">
        <v>268</v>
      </c>
      <c r="C345" s="109">
        <v>343</v>
      </c>
      <c r="D345" s="109">
        <v>35</v>
      </c>
      <c r="E345" s="108" t="s">
        <v>269</v>
      </c>
      <c r="F345" s="108" t="s">
        <v>181</v>
      </c>
      <c r="G345" s="108" t="s">
        <v>189</v>
      </c>
      <c r="H345" s="110">
        <v>46114.833333333336</v>
      </c>
      <c r="I345" s="108" t="s">
        <v>550</v>
      </c>
    </row>
    <row r="346" spans="1:9" ht="14.5" x14ac:dyDescent="0.35">
      <c r="A346" t="str">
        <f t="shared" si="5"/>
        <v>E2025344</v>
      </c>
      <c r="B346" s="108" t="s">
        <v>268</v>
      </c>
      <c r="C346" s="109">
        <v>344</v>
      </c>
      <c r="D346" s="109">
        <v>35</v>
      </c>
      <c r="E346" s="108" t="s">
        <v>269</v>
      </c>
      <c r="F346" s="108" t="s">
        <v>191</v>
      </c>
      <c r="G346" s="108" t="s">
        <v>185</v>
      </c>
      <c r="H346" s="110">
        <v>46114.864583333336</v>
      </c>
      <c r="I346" s="108" t="s">
        <v>551</v>
      </c>
    </row>
    <row r="347" spans="1:9" ht="14.5" x14ac:dyDescent="0.35">
      <c r="A347" t="str">
        <f t="shared" si="5"/>
        <v>E2025345</v>
      </c>
      <c r="B347" s="108" t="s">
        <v>268</v>
      </c>
      <c r="C347" s="109">
        <v>345</v>
      </c>
      <c r="D347" s="109">
        <v>35</v>
      </c>
      <c r="E347" s="108" t="s">
        <v>269</v>
      </c>
      <c r="F347" s="108" t="s">
        <v>196</v>
      </c>
      <c r="G347" s="108" t="s">
        <v>178</v>
      </c>
      <c r="H347" s="110">
        <v>46114.833333333336</v>
      </c>
      <c r="I347" s="108" t="s">
        <v>550</v>
      </c>
    </row>
    <row r="348" spans="1:9" ht="14.5" x14ac:dyDescent="0.35">
      <c r="A348" t="str">
        <f t="shared" si="5"/>
        <v>E2025346</v>
      </c>
      <c r="B348" s="108" t="s">
        <v>268</v>
      </c>
      <c r="C348" s="109">
        <v>346</v>
      </c>
      <c r="D348" s="109">
        <v>35</v>
      </c>
      <c r="E348" s="108" t="s">
        <v>269</v>
      </c>
      <c r="F348" s="108" t="s">
        <v>179</v>
      </c>
      <c r="G348" s="108" t="s">
        <v>183</v>
      </c>
      <c r="H348" s="110">
        <v>46115.854166666664</v>
      </c>
      <c r="I348" s="108" t="s">
        <v>552</v>
      </c>
    </row>
    <row r="349" spans="1:9" ht="14.5" x14ac:dyDescent="0.35">
      <c r="A349" t="str">
        <f t="shared" si="5"/>
        <v>E2025347</v>
      </c>
      <c r="B349" s="108" t="s">
        <v>268</v>
      </c>
      <c r="C349" s="109">
        <v>347</v>
      </c>
      <c r="D349" s="109">
        <v>35</v>
      </c>
      <c r="E349" s="108" t="s">
        <v>269</v>
      </c>
      <c r="F349" s="108" t="s">
        <v>180</v>
      </c>
      <c r="G349" s="108" t="s">
        <v>184</v>
      </c>
      <c r="H349" s="110">
        <v>46115.833333333336</v>
      </c>
      <c r="I349" s="108" t="s">
        <v>553</v>
      </c>
    </row>
    <row r="350" spans="1:9" ht="14.5" x14ac:dyDescent="0.35">
      <c r="A350" t="str">
        <f t="shared" si="5"/>
        <v>E2025348</v>
      </c>
      <c r="B350" s="108" t="s">
        <v>268</v>
      </c>
      <c r="C350" s="109">
        <v>348</v>
      </c>
      <c r="D350" s="109">
        <v>35</v>
      </c>
      <c r="E350" s="108" t="s">
        <v>269</v>
      </c>
      <c r="F350" s="108" t="s">
        <v>186</v>
      </c>
      <c r="G350" s="108" t="s">
        <v>194</v>
      </c>
      <c r="H350" s="110">
        <v>46113.791666666664</v>
      </c>
      <c r="I350" s="108" t="s">
        <v>554</v>
      </c>
    </row>
    <row r="351" spans="1:9" ht="14.5" x14ac:dyDescent="0.35">
      <c r="A351" t="str">
        <f t="shared" si="5"/>
        <v>E2025349</v>
      </c>
      <c r="B351" s="108" t="s">
        <v>268</v>
      </c>
      <c r="C351" s="109">
        <v>349</v>
      </c>
      <c r="D351" s="109">
        <v>35</v>
      </c>
      <c r="E351" s="108" t="s">
        <v>269</v>
      </c>
      <c r="F351" s="108" t="s">
        <v>177</v>
      </c>
      <c r="G351" s="108" t="s">
        <v>187</v>
      </c>
      <c r="H351" s="110">
        <v>46115.833333333336</v>
      </c>
      <c r="I351" s="108" t="s">
        <v>555</v>
      </c>
    </row>
    <row r="352" spans="1:9" ht="14.5" x14ac:dyDescent="0.35">
      <c r="A352" t="str">
        <f t="shared" si="5"/>
        <v>E2025350</v>
      </c>
      <c r="B352" s="108" t="s">
        <v>268</v>
      </c>
      <c r="C352" s="109">
        <v>350</v>
      </c>
      <c r="D352" s="109">
        <v>35</v>
      </c>
      <c r="E352" s="108" t="s">
        <v>269</v>
      </c>
      <c r="F352" s="108" t="s">
        <v>195</v>
      </c>
      <c r="G352" s="108" t="s">
        <v>188</v>
      </c>
      <c r="H352" s="110">
        <v>46115.854166666664</v>
      </c>
      <c r="I352" s="108" t="s">
        <v>552</v>
      </c>
    </row>
    <row r="353" spans="1:9" ht="14.5" x14ac:dyDescent="0.35">
      <c r="A353" t="str">
        <f t="shared" si="5"/>
        <v>E2025351</v>
      </c>
      <c r="B353" s="108" t="s">
        <v>268</v>
      </c>
      <c r="C353" s="109">
        <v>351</v>
      </c>
      <c r="D353" s="109">
        <v>36</v>
      </c>
      <c r="E353" s="108" t="s">
        <v>269</v>
      </c>
      <c r="F353" s="108" t="s">
        <v>179</v>
      </c>
      <c r="G353" s="108" t="s">
        <v>193</v>
      </c>
      <c r="H353" s="110">
        <v>46119.875</v>
      </c>
      <c r="I353" s="108" t="s">
        <v>556</v>
      </c>
    </row>
    <row r="354" spans="1:9" ht="14.5" x14ac:dyDescent="0.35">
      <c r="A354" t="str">
        <f t="shared" si="5"/>
        <v>E2025352</v>
      </c>
      <c r="B354" s="108" t="s">
        <v>268</v>
      </c>
      <c r="C354" s="109">
        <v>352</v>
      </c>
      <c r="D354" s="109">
        <v>36</v>
      </c>
      <c r="E354" s="108" t="s">
        <v>269</v>
      </c>
      <c r="F354" s="108" t="s">
        <v>192</v>
      </c>
      <c r="G354" s="108" t="s">
        <v>191</v>
      </c>
      <c r="H354" s="110">
        <v>46119.833333333336</v>
      </c>
      <c r="I354" s="108" t="s">
        <v>557</v>
      </c>
    </row>
    <row r="355" spans="1:9" ht="14.5" x14ac:dyDescent="0.35">
      <c r="A355" t="str">
        <f t="shared" si="5"/>
        <v>E2025353</v>
      </c>
      <c r="B355" s="108" t="s">
        <v>268</v>
      </c>
      <c r="C355" s="109">
        <v>353</v>
      </c>
      <c r="D355" s="109">
        <v>36</v>
      </c>
      <c r="E355" s="108" t="s">
        <v>269</v>
      </c>
      <c r="F355" s="108" t="s">
        <v>178</v>
      </c>
      <c r="G355" s="108" t="s">
        <v>189</v>
      </c>
      <c r="H355" s="110">
        <v>46119.854166666664</v>
      </c>
      <c r="I355" s="108" t="s">
        <v>558</v>
      </c>
    </row>
    <row r="356" spans="1:9" ht="14.5" x14ac:dyDescent="0.35">
      <c r="A356" t="str">
        <f t="shared" si="5"/>
        <v>E2025354</v>
      </c>
      <c r="B356" s="108" t="s">
        <v>268</v>
      </c>
      <c r="C356" s="109">
        <v>354</v>
      </c>
      <c r="D356" s="109">
        <v>36</v>
      </c>
      <c r="E356" s="108" t="s">
        <v>269</v>
      </c>
      <c r="F356" s="108" t="s">
        <v>181</v>
      </c>
      <c r="G356" s="108" t="s">
        <v>194</v>
      </c>
      <c r="H356" s="110">
        <v>46119.822916666664</v>
      </c>
      <c r="I356" s="108" t="s">
        <v>559</v>
      </c>
    </row>
    <row r="357" spans="1:9" ht="14.5" x14ac:dyDescent="0.35">
      <c r="A357" t="str">
        <f t="shared" si="5"/>
        <v>E2025355</v>
      </c>
      <c r="B357" s="108" t="s">
        <v>268</v>
      </c>
      <c r="C357" s="109">
        <v>355</v>
      </c>
      <c r="D357" s="109">
        <v>36</v>
      </c>
      <c r="E357" s="108" t="s">
        <v>269</v>
      </c>
      <c r="F357" s="108" t="s">
        <v>187</v>
      </c>
      <c r="G357" s="108" t="s">
        <v>183</v>
      </c>
      <c r="H357" s="110">
        <v>46119.885416666664</v>
      </c>
      <c r="I357" s="108" t="s">
        <v>560</v>
      </c>
    </row>
    <row r="358" spans="1:9" ht="14.5" x14ac:dyDescent="0.35">
      <c r="A358" t="str">
        <f t="shared" si="5"/>
        <v>E2025356</v>
      </c>
      <c r="B358" s="108" t="s">
        <v>268</v>
      </c>
      <c r="C358" s="109">
        <v>356</v>
      </c>
      <c r="D358" s="109">
        <v>36</v>
      </c>
      <c r="E358" s="108" t="s">
        <v>269</v>
      </c>
      <c r="F358" s="108" t="s">
        <v>188</v>
      </c>
      <c r="G358" s="108" t="s">
        <v>185</v>
      </c>
      <c r="H358" s="110">
        <v>46119.854166666664</v>
      </c>
      <c r="I358" s="108" t="s">
        <v>558</v>
      </c>
    </row>
    <row r="359" spans="1:9" ht="14.5" x14ac:dyDescent="0.35">
      <c r="A359" t="str">
        <f t="shared" si="5"/>
        <v>E2025357</v>
      </c>
      <c r="B359" s="108" t="s">
        <v>268</v>
      </c>
      <c r="C359" s="109">
        <v>357</v>
      </c>
      <c r="D359" s="109">
        <v>36</v>
      </c>
      <c r="E359" s="108" t="s">
        <v>269</v>
      </c>
      <c r="F359" s="108" t="s">
        <v>195</v>
      </c>
      <c r="G359" s="108" t="s">
        <v>186</v>
      </c>
      <c r="H359" s="110">
        <v>46119.854166666664</v>
      </c>
      <c r="I359" s="108" t="s">
        <v>558</v>
      </c>
    </row>
    <row r="360" spans="1:9" ht="14.5" x14ac:dyDescent="0.35">
      <c r="A360" t="str">
        <f t="shared" si="5"/>
        <v>E2025358</v>
      </c>
      <c r="B360" s="108" t="s">
        <v>268</v>
      </c>
      <c r="C360" s="109">
        <v>358</v>
      </c>
      <c r="D360" s="109">
        <v>36</v>
      </c>
      <c r="E360" s="108" t="s">
        <v>269</v>
      </c>
      <c r="F360" s="108" t="s">
        <v>196</v>
      </c>
      <c r="G360" s="108" t="s">
        <v>180</v>
      </c>
      <c r="H360" s="110">
        <v>46119.833333333336</v>
      </c>
      <c r="I360" s="108" t="s">
        <v>561</v>
      </c>
    </row>
    <row r="361" spans="1:9" ht="14.5" x14ac:dyDescent="0.35">
      <c r="A361" t="str">
        <f t="shared" si="5"/>
        <v>E2025359</v>
      </c>
      <c r="B361" s="108" t="s">
        <v>268</v>
      </c>
      <c r="C361" s="109">
        <v>359</v>
      </c>
      <c r="D361" s="109">
        <v>36</v>
      </c>
      <c r="E361" s="108" t="s">
        <v>269</v>
      </c>
      <c r="F361" s="108" t="s">
        <v>182</v>
      </c>
      <c r="G361" s="108" t="s">
        <v>190</v>
      </c>
      <c r="H361" s="110">
        <v>46120.854166666664</v>
      </c>
      <c r="I361" s="108" t="s">
        <v>562</v>
      </c>
    </row>
    <row r="362" spans="1:9" ht="14.5" x14ac:dyDescent="0.35">
      <c r="A362" t="str">
        <f t="shared" si="5"/>
        <v>E2025360</v>
      </c>
      <c r="B362" s="108" t="s">
        <v>268</v>
      </c>
      <c r="C362" s="109">
        <v>360</v>
      </c>
      <c r="D362" s="109">
        <v>36</v>
      </c>
      <c r="E362" s="108" t="s">
        <v>269</v>
      </c>
      <c r="F362" s="108" t="s">
        <v>184</v>
      </c>
      <c r="G362" s="108" t="s">
        <v>177</v>
      </c>
      <c r="H362" s="110">
        <v>46120.8125</v>
      </c>
      <c r="I362" s="108" t="s">
        <v>562</v>
      </c>
    </row>
    <row r="363" spans="1:9" ht="14.5" x14ac:dyDescent="0.35">
      <c r="A363" t="str">
        <f t="shared" si="5"/>
        <v>E2025361</v>
      </c>
      <c r="B363" s="108" t="s">
        <v>268</v>
      </c>
      <c r="C363" s="109">
        <v>361</v>
      </c>
      <c r="D363" s="109">
        <v>37</v>
      </c>
      <c r="E363" s="108" t="s">
        <v>269</v>
      </c>
      <c r="F363" s="108" t="s">
        <v>185</v>
      </c>
      <c r="G363" s="108" t="s">
        <v>186</v>
      </c>
      <c r="H363" s="110">
        <v>46121.854166666664</v>
      </c>
      <c r="I363" s="108" t="s">
        <v>563</v>
      </c>
    </row>
    <row r="364" spans="1:9" ht="14.5" x14ac:dyDescent="0.35">
      <c r="A364" t="str">
        <f t="shared" si="5"/>
        <v>E2025362</v>
      </c>
      <c r="B364" s="108" t="s">
        <v>268</v>
      </c>
      <c r="C364" s="109">
        <v>362</v>
      </c>
      <c r="D364" s="109">
        <v>37</v>
      </c>
      <c r="E364" s="108" t="s">
        <v>269</v>
      </c>
      <c r="F364" s="108" t="s">
        <v>194</v>
      </c>
      <c r="G364" s="108" t="s">
        <v>183</v>
      </c>
      <c r="H364" s="110">
        <v>46121.864583333336</v>
      </c>
      <c r="I364" s="108" t="s">
        <v>564</v>
      </c>
    </row>
    <row r="365" spans="1:9" ht="14.5" x14ac:dyDescent="0.35">
      <c r="A365" t="str">
        <f t="shared" si="5"/>
        <v>E2025363</v>
      </c>
      <c r="B365" s="108" t="s">
        <v>268</v>
      </c>
      <c r="C365" s="109">
        <v>363</v>
      </c>
      <c r="D365" s="109">
        <v>37</v>
      </c>
      <c r="E365" s="108" t="s">
        <v>269</v>
      </c>
      <c r="F365" s="108" t="s">
        <v>181</v>
      </c>
      <c r="G365" s="108" t="s">
        <v>187</v>
      </c>
      <c r="H365" s="110">
        <v>46121.822916666664</v>
      </c>
      <c r="I365" s="108" t="s">
        <v>565</v>
      </c>
    </row>
    <row r="366" spans="1:9" ht="14.5" x14ac:dyDescent="0.35">
      <c r="A366" t="str">
        <f t="shared" si="5"/>
        <v>E2025364</v>
      </c>
      <c r="B366" s="108" t="s">
        <v>268</v>
      </c>
      <c r="C366" s="109">
        <v>364</v>
      </c>
      <c r="D366" s="109">
        <v>37</v>
      </c>
      <c r="E366" s="108" t="s">
        <v>269</v>
      </c>
      <c r="F366" s="108" t="s">
        <v>191</v>
      </c>
      <c r="G366" s="108" t="s">
        <v>193</v>
      </c>
      <c r="H366" s="110">
        <v>46121.875</v>
      </c>
      <c r="I366" s="108" t="s">
        <v>566</v>
      </c>
    </row>
    <row r="367" spans="1:9" ht="14.5" x14ac:dyDescent="0.35">
      <c r="A367" t="str">
        <f t="shared" si="5"/>
        <v>E2025365</v>
      </c>
      <c r="B367" s="108" t="s">
        <v>268</v>
      </c>
      <c r="C367" s="109">
        <v>365</v>
      </c>
      <c r="D367" s="109">
        <v>37</v>
      </c>
      <c r="E367" s="108" t="s">
        <v>269</v>
      </c>
      <c r="F367" s="108" t="s">
        <v>188</v>
      </c>
      <c r="G367" s="108" t="s">
        <v>189</v>
      </c>
      <c r="H367" s="110">
        <v>46121.864583333336</v>
      </c>
      <c r="I367" s="108" t="s">
        <v>567</v>
      </c>
    </row>
    <row r="368" spans="1:9" ht="14.5" x14ac:dyDescent="0.35">
      <c r="A368" t="str">
        <f t="shared" si="5"/>
        <v>E2025366</v>
      </c>
      <c r="B368" s="108" t="s">
        <v>268</v>
      </c>
      <c r="C368" s="109">
        <v>366</v>
      </c>
      <c r="D368" s="109">
        <v>37</v>
      </c>
      <c r="E368" s="108" t="s">
        <v>269</v>
      </c>
      <c r="F368" s="108" t="s">
        <v>184</v>
      </c>
      <c r="G368" s="108" t="s">
        <v>178</v>
      </c>
      <c r="H368" s="110">
        <v>46122.8125</v>
      </c>
      <c r="I368" s="108" t="s">
        <v>568</v>
      </c>
    </row>
    <row r="369" spans="1:9" ht="14.5" x14ac:dyDescent="0.35">
      <c r="A369" t="str">
        <f t="shared" si="5"/>
        <v>E2025367</v>
      </c>
      <c r="B369" s="108" t="s">
        <v>268</v>
      </c>
      <c r="C369" s="109">
        <v>367</v>
      </c>
      <c r="D369" s="109">
        <v>37</v>
      </c>
      <c r="E369" s="108" t="s">
        <v>269</v>
      </c>
      <c r="F369" s="108" t="s">
        <v>180</v>
      </c>
      <c r="G369" s="108" t="s">
        <v>182</v>
      </c>
      <c r="H369" s="110">
        <v>46122.833333333336</v>
      </c>
      <c r="I369" s="108" t="s">
        <v>569</v>
      </c>
    </row>
    <row r="370" spans="1:9" ht="14.5" x14ac:dyDescent="0.35">
      <c r="A370" t="str">
        <f t="shared" si="5"/>
        <v>E2025368</v>
      </c>
      <c r="B370" s="108" t="s">
        <v>268</v>
      </c>
      <c r="C370" s="109">
        <v>368</v>
      </c>
      <c r="D370" s="109">
        <v>37</v>
      </c>
      <c r="E370" s="108" t="s">
        <v>269</v>
      </c>
      <c r="F370" s="108" t="s">
        <v>177</v>
      </c>
      <c r="G370" s="108" t="s">
        <v>192</v>
      </c>
      <c r="H370" s="110">
        <v>46122.833333333336</v>
      </c>
      <c r="I370" s="108" t="s">
        <v>570</v>
      </c>
    </row>
    <row r="371" spans="1:9" ht="14.5" x14ac:dyDescent="0.35">
      <c r="A371" t="str">
        <f t="shared" si="5"/>
        <v>E2025369</v>
      </c>
      <c r="B371" s="108" t="s">
        <v>268</v>
      </c>
      <c r="C371" s="109">
        <v>369</v>
      </c>
      <c r="D371" s="109">
        <v>37</v>
      </c>
      <c r="E371" s="108" t="s">
        <v>269</v>
      </c>
      <c r="F371" s="108" t="s">
        <v>190</v>
      </c>
      <c r="G371" s="108" t="s">
        <v>196</v>
      </c>
      <c r="H371" s="110">
        <v>46122.854166666664</v>
      </c>
      <c r="I371" s="108" t="s">
        <v>571</v>
      </c>
    </row>
    <row r="372" spans="1:9" ht="14.5" x14ac:dyDescent="0.35">
      <c r="A372" t="str">
        <f t="shared" si="5"/>
        <v>E2025370</v>
      </c>
      <c r="B372" s="108" t="s">
        <v>268</v>
      </c>
      <c r="C372" s="109">
        <v>370</v>
      </c>
      <c r="D372" s="109">
        <v>37</v>
      </c>
      <c r="E372" s="108" t="s">
        <v>269</v>
      </c>
      <c r="F372" s="108" t="s">
        <v>195</v>
      </c>
      <c r="G372" s="108" t="s">
        <v>179</v>
      </c>
      <c r="H372" s="110">
        <v>46122.854166666664</v>
      </c>
      <c r="I372" s="108" t="s">
        <v>571</v>
      </c>
    </row>
    <row r="373" spans="1:9" ht="14.5" x14ac:dyDescent="0.35">
      <c r="A373" t="str">
        <f t="shared" si="5"/>
        <v>E2025371</v>
      </c>
      <c r="B373" s="108" t="s">
        <v>268</v>
      </c>
      <c r="C373" s="109">
        <v>371</v>
      </c>
      <c r="D373" s="109">
        <v>38</v>
      </c>
      <c r="E373" s="108" t="s">
        <v>269</v>
      </c>
      <c r="F373" s="108" t="s">
        <v>177</v>
      </c>
      <c r="G373" s="108" t="s">
        <v>194</v>
      </c>
      <c r="H373" s="110">
        <v>46128.833333333336</v>
      </c>
      <c r="I373" s="108" t="s">
        <v>572</v>
      </c>
    </row>
    <row r="374" spans="1:9" ht="14.5" x14ac:dyDescent="0.35">
      <c r="A374" t="str">
        <f t="shared" si="5"/>
        <v>E2025372</v>
      </c>
      <c r="B374" s="108" t="s">
        <v>268</v>
      </c>
      <c r="C374" s="109">
        <v>372</v>
      </c>
      <c r="D374" s="109">
        <v>38</v>
      </c>
      <c r="E374" s="108" t="s">
        <v>269</v>
      </c>
      <c r="F374" s="108" t="s">
        <v>193</v>
      </c>
      <c r="G374" s="108" t="s">
        <v>195</v>
      </c>
      <c r="H374" s="110">
        <v>46128.836805555555</v>
      </c>
      <c r="I374" s="108" t="s">
        <v>573</v>
      </c>
    </row>
    <row r="375" spans="1:9" ht="14.5" x14ac:dyDescent="0.35">
      <c r="A375" t="str">
        <f t="shared" si="5"/>
        <v>E2025373</v>
      </c>
      <c r="B375" s="108" t="s">
        <v>268</v>
      </c>
      <c r="C375" s="109">
        <v>373</v>
      </c>
      <c r="D375" s="109">
        <v>38</v>
      </c>
      <c r="E375" s="108" t="s">
        <v>269</v>
      </c>
      <c r="F375" s="108" t="s">
        <v>190</v>
      </c>
      <c r="G375" s="108" t="s">
        <v>179</v>
      </c>
      <c r="H375" s="110">
        <v>46128.854166666664</v>
      </c>
      <c r="I375" s="108" t="s">
        <v>574</v>
      </c>
    </row>
    <row r="376" spans="1:9" ht="14.5" x14ac:dyDescent="0.35">
      <c r="A376" t="str">
        <f t="shared" si="5"/>
        <v>E2025374</v>
      </c>
      <c r="B376" s="108" t="s">
        <v>268</v>
      </c>
      <c r="C376" s="109">
        <v>374</v>
      </c>
      <c r="D376" s="109">
        <v>38</v>
      </c>
      <c r="E376" s="108" t="s">
        <v>269</v>
      </c>
      <c r="F376" s="108" t="s">
        <v>183</v>
      </c>
      <c r="G376" s="108" t="s">
        <v>192</v>
      </c>
      <c r="H376" s="110">
        <v>46128.864583333336</v>
      </c>
      <c r="I376" s="108" t="s">
        <v>575</v>
      </c>
    </row>
    <row r="377" spans="1:9" ht="14.5" x14ac:dyDescent="0.35">
      <c r="A377" t="str">
        <f t="shared" si="5"/>
        <v>E2025375</v>
      </c>
      <c r="B377" s="108" t="s">
        <v>268</v>
      </c>
      <c r="C377" s="109">
        <v>375</v>
      </c>
      <c r="D377" s="109">
        <v>38</v>
      </c>
      <c r="E377" s="108" t="s">
        <v>269</v>
      </c>
      <c r="F377" s="108" t="s">
        <v>187</v>
      </c>
      <c r="G377" s="108" t="s">
        <v>185</v>
      </c>
      <c r="H377" s="110">
        <v>46128.885416666664</v>
      </c>
      <c r="I377" s="108" t="s">
        <v>576</v>
      </c>
    </row>
    <row r="378" spans="1:9" ht="14.5" x14ac:dyDescent="0.35">
      <c r="A378" t="str">
        <f t="shared" si="5"/>
        <v>E2025376</v>
      </c>
      <c r="B378" s="108" t="s">
        <v>268</v>
      </c>
      <c r="C378" s="109">
        <v>376</v>
      </c>
      <c r="D378" s="109">
        <v>38</v>
      </c>
      <c r="E378" s="108" t="s">
        <v>269</v>
      </c>
      <c r="F378" s="108" t="s">
        <v>189</v>
      </c>
      <c r="G378" s="108" t="s">
        <v>182</v>
      </c>
      <c r="H378" s="110">
        <v>46129.885416666664</v>
      </c>
      <c r="I378" s="108" t="s">
        <v>577</v>
      </c>
    </row>
    <row r="379" spans="1:9" ht="14.5" x14ac:dyDescent="0.35">
      <c r="A379" t="str">
        <f t="shared" si="5"/>
        <v>E2025377</v>
      </c>
      <c r="B379" s="108" t="s">
        <v>268</v>
      </c>
      <c r="C379" s="109">
        <v>377</v>
      </c>
      <c r="D379" s="109">
        <v>38</v>
      </c>
      <c r="E379" s="108" t="s">
        <v>269</v>
      </c>
      <c r="F379" s="108" t="s">
        <v>184</v>
      </c>
      <c r="G379" s="108" t="s">
        <v>181</v>
      </c>
      <c r="H379" s="110">
        <v>46129.8125</v>
      </c>
      <c r="I379" s="108" t="s">
        <v>578</v>
      </c>
    </row>
    <row r="380" spans="1:9" ht="14.5" x14ac:dyDescent="0.35">
      <c r="A380" t="str">
        <f t="shared" si="5"/>
        <v>E2025378</v>
      </c>
      <c r="B380" s="108" t="s">
        <v>268</v>
      </c>
      <c r="C380" s="109">
        <v>378</v>
      </c>
      <c r="D380" s="109">
        <v>38</v>
      </c>
      <c r="E380" s="108" t="s">
        <v>269</v>
      </c>
      <c r="F380" s="108" t="s">
        <v>180</v>
      </c>
      <c r="G380" s="108" t="s">
        <v>188</v>
      </c>
      <c r="H380" s="110">
        <v>46129.833333333336</v>
      </c>
      <c r="I380" s="108" t="s">
        <v>579</v>
      </c>
    </row>
    <row r="381" spans="1:9" ht="14.5" x14ac:dyDescent="0.35">
      <c r="A381" t="str">
        <f t="shared" si="5"/>
        <v>E2025379</v>
      </c>
      <c r="B381" s="108" t="s">
        <v>268</v>
      </c>
      <c r="C381" s="109">
        <v>379</v>
      </c>
      <c r="D381" s="109">
        <v>38</v>
      </c>
      <c r="E381" s="108" t="s">
        <v>269</v>
      </c>
      <c r="F381" s="108" t="s">
        <v>178</v>
      </c>
      <c r="G381" s="108" t="s">
        <v>186</v>
      </c>
      <c r="H381" s="110">
        <v>46129.854166666664</v>
      </c>
      <c r="I381" s="108" t="s">
        <v>580</v>
      </c>
    </row>
    <row r="382" spans="1:9" ht="14.5" x14ac:dyDescent="0.35">
      <c r="A382" t="str">
        <f t="shared" si="5"/>
        <v>E2025380</v>
      </c>
      <c r="B382" s="108" t="s">
        <v>268</v>
      </c>
      <c r="C382" s="109">
        <v>380</v>
      </c>
      <c r="D382" s="109">
        <v>38</v>
      </c>
      <c r="E382" s="108" t="s">
        <v>269</v>
      </c>
      <c r="F382" s="108" t="s">
        <v>196</v>
      </c>
      <c r="G382" s="108" t="s">
        <v>191</v>
      </c>
      <c r="H382" s="110">
        <v>46129.833333333336</v>
      </c>
      <c r="I382" s="108" t="s">
        <v>581</v>
      </c>
    </row>
    <row r="383" spans="1:9" ht="14.5" x14ac:dyDescent="0.35">
      <c r="A383" t="str">
        <f t="shared" si="5"/>
        <v>U2025001</v>
      </c>
      <c r="B383" s="111" t="s">
        <v>582</v>
      </c>
      <c r="C383" s="112">
        <v>1</v>
      </c>
      <c r="D383" s="112">
        <v>1</v>
      </c>
      <c r="E383" s="111" t="s">
        <v>269</v>
      </c>
      <c r="F383" s="111" t="s">
        <v>216</v>
      </c>
      <c r="G383" s="111" t="s">
        <v>205</v>
      </c>
      <c r="H383" s="113">
        <v>45930.791666666664</v>
      </c>
      <c r="I383" s="111" t="s">
        <v>583</v>
      </c>
    </row>
    <row r="384" spans="1:9" ht="14.5" x14ac:dyDescent="0.35">
      <c r="A384" t="str">
        <f t="shared" si="5"/>
        <v>U2025002</v>
      </c>
      <c r="B384" s="111" t="s">
        <v>582</v>
      </c>
      <c r="C384" s="112">
        <v>2</v>
      </c>
      <c r="D384" s="112">
        <v>1</v>
      </c>
      <c r="E384" s="111" t="s">
        <v>269</v>
      </c>
      <c r="F384" s="111" t="s">
        <v>202</v>
      </c>
      <c r="G384" s="111" t="s">
        <v>198</v>
      </c>
      <c r="H384" s="113">
        <v>45931.791666666664</v>
      </c>
      <c r="I384" s="111" t="s">
        <v>584</v>
      </c>
    </row>
    <row r="385" spans="1:9" ht="14.5" x14ac:dyDescent="0.35">
      <c r="A385" t="str">
        <f t="shared" si="5"/>
        <v>U2025003</v>
      </c>
      <c r="B385" s="111" t="s">
        <v>582</v>
      </c>
      <c r="C385" s="112">
        <v>3</v>
      </c>
      <c r="D385" s="112">
        <v>1</v>
      </c>
      <c r="E385" s="111" t="s">
        <v>269</v>
      </c>
      <c r="F385" s="111" t="s">
        <v>215</v>
      </c>
      <c r="G385" s="111" t="s">
        <v>197</v>
      </c>
      <c r="H385" s="113">
        <v>45930.833333333336</v>
      </c>
      <c r="I385" s="111" t="s">
        <v>272</v>
      </c>
    </row>
    <row r="386" spans="1:9" ht="14.5" x14ac:dyDescent="0.35">
      <c r="A386" t="str">
        <f t="shared" si="5"/>
        <v>U2025004</v>
      </c>
      <c r="B386" s="111" t="s">
        <v>582</v>
      </c>
      <c r="C386" s="112">
        <v>4</v>
      </c>
      <c r="D386" s="112">
        <v>1</v>
      </c>
      <c r="E386" s="111" t="s">
        <v>269</v>
      </c>
      <c r="F386" s="111" t="s">
        <v>203</v>
      </c>
      <c r="G386" s="111" t="s">
        <v>204</v>
      </c>
      <c r="H386" s="113">
        <v>45930.8125</v>
      </c>
      <c r="I386" s="111" t="s">
        <v>585</v>
      </c>
    </row>
    <row r="387" spans="1:9" ht="14.5" x14ac:dyDescent="0.35">
      <c r="A387" t="str">
        <f t="shared" si="5"/>
        <v>U2025005</v>
      </c>
      <c r="B387" s="111" t="s">
        <v>582</v>
      </c>
      <c r="C387" s="112">
        <v>5</v>
      </c>
      <c r="D387" s="112">
        <v>1</v>
      </c>
      <c r="E387" s="111" t="s">
        <v>269</v>
      </c>
      <c r="F387" s="111" t="s">
        <v>206</v>
      </c>
      <c r="G387" s="111" t="s">
        <v>209</v>
      </c>
      <c r="H387" s="113">
        <v>45931.770833333336</v>
      </c>
      <c r="I387" s="111" t="s">
        <v>586</v>
      </c>
    </row>
    <row r="388" spans="1:9" ht="14.5" x14ac:dyDescent="0.3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5" x14ac:dyDescent="0.35">
      <c r="A389" t="str">
        <f t="shared" si="6"/>
        <v>U2025007</v>
      </c>
      <c r="B389" s="111" t="s">
        <v>582</v>
      </c>
      <c r="C389" s="112">
        <v>7</v>
      </c>
      <c r="D389" s="112">
        <v>1</v>
      </c>
      <c r="E389" s="111" t="s">
        <v>269</v>
      </c>
      <c r="F389" s="111" t="s">
        <v>212</v>
      </c>
      <c r="G389" s="111" t="s">
        <v>200</v>
      </c>
      <c r="H389" s="113">
        <v>45931.833333333336</v>
      </c>
      <c r="I389" s="111" t="s">
        <v>278</v>
      </c>
    </row>
    <row r="390" spans="1:9" ht="14.5" x14ac:dyDescent="0.35">
      <c r="A390" t="str">
        <f t="shared" si="6"/>
        <v>U2025008</v>
      </c>
      <c r="B390" s="111" t="s">
        <v>582</v>
      </c>
      <c r="C390" s="112">
        <v>8</v>
      </c>
      <c r="D390" s="112">
        <v>1</v>
      </c>
      <c r="E390" s="111" t="s">
        <v>269</v>
      </c>
      <c r="F390" s="111" t="s">
        <v>213</v>
      </c>
      <c r="G390" s="111" t="s">
        <v>214</v>
      </c>
      <c r="H390" s="113">
        <v>45930.791666666664</v>
      </c>
      <c r="I390" s="111" t="s">
        <v>273</v>
      </c>
    </row>
    <row r="391" spans="1:9" ht="14.5" x14ac:dyDescent="0.35">
      <c r="A391" t="str">
        <f t="shared" si="6"/>
        <v>U2025009</v>
      </c>
      <c r="B391" s="111" t="s">
        <v>582</v>
      </c>
      <c r="C391" s="112">
        <v>9</v>
      </c>
      <c r="D391" s="112">
        <v>1</v>
      </c>
      <c r="E391" s="111" t="s">
        <v>269</v>
      </c>
      <c r="F391" s="111" t="s">
        <v>211</v>
      </c>
      <c r="G391" s="111" t="s">
        <v>210</v>
      </c>
      <c r="H391" s="113">
        <v>45931.8125</v>
      </c>
      <c r="I391" s="111" t="s">
        <v>586</v>
      </c>
    </row>
    <row r="392" spans="1:9" ht="14.5" x14ac:dyDescent="0.35">
      <c r="A392" t="str">
        <f t="shared" si="6"/>
        <v>U2025010</v>
      </c>
      <c r="B392" s="111" t="s">
        <v>582</v>
      </c>
      <c r="C392" s="112">
        <v>10</v>
      </c>
      <c r="D392" s="112">
        <v>1</v>
      </c>
      <c r="E392" s="111" t="s">
        <v>269</v>
      </c>
      <c r="F392" s="111" t="s">
        <v>207</v>
      </c>
      <c r="G392" s="111" t="s">
        <v>199</v>
      </c>
      <c r="H392" s="113">
        <v>45931.791666666664</v>
      </c>
      <c r="I392" s="111" t="s">
        <v>584</v>
      </c>
    </row>
    <row r="393" spans="1:9" ht="14.5" x14ac:dyDescent="0.35">
      <c r="A393" t="str">
        <f t="shared" si="6"/>
        <v>U2025011</v>
      </c>
      <c r="B393" s="111" t="s">
        <v>582</v>
      </c>
      <c r="C393" s="112">
        <v>11</v>
      </c>
      <c r="D393" s="112">
        <v>2</v>
      </c>
      <c r="E393" s="111" t="s">
        <v>269</v>
      </c>
      <c r="F393" s="111" t="s">
        <v>209</v>
      </c>
      <c r="G393" s="111" t="s">
        <v>216</v>
      </c>
      <c r="H393" s="113">
        <v>45938.864583333336</v>
      </c>
      <c r="I393" s="111" t="s">
        <v>587</v>
      </c>
    </row>
    <row r="394" spans="1:9" ht="14.5" x14ac:dyDescent="0.35">
      <c r="A394" t="str">
        <f t="shared" si="6"/>
        <v>U2025012</v>
      </c>
      <c r="B394" s="111" t="s">
        <v>582</v>
      </c>
      <c r="C394" s="112">
        <v>12</v>
      </c>
      <c r="D394" s="112">
        <v>2</v>
      </c>
      <c r="E394" s="111" t="s">
        <v>269</v>
      </c>
      <c r="F394" s="111" t="s">
        <v>204</v>
      </c>
      <c r="G394" s="111" t="s">
        <v>206</v>
      </c>
      <c r="H394" s="113">
        <v>45938.833333333336</v>
      </c>
      <c r="I394" s="111" t="s">
        <v>588</v>
      </c>
    </row>
    <row r="395" spans="1:9" ht="14.5" x14ac:dyDescent="0.35">
      <c r="A395" t="str">
        <f t="shared" si="6"/>
        <v>U2025013</v>
      </c>
      <c r="B395" s="111" t="s">
        <v>582</v>
      </c>
      <c r="C395" s="112">
        <v>13</v>
      </c>
      <c r="D395" s="112">
        <v>2</v>
      </c>
      <c r="E395" s="111" t="s">
        <v>269</v>
      </c>
      <c r="F395" s="111" t="s">
        <v>197</v>
      </c>
      <c r="G395" s="111" t="s">
        <v>203</v>
      </c>
      <c r="H395" s="113">
        <v>45938.833333333336</v>
      </c>
      <c r="I395" s="111" t="s">
        <v>589</v>
      </c>
    </row>
    <row r="396" spans="1:9" ht="14.5" x14ac:dyDescent="0.35">
      <c r="A396" t="str">
        <f t="shared" si="6"/>
        <v>U2025014</v>
      </c>
      <c r="B396" s="111" t="s">
        <v>582</v>
      </c>
      <c r="C396" s="112">
        <v>14</v>
      </c>
      <c r="D396" s="112">
        <v>2</v>
      </c>
      <c r="E396" s="111" t="s">
        <v>269</v>
      </c>
      <c r="F396" s="111" t="s">
        <v>198</v>
      </c>
      <c r="G396" s="111" t="s">
        <v>215</v>
      </c>
      <c r="H396" s="113">
        <v>45938.791666666664</v>
      </c>
      <c r="I396" s="111" t="s">
        <v>590</v>
      </c>
    </row>
    <row r="397" spans="1:9" ht="14.5" x14ac:dyDescent="0.35">
      <c r="A397" t="str">
        <f t="shared" si="6"/>
        <v>U2025015</v>
      </c>
      <c r="B397" s="111" t="s">
        <v>582</v>
      </c>
      <c r="C397" s="112">
        <v>15</v>
      </c>
      <c r="D397" s="112">
        <v>2</v>
      </c>
      <c r="E397" s="111" t="s">
        <v>269</v>
      </c>
      <c r="F397" s="111" t="s">
        <v>205</v>
      </c>
      <c r="G397" s="111" t="s">
        <v>202</v>
      </c>
      <c r="H397" s="113">
        <v>45937.791666666664</v>
      </c>
      <c r="I397" s="111" t="s">
        <v>591</v>
      </c>
    </row>
    <row r="398" spans="1:9" ht="14.5" x14ac:dyDescent="0.35">
      <c r="A398" t="str">
        <f t="shared" si="6"/>
        <v>U2025016</v>
      </c>
      <c r="B398" s="111" t="s">
        <v>582</v>
      </c>
      <c r="C398" s="112">
        <v>16</v>
      </c>
      <c r="D398" s="112">
        <v>2</v>
      </c>
      <c r="E398" s="111" t="s">
        <v>269</v>
      </c>
      <c r="F398" s="111" t="s">
        <v>199</v>
      </c>
      <c r="G398" s="111" t="s">
        <v>208</v>
      </c>
      <c r="H398" s="113">
        <v>45937.833333333336</v>
      </c>
      <c r="I398" s="111" t="s">
        <v>592</v>
      </c>
    </row>
    <row r="399" spans="1:9" ht="14.5" x14ac:dyDescent="0.35">
      <c r="A399" t="str">
        <f t="shared" si="6"/>
        <v>U2025017</v>
      </c>
      <c r="B399" s="111" t="s">
        <v>582</v>
      </c>
      <c r="C399" s="112">
        <v>17</v>
      </c>
      <c r="D399" s="112">
        <v>2</v>
      </c>
      <c r="E399" s="111" t="s">
        <v>269</v>
      </c>
      <c r="F399" s="111" t="s">
        <v>210</v>
      </c>
      <c r="G399" s="111" t="s">
        <v>207</v>
      </c>
      <c r="H399" s="113">
        <v>45938.791666666664</v>
      </c>
      <c r="I399" s="111" t="s">
        <v>589</v>
      </c>
    </row>
    <row r="400" spans="1:9" ht="14.5" x14ac:dyDescent="0.35">
      <c r="A400" t="str">
        <f t="shared" si="6"/>
        <v>U2025018</v>
      </c>
      <c r="B400" s="111" t="s">
        <v>582</v>
      </c>
      <c r="C400" s="112">
        <v>18</v>
      </c>
      <c r="D400" s="112">
        <v>2</v>
      </c>
      <c r="E400" s="111" t="s">
        <v>269</v>
      </c>
      <c r="F400" s="111" t="s">
        <v>214</v>
      </c>
      <c r="G400" s="111" t="s">
        <v>211</v>
      </c>
      <c r="H400" s="113">
        <v>45937.791666666664</v>
      </c>
      <c r="I400" s="111" t="s">
        <v>592</v>
      </c>
    </row>
    <row r="401" spans="1:9" ht="14.5" x14ac:dyDescent="0.35">
      <c r="A401" t="str">
        <f t="shared" si="6"/>
        <v>U2025019</v>
      </c>
      <c r="B401" s="111" t="s">
        <v>582</v>
      </c>
      <c r="C401" s="112">
        <v>19</v>
      </c>
      <c r="D401" s="112">
        <v>2</v>
      </c>
      <c r="E401" s="111" t="s">
        <v>269</v>
      </c>
      <c r="F401" s="111" t="s">
        <v>200</v>
      </c>
      <c r="G401" s="111" t="s">
        <v>213</v>
      </c>
      <c r="H401" s="113">
        <v>45938.8125</v>
      </c>
      <c r="I401" s="111" t="s">
        <v>593</v>
      </c>
    </row>
    <row r="402" spans="1:9" ht="14.5" x14ac:dyDescent="0.35">
      <c r="A402" t="str">
        <f t="shared" si="6"/>
        <v>U2025020</v>
      </c>
      <c r="B402" s="111" t="s">
        <v>582</v>
      </c>
      <c r="C402" s="112">
        <v>20</v>
      </c>
      <c r="D402" s="112">
        <v>2</v>
      </c>
      <c r="E402" s="111" t="s">
        <v>269</v>
      </c>
      <c r="F402" s="111" t="s">
        <v>201</v>
      </c>
      <c r="G402" s="111" t="s">
        <v>212</v>
      </c>
      <c r="H402" s="113">
        <v>45938.833333333336</v>
      </c>
      <c r="I402" s="111" t="s">
        <v>588</v>
      </c>
    </row>
    <row r="403" spans="1:9" ht="14.5" x14ac:dyDescent="0.35">
      <c r="A403" t="str">
        <f t="shared" si="6"/>
        <v>U2025021</v>
      </c>
      <c r="B403" s="111" t="s">
        <v>582</v>
      </c>
      <c r="C403" s="112">
        <v>21</v>
      </c>
      <c r="D403" s="112">
        <v>3</v>
      </c>
      <c r="E403" s="111" t="s">
        <v>269</v>
      </c>
      <c r="F403" s="111" t="s">
        <v>216</v>
      </c>
      <c r="G403" s="111" t="s">
        <v>202</v>
      </c>
      <c r="H403" s="113">
        <v>45945.791666666664</v>
      </c>
      <c r="I403" s="111" t="s">
        <v>594</v>
      </c>
    </row>
    <row r="404" spans="1:9" ht="14.5" x14ac:dyDescent="0.35">
      <c r="A404" t="str">
        <f t="shared" si="6"/>
        <v>U2025022</v>
      </c>
      <c r="B404" s="111" t="s">
        <v>582</v>
      </c>
      <c r="C404" s="112">
        <v>22</v>
      </c>
      <c r="D404" s="112">
        <v>3</v>
      </c>
      <c r="E404" s="111" t="s">
        <v>269</v>
      </c>
      <c r="F404" s="111" t="s">
        <v>215</v>
      </c>
      <c r="G404" s="111" t="s">
        <v>205</v>
      </c>
      <c r="H404" s="113">
        <v>45945.833333333336</v>
      </c>
      <c r="I404" s="111" t="s">
        <v>595</v>
      </c>
    </row>
    <row r="405" spans="1:9" ht="14.5" x14ac:dyDescent="0.35">
      <c r="A405" t="str">
        <f t="shared" si="6"/>
        <v>U2025023</v>
      </c>
      <c r="B405" s="111" t="s">
        <v>582</v>
      </c>
      <c r="C405" s="112">
        <v>23</v>
      </c>
      <c r="D405" s="112">
        <v>3</v>
      </c>
      <c r="E405" s="111" t="s">
        <v>269</v>
      </c>
      <c r="F405" s="111" t="s">
        <v>203</v>
      </c>
      <c r="G405" s="111" t="s">
        <v>198</v>
      </c>
      <c r="H405" s="113">
        <v>45944.8125</v>
      </c>
      <c r="I405" s="111" t="s">
        <v>596</v>
      </c>
    </row>
    <row r="406" spans="1:9" ht="14.5" x14ac:dyDescent="0.35">
      <c r="A406" t="str">
        <f t="shared" si="6"/>
        <v>U2025024</v>
      </c>
      <c r="B406" s="111" t="s">
        <v>582</v>
      </c>
      <c r="C406" s="112">
        <v>24</v>
      </c>
      <c r="D406" s="112">
        <v>3</v>
      </c>
      <c r="E406" s="111" t="s">
        <v>269</v>
      </c>
      <c r="F406" s="111" t="s">
        <v>206</v>
      </c>
      <c r="G406" s="111" t="s">
        <v>197</v>
      </c>
      <c r="H406" s="113">
        <v>45944.770833333336</v>
      </c>
      <c r="I406" s="111" t="s">
        <v>597</v>
      </c>
    </row>
    <row r="407" spans="1:9" ht="14.5" x14ac:dyDescent="0.35">
      <c r="A407" t="str">
        <f t="shared" si="6"/>
        <v>U2025025</v>
      </c>
      <c r="B407" s="111" t="s">
        <v>582</v>
      </c>
      <c r="C407" s="112">
        <v>25</v>
      </c>
      <c r="D407" s="112">
        <v>3</v>
      </c>
      <c r="E407" s="111" t="s">
        <v>269</v>
      </c>
      <c r="F407" s="111" t="s">
        <v>209</v>
      </c>
      <c r="G407" s="111" t="s">
        <v>204</v>
      </c>
      <c r="H407" s="113">
        <v>45945.864583333336</v>
      </c>
      <c r="I407" s="111" t="s">
        <v>300</v>
      </c>
    </row>
    <row r="408" spans="1:9" ht="14.5" x14ac:dyDescent="0.35">
      <c r="A408" t="str">
        <f t="shared" si="6"/>
        <v>U2025026</v>
      </c>
      <c r="B408" s="111" t="s">
        <v>582</v>
      </c>
      <c r="C408" s="112">
        <v>26</v>
      </c>
      <c r="D408" s="112">
        <v>3</v>
      </c>
      <c r="E408" s="111" t="s">
        <v>269</v>
      </c>
      <c r="F408" s="111" t="s">
        <v>208</v>
      </c>
      <c r="G408" s="111" t="s">
        <v>212</v>
      </c>
      <c r="H408" s="113">
        <v>45946.8125</v>
      </c>
      <c r="I408" s="111" t="s">
        <v>598</v>
      </c>
    </row>
    <row r="409" spans="1:9" ht="14.5" x14ac:dyDescent="0.35">
      <c r="A409" t="str">
        <f t="shared" si="6"/>
        <v>U2025027</v>
      </c>
      <c r="B409" s="111" t="s">
        <v>582</v>
      </c>
      <c r="C409" s="112">
        <v>27</v>
      </c>
      <c r="D409" s="112">
        <v>3</v>
      </c>
      <c r="E409" s="111" t="s">
        <v>269</v>
      </c>
      <c r="F409" s="111" t="s">
        <v>213</v>
      </c>
      <c r="G409" s="111" t="s">
        <v>201</v>
      </c>
      <c r="H409" s="113">
        <v>45944.791666666664</v>
      </c>
      <c r="I409" s="111" t="s">
        <v>599</v>
      </c>
    </row>
    <row r="410" spans="1:9" ht="14.5" x14ac:dyDescent="0.35">
      <c r="A410" t="str">
        <f t="shared" si="6"/>
        <v>U2025028</v>
      </c>
      <c r="B410" s="111" t="s">
        <v>582</v>
      </c>
      <c r="C410" s="112">
        <v>28</v>
      </c>
      <c r="D410" s="112">
        <v>3</v>
      </c>
      <c r="E410" s="111" t="s">
        <v>269</v>
      </c>
      <c r="F410" s="111" t="s">
        <v>211</v>
      </c>
      <c r="G410" s="111" t="s">
        <v>200</v>
      </c>
      <c r="H410" s="113">
        <v>45945.8125</v>
      </c>
      <c r="I410" s="111" t="s">
        <v>600</v>
      </c>
    </row>
    <row r="411" spans="1:9" ht="14.5" x14ac:dyDescent="0.35">
      <c r="A411" t="str">
        <f t="shared" si="6"/>
        <v>U2025029</v>
      </c>
      <c r="B411" s="111" t="s">
        <v>582</v>
      </c>
      <c r="C411" s="112">
        <v>29</v>
      </c>
      <c r="D411" s="112">
        <v>3</v>
      </c>
      <c r="E411" s="111" t="s">
        <v>269</v>
      </c>
      <c r="F411" s="111" t="s">
        <v>207</v>
      </c>
      <c r="G411" s="111" t="s">
        <v>214</v>
      </c>
      <c r="H411" s="113">
        <v>45945.791666666664</v>
      </c>
      <c r="I411" s="111" t="s">
        <v>601</v>
      </c>
    </row>
    <row r="412" spans="1:9" ht="14.5" x14ac:dyDescent="0.35">
      <c r="A412" t="str">
        <f t="shared" si="6"/>
        <v>U2025030</v>
      </c>
      <c r="B412" s="111" t="s">
        <v>582</v>
      </c>
      <c r="C412" s="112">
        <v>30</v>
      </c>
      <c r="D412" s="112">
        <v>3</v>
      </c>
      <c r="E412" s="111" t="s">
        <v>269</v>
      </c>
      <c r="F412" s="111" t="s">
        <v>199</v>
      </c>
      <c r="G412" s="111" t="s">
        <v>210</v>
      </c>
      <c r="H412" s="113">
        <v>45945.833333333336</v>
      </c>
      <c r="I412" s="111" t="s">
        <v>594</v>
      </c>
    </row>
    <row r="413" spans="1:9" ht="14.5" x14ac:dyDescent="0.35">
      <c r="A413" t="str">
        <f t="shared" si="6"/>
        <v>U2025031</v>
      </c>
      <c r="B413" s="111" t="s">
        <v>582</v>
      </c>
      <c r="C413" s="112">
        <v>31</v>
      </c>
      <c r="D413" s="112">
        <v>4</v>
      </c>
      <c r="E413" s="111" t="s">
        <v>269</v>
      </c>
      <c r="F413" s="111" t="s">
        <v>204</v>
      </c>
      <c r="G413" s="111" t="s">
        <v>216</v>
      </c>
      <c r="H413" s="113">
        <v>45951.833333333336</v>
      </c>
      <c r="I413" s="111" t="s">
        <v>602</v>
      </c>
    </row>
    <row r="414" spans="1:9" ht="14.5" x14ac:dyDescent="0.35">
      <c r="A414" t="str">
        <f t="shared" si="6"/>
        <v>U2025032</v>
      </c>
      <c r="B414" s="111" t="s">
        <v>582</v>
      </c>
      <c r="C414" s="112">
        <v>32</v>
      </c>
      <c r="D414" s="112">
        <v>4</v>
      </c>
      <c r="E414" s="111" t="s">
        <v>269</v>
      </c>
      <c r="F414" s="111" t="s">
        <v>197</v>
      </c>
      <c r="G414" s="111" t="s">
        <v>209</v>
      </c>
      <c r="H414" s="113">
        <v>45951.833333333336</v>
      </c>
      <c r="I414" s="111" t="s">
        <v>603</v>
      </c>
    </row>
    <row r="415" spans="1:9" ht="14.5" x14ac:dyDescent="0.35">
      <c r="A415" t="str">
        <f t="shared" si="6"/>
        <v>U2025033</v>
      </c>
      <c r="B415" s="111" t="s">
        <v>582</v>
      </c>
      <c r="C415" s="112">
        <v>33</v>
      </c>
      <c r="D415" s="112">
        <v>4</v>
      </c>
      <c r="E415" s="111" t="s">
        <v>269</v>
      </c>
      <c r="F415" s="111" t="s">
        <v>198</v>
      </c>
      <c r="G415" s="111" t="s">
        <v>206</v>
      </c>
      <c r="H415" s="113">
        <v>45952.791666666664</v>
      </c>
      <c r="I415" s="111" t="s">
        <v>604</v>
      </c>
    </row>
    <row r="416" spans="1:9" ht="14.5" x14ac:dyDescent="0.35">
      <c r="A416" t="str">
        <f t="shared" si="6"/>
        <v>U2025034</v>
      </c>
      <c r="B416" s="111" t="s">
        <v>582</v>
      </c>
      <c r="C416" s="112">
        <v>34</v>
      </c>
      <c r="D416" s="112">
        <v>4</v>
      </c>
      <c r="E416" s="111" t="s">
        <v>269</v>
      </c>
      <c r="F416" s="111" t="s">
        <v>205</v>
      </c>
      <c r="G416" s="111" t="s">
        <v>203</v>
      </c>
      <c r="H416" s="113">
        <v>45951.791666666664</v>
      </c>
      <c r="I416" s="111" t="s">
        <v>605</v>
      </c>
    </row>
    <row r="417" spans="1:9" ht="14.5" x14ac:dyDescent="0.35">
      <c r="A417" t="str">
        <f t="shared" si="6"/>
        <v>U2025035</v>
      </c>
      <c r="B417" s="111" t="s">
        <v>582</v>
      </c>
      <c r="C417" s="112">
        <v>35</v>
      </c>
      <c r="D417" s="112">
        <v>4</v>
      </c>
      <c r="E417" s="111" t="s">
        <v>269</v>
      </c>
      <c r="F417" s="111" t="s">
        <v>202</v>
      </c>
      <c r="G417" s="111" t="s">
        <v>215</v>
      </c>
      <c r="H417" s="113">
        <v>45952.791666666664</v>
      </c>
      <c r="I417" s="111" t="s">
        <v>604</v>
      </c>
    </row>
    <row r="418" spans="1:9" ht="14.5" x14ac:dyDescent="0.35">
      <c r="A418" t="str">
        <f t="shared" si="6"/>
        <v>U2025036</v>
      </c>
      <c r="B418" s="111" t="s">
        <v>582</v>
      </c>
      <c r="C418" s="112">
        <v>36</v>
      </c>
      <c r="D418" s="112">
        <v>4</v>
      </c>
      <c r="E418" s="111" t="s">
        <v>269</v>
      </c>
      <c r="F418" s="111" t="s">
        <v>210</v>
      </c>
      <c r="G418" s="111" t="s">
        <v>208</v>
      </c>
      <c r="H418" s="113">
        <v>45952.791666666664</v>
      </c>
      <c r="I418" s="111" t="s">
        <v>606</v>
      </c>
    </row>
    <row r="419" spans="1:9" ht="14.5" x14ac:dyDescent="0.35">
      <c r="A419" t="str">
        <f t="shared" si="6"/>
        <v>U2025037</v>
      </c>
      <c r="B419" s="111" t="s">
        <v>582</v>
      </c>
      <c r="C419" s="112">
        <v>37</v>
      </c>
      <c r="D419" s="112">
        <v>4</v>
      </c>
      <c r="E419" s="111" t="s">
        <v>269</v>
      </c>
      <c r="F419" s="111" t="s">
        <v>214</v>
      </c>
      <c r="G419" s="111" t="s">
        <v>199</v>
      </c>
      <c r="H419" s="113">
        <v>45951.791666666664</v>
      </c>
      <c r="I419" s="111" t="s">
        <v>603</v>
      </c>
    </row>
    <row r="420" spans="1:9" ht="14.5" x14ac:dyDescent="0.35">
      <c r="A420" t="str">
        <f t="shared" si="6"/>
        <v>U2025038</v>
      </c>
      <c r="B420" s="111" t="s">
        <v>582</v>
      </c>
      <c r="C420" s="112">
        <v>38</v>
      </c>
      <c r="D420" s="112">
        <v>4</v>
      </c>
      <c r="E420" s="111" t="s">
        <v>269</v>
      </c>
      <c r="F420" s="111" t="s">
        <v>200</v>
      </c>
      <c r="G420" s="111" t="s">
        <v>207</v>
      </c>
      <c r="H420" s="113">
        <v>45952.8125</v>
      </c>
      <c r="I420" s="111" t="s">
        <v>607</v>
      </c>
    </row>
    <row r="421" spans="1:9" ht="14.5" x14ac:dyDescent="0.35">
      <c r="A421" t="str">
        <f t="shared" si="6"/>
        <v>U2025039</v>
      </c>
      <c r="B421" s="111" t="s">
        <v>582</v>
      </c>
      <c r="C421" s="112">
        <v>39</v>
      </c>
      <c r="D421" s="112">
        <v>4</v>
      </c>
      <c r="E421" s="111" t="s">
        <v>269</v>
      </c>
      <c r="F421" s="111" t="s">
        <v>201</v>
      </c>
      <c r="G421" s="111" t="s">
        <v>211</v>
      </c>
      <c r="H421" s="113">
        <v>45952.791666666664</v>
      </c>
      <c r="I421" s="111" t="s">
        <v>606</v>
      </c>
    </row>
    <row r="422" spans="1:9" ht="14.5" x14ac:dyDescent="0.35">
      <c r="A422" t="str">
        <f t="shared" si="6"/>
        <v>U2025040</v>
      </c>
      <c r="B422" s="111" t="s">
        <v>582</v>
      </c>
      <c r="C422" s="112">
        <v>40</v>
      </c>
      <c r="D422" s="112">
        <v>4</v>
      </c>
      <c r="E422" s="111" t="s">
        <v>269</v>
      </c>
      <c r="F422" s="111" t="s">
        <v>212</v>
      </c>
      <c r="G422" s="111" t="s">
        <v>213</v>
      </c>
      <c r="H422" s="113">
        <v>45952.833333333336</v>
      </c>
      <c r="I422" s="111" t="s">
        <v>608</v>
      </c>
    </row>
    <row r="423" spans="1:9" ht="14.5" x14ac:dyDescent="0.35">
      <c r="A423" t="str">
        <f t="shared" si="6"/>
        <v>U2025041</v>
      </c>
      <c r="B423" s="111" t="s">
        <v>582</v>
      </c>
      <c r="C423" s="112">
        <v>41</v>
      </c>
      <c r="D423" s="112">
        <v>5</v>
      </c>
      <c r="E423" s="111" t="s">
        <v>269</v>
      </c>
      <c r="F423" s="111" t="s">
        <v>216</v>
      </c>
      <c r="G423" s="111" t="s">
        <v>215</v>
      </c>
      <c r="H423" s="113">
        <v>45959.791666666664</v>
      </c>
      <c r="I423" s="111" t="s">
        <v>325</v>
      </c>
    </row>
    <row r="424" spans="1:9" ht="14.5" x14ac:dyDescent="0.35">
      <c r="A424" t="str">
        <f t="shared" si="6"/>
        <v>U2025042</v>
      </c>
      <c r="B424" s="111" t="s">
        <v>582</v>
      </c>
      <c r="C424" s="112">
        <v>42</v>
      </c>
      <c r="D424" s="112">
        <v>5</v>
      </c>
      <c r="E424" s="111" t="s">
        <v>269</v>
      </c>
      <c r="F424" s="111" t="s">
        <v>203</v>
      </c>
      <c r="G424" s="111" t="s">
        <v>202</v>
      </c>
      <c r="H424" s="113">
        <v>45958.8125</v>
      </c>
      <c r="I424" s="111" t="s">
        <v>609</v>
      </c>
    </row>
    <row r="425" spans="1:9" ht="14.5" x14ac:dyDescent="0.35">
      <c r="A425" t="str">
        <f t="shared" si="6"/>
        <v>U2025043</v>
      </c>
      <c r="B425" s="111" t="s">
        <v>582</v>
      </c>
      <c r="C425" s="112">
        <v>43</v>
      </c>
      <c r="D425" s="112">
        <v>5</v>
      </c>
      <c r="E425" s="111" t="s">
        <v>269</v>
      </c>
      <c r="F425" s="111" t="s">
        <v>206</v>
      </c>
      <c r="G425" s="111" t="s">
        <v>205</v>
      </c>
      <c r="H425" s="113">
        <v>45959.8125</v>
      </c>
      <c r="I425" s="111" t="s">
        <v>610</v>
      </c>
    </row>
    <row r="426" spans="1:9" ht="14.5" x14ac:dyDescent="0.35">
      <c r="A426" t="str">
        <f t="shared" si="6"/>
        <v>U2025044</v>
      </c>
      <c r="B426" s="111" t="s">
        <v>582</v>
      </c>
      <c r="C426" s="112">
        <v>44</v>
      </c>
      <c r="D426" s="112">
        <v>5</v>
      </c>
      <c r="E426" s="111" t="s">
        <v>269</v>
      </c>
      <c r="F426" s="111" t="s">
        <v>209</v>
      </c>
      <c r="G426" s="111" t="s">
        <v>198</v>
      </c>
      <c r="H426" s="113">
        <v>45959.864583333336</v>
      </c>
      <c r="I426" s="111" t="s">
        <v>611</v>
      </c>
    </row>
    <row r="427" spans="1:9" ht="14.5" x14ac:dyDescent="0.35">
      <c r="A427" t="str">
        <f t="shared" si="6"/>
        <v>U2025045</v>
      </c>
      <c r="B427" s="111" t="s">
        <v>582</v>
      </c>
      <c r="C427" s="112">
        <v>45</v>
      </c>
      <c r="D427" s="112">
        <v>5</v>
      </c>
      <c r="E427" s="111" t="s">
        <v>269</v>
      </c>
      <c r="F427" s="111" t="s">
        <v>204</v>
      </c>
      <c r="G427" s="111" t="s">
        <v>197</v>
      </c>
      <c r="H427" s="113">
        <v>45958.833333333336</v>
      </c>
      <c r="I427" s="111" t="s">
        <v>321</v>
      </c>
    </row>
    <row r="428" spans="1:9" ht="14.5" x14ac:dyDescent="0.35">
      <c r="A428" t="str">
        <f t="shared" si="6"/>
        <v>U2025046</v>
      </c>
      <c r="B428" s="111" t="s">
        <v>582</v>
      </c>
      <c r="C428" s="112">
        <v>46</v>
      </c>
      <c r="D428" s="112">
        <v>5</v>
      </c>
      <c r="E428" s="111" t="s">
        <v>269</v>
      </c>
      <c r="F428" s="111" t="s">
        <v>208</v>
      </c>
      <c r="G428" s="111" t="s">
        <v>213</v>
      </c>
      <c r="H428" s="113">
        <v>45959.8125</v>
      </c>
      <c r="I428" s="111" t="s">
        <v>612</v>
      </c>
    </row>
    <row r="429" spans="1:9" ht="14.5" x14ac:dyDescent="0.35">
      <c r="A429" t="str">
        <f t="shared" si="6"/>
        <v>U2025047</v>
      </c>
      <c r="B429" s="111" t="s">
        <v>582</v>
      </c>
      <c r="C429" s="112">
        <v>47</v>
      </c>
      <c r="D429" s="112">
        <v>5</v>
      </c>
      <c r="E429" s="111" t="s">
        <v>269</v>
      </c>
      <c r="F429" s="111" t="s">
        <v>211</v>
      </c>
      <c r="G429" s="111" t="s">
        <v>212</v>
      </c>
      <c r="H429" s="113">
        <v>45958.8125</v>
      </c>
      <c r="I429" s="111" t="s">
        <v>613</v>
      </c>
    </row>
    <row r="430" spans="1:9" ht="14.5" x14ac:dyDescent="0.35">
      <c r="A430" t="str">
        <f t="shared" si="6"/>
        <v>U2025048</v>
      </c>
      <c r="B430" s="111" t="s">
        <v>582</v>
      </c>
      <c r="C430" s="112">
        <v>48</v>
      </c>
      <c r="D430" s="112">
        <v>5</v>
      </c>
      <c r="E430" s="111" t="s">
        <v>269</v>
      </c>
      <c r="F430" s="111" t="s">
        <v>207</v>
      </c>
      <c r="G430" s="111" t="s">
        <v>201</v>
      </c>
      <c r="H430" s="113">
        <v>45959.791666666664</v>
      </c>
      <c r="I430" s="111" t="s">
        <v>614</v>
      </c>
    </row>
    <row r="431" spans="1:9" ht="14.5" x14ac:dyDescent="0.35">
      <c r="A431" t="str">
        <f t="shared" si="6"/>
        <v>U2025049</v>
      </c>
      <c r="B431" s="111" t="s">
        <v>582</v>
      </c>
      <c r="C431" s="112">
        <v>49</v>
      </c>
      <c r="D431" s="112">
        <v>5</v>
      </c>
      <c r="E431" s="111" t="s">
        <v>269</v>
      </c>
      <c r="F431" s="111" t="s">
        <v>199</v>
      </c>
      <c r="G431" s="111" t="s">
        <v>200</v>
      </c>
      <c r="H431" s="113">
        <v>45959.791666666664</v>
      </c>
      <c r="I431" s="111" t="s">
        <v>615</v>
      </c>
    </row>
    <row r="432" spans="1:9" ht="14.5" x14ac:dyDescent="0.35">
      <c r="A432" t="str">
        <f t="shared" si="6"/>
        <v>U2025050</v>
      </c>
      <c r="B432" s="111" t="s">
        <v>582</v>
      </c>
      <c r="C432" s="112">
        <v>50</v>
      </c>
      <c r="D432" s="112">
        <v>5</v>
      </c>
      <c r="E432" s="111" t="s">
        <v>269</v>
      </c>
      <c r="F432" s="111" t="s">
        <v>210</v>
      </c>
      <c r="G432" s="111" t="s">
        <v>214</v>
      </c>
      <c r="H432" s="113">
        <v>45959.791666666664</v>
      </c>
      <c r="I432" s="111" t="s">
        <v>325</v>
      </c>
    </row>
    <row r="433" spans="1:9" ht="14.5" x14ac:dyDescent="0.35">
      <c r="A433" t="str">
        <f t="shared" si="6"/>
        <v>U2025051</v>
      </c>
      <c r="B433" s="111" t="s">
        <v>582</v>
      </c>
      <c r="C433" s="112">
        <v>51</v>
      </c>
      <c r="D433" s="112">
        <v>6</v>
      </c>
      <c r="E433" s="111" t="s">
        <v>269</v>
      </c>
      <c r="F433" s="111" t="s">
        <v>197</v>
      </c>
      <c r="G433" s="111" t="s">
        <v>216</v>
      </c>
      <c r="H433" s="113">
        <v>45966.833333333336</v>
      </c>
      <c r="I433" s="111" t="s">
        <v>616</v>
      </c>
    </row>
    <row r="434" spans="1:9" ht="14.5" x14ac:dyDescent="0.35">
      <c r="A434" t="str">
        <f t="shared" si="6"/>
        <v>U2025052</v>
      </c>
      <c r="B434" s="111" t="s">
        <v>582</v>
      </c>
      <c r="C434" s="112">
        <v>52</v>
      </c>
      <c r="D434" s="112">
        <v>6</v>
      </c>
      <c r="E434" s="111" t="s">
        <v>269</v>
      </c>
      <c r="F434" s="111" t="s">
        <v>198</v>
      </c>
      <c r="G434" s="111" t="s">
        <v>204</v>
      </c>
      <c r="H434" s="113">
        <v>45966.791666666664</v>
      </c>
      <c r="I434" s="111" t="s">
        <v>617</v>
      </c>
    </row>
    <row r="435" spans="1:9" ht="14.5" x14ac:dyDescent="0.35">
      <c r="A435" t="str">
        <f t="shared" si="6"/>
        <v>U2025053</v>
      </c>
      <c r="B435" s="111" t="s">
        <v>582</v>
      </c>
      <c r="C435" s="112">
        <v>53</v>
      </c>
      <c r="D435" s="112">
        <v>6</v>
      </c>
      <c r="E435" s="111" t="s">
        <v>269</v>
      </c>
      <c r="F435" s="111" t="s">
        <v>205</v>
      </c>
      <c r="G435" s="111" t="s">
        <v>209</v>
      </c>
      <c r="H435" s="113">
        <v>45966.791666666664</v>
      </c>
      <c r="I435" s="111" t="s">
        <v>618</v>
      </c>
    </row>
    <row r="436" spans="1:9" ht="14.5" x14ac:dyDescent="0.35">
      <c r="A436" t="str">
        <f t="shared" si="6"/>
        <v>U2025054</v>
      </c>
      <c r="B436" s="111" t="s">
        <v>582</v>
      </c>
      <c r="C436" s="112">
        <v>54</v>
      </c>
      <c r="D436" s="112">
        <v>6</v>
      </c>
      <c r="E436" s="111" t="s">
        <v>269</v>
      </c>
      <c r="F436" s="111" t="s">
        <v>202</v>
      </c>
      <c r="G436" s="111" t="s">
        <v>206</v>
      </c>
      <c r="H436" s="113">
        <v>45966.791666666664</v>
      </c>
      <c r="I436" s="111" t="s">
        <v>618</v>
      </c>
    </row>
    <row r="437" spans="1:9" ht="14.5" x14ac:dyDescent="0.35">
      <c r="A437" t="str">
        <f t="shared" si="6"/>
        <v>U2025055</v>
      </c>
      <c r="B437" s="111" t="s">
        <v>582</v>
      </c>
      <c r="C437" s="112">
        <v>55</v>
      </c>
      <c r="D437" s="112">
        <v>6</v>
      </c>
      <c r="E437" s="111" t="s">
        <v>269</v>
      </c>
      <c r="F437" s="111" t="s">
        <v>215</v>
      </c>
      <c r="G437" s="111" t="s">
        <v>203</v>
      </c>
      <c r="H437" s="113">
        <v>45966.833333333336</v>
      </c>
      <c r="I437" s="111" t="s">
        <v>619</v>
      </c>
    </row>
    <row r="438" spans="1:9" ht="14.5" x14ac:dyDescent="0.35">
      <c r="A438" t="str">
        <f t="shared" si="6"/>
        <v>U2025056</v>
      </c>
      <c r="B438" s="111" t="s">
        <v>582</v>
      </c>
      <c r="C438" s="112">
        <v>56</v>
      </c>
      <c r="D438" s="112">
        <v>6</v>
      </c>
      <c r="E438" s="111" t="s">
        <v>269</v>
      </c>
      <c r="F438" s="111" t="s">
        <v>214</v>
      </c>
      <c r="G438" s="111" t="s">
        <v>208</v>
      </c>
      <c r="H438" s="113">
        <v>45966.791666666664</v>
      </c>
      <c r="I438" s="111" t="s">
        <v>616</v>
      </c>
    </row>
    <row r="439" spans="1:9" ht="14.5" x14ac:dyDescent="0.35">
      <c r="A439" t="str">
        <f t="shared" si="6"/>
        <v>U2025057</v>
      </c>
      <c r="B439" s="111" t="s">
        <v>582</v>
      </c>
      <c r="C439" s="112">
        <v>57</v>
      </c>
      <c r="D439" s="112">
        <v>6</v>
      </c>
      <c r="E439" s="111" t="s">
        <v>269</v>
      </c>
      <c r="F439" s="111" t="s">
        <v>200</v>
      </c>
      <c r="G439" s="111" t="s">
        <v>210</v>
      </c>
      <c r="H439" s="113">
        <v>45965.8125</v>
      </c>
      <c r="I439" s="111" t="s">
        <v>620</v>
      </c>
    </row>
    <row r="440" spans="1:9" ht="14.5" x14ac:dyDescent="0.35">
      <c r="A440" t="str">
        <f t="shared" si="6"/>
        <v>U2025058</v>
      </c>
      <c r="B440" s="111" t="s">
        <v>582</v>
      </c>
      <c r="C440" s="112">
        <v>58</v>
      </c>
      <c r="D440" s="112">
        <v>6</v>
      </c>
      <c r="E440" s="111" t="s">
        <v>269</v>
      </c>
      <c r="F440" s="111" t="s">
        <v>201</v>
      </c>
      <c r="G440" s="111" t="s">
        <v>199</v>
      </c>
      <c r="H440" s="113">
        <v>45965.791666666664</v>
      </c>
      <c r="I440" s="111" t="s">
        <v>621</v>
      </c>
    </row>
    <row r="441" spans="1:9" ht="14.5" x14ac:dyDescent="0.35">
      <c r="A441" t="str">
        <f t="shared" si="6"/>
        <v>U2025059</v>
      </c>
      <c r="B441" s="111" t="s">
        <v>582</v>
      </c>
      <c r="C441" s="112">
        <v>59</v>
      </c>
      <c r="D441" s="112">
        <v>6</v>
      </c>
      <c r="E441" s="111" t="s">
        <v>269</v>
      </c>
      <c r="F441" s="111" t="s">
        <v>212</v>
      </c>
      <c r="G441" s="111" t="s">
        <v>207</v>
      </c>
      <c r="H441" s="113">
        <v>45965.833333333336</v>
      </c>
      <c r="I441" s="111" t="s">
        <v>622</v>
      </c>
    </row>
    <row r="442" spans="1:9" ht="14.5" x14ac:dyDescent="0.35">
      <c r="A442" t="str">
        <f t="shared" si="6"/>
        <v>U2025060</v>
      </c>
      <c r="B442" s="111" t="s">
        <v>582</v>
      </c>
      <c r="C442" s="112">
        <v>60</v>
      </c>
      <c r="D442" s="112">
        <v>6</v>
      </c>
      <c r="E442" s="111" t="s">
        <v>269</v>
      </c>
      <c r="F442" s="111" t="s">
        <v>213</v>
      </c>
      <c r="G442" s="111" t="s">
        <v>211</v>
      </c>
      <c r="H442" s="113">
        <v>45965.791666666664</v>
      </c>
      <c r="I442" s="111" t="s">
        <v>623</v>
      </c>
    </row>
    <row r="443" spans="1:9" ht="14.5" x14ac:dyDescent="0.35">
      <c r="A443" t="str">
        <f t="shared" si="6"/>
        <v>U2025061</v>
      </c>
      <c r="B443" s="111" t="s">
        <v>582</v>
      </c>
      <c r="C443" s="112">
        <v>61</v>
      </c>
      <c r="D443" s="112">
        <v>7</v>
      </c>
      <c r="E443" s="111" t="s">
        <v>269</v>
      </c>
      <c r="F443" s="111" t="s">
        <v>216</v>
      </c>
      <c r="G443" s="111" t="s">
        <v>203</v>
      </c>
      <c r="H443" s="113">
        <v>45972.791666666664</v>
      </c>
      <c r="I443" s="111" t="s">
        <v>624</v>
      </c>
    </row>
    <row r="444" spans="1:9" ht="14.5" x14ac:dyDescent="0.35">
      <c r="A444" t="str">
        <f t="shared" si="6"/>
        <v>U2025062</v>
      </c>
      <c r="B444" s="111" t="s">
        <v>582</v>
      </c>
      <c r="C444" s="112">
        <v>62</v>
      </c>
      <c r="D444" s="112">
        <v>7</v>
      </c>
      <c r="E444" s="111" t="s">
        <v>269</v>
      </c>
      <c r="F444" s="111" t="s">
        <v>206</v>
      </c>
      <c r="G444" s="111" t="s">
        <v>215</v>
      </c>
      <c r="H444" s="113">
        <v>45973.770833333336</v>
      </c>
      <c r="I444" s="111" t="s">
        <v>625</v>
      </c>
    </row>
    <row r="445" spans="1:9" ht="14.5" x14ac:dyDescent="0.35">
      <c r="A445" t="str">
        <f t="shared" si="6"/>
        <v>U2025063</v>
      </c>
      <c r="B445" s="111" t="s">
        <v>582</v>
      </c>
      <c r="C445" s="112">
        <v>63</v>
      </c>
      <c r="D445" s="112">
        <v>7</v>
      </c>
      <c r="E445" s="111" t="s">
        <v>269</v>
      </c>
      <c r="F445" s="111" t="s">
        <v>202</v>
      </c>
      <c r="G445" s="111" t="s">
        <v>209</v>
      </c>
      <c r="H445" s="113">
        <v>45973.791666666664</v>
      </c>
      <c r="I445" s="111" t="s">
        <v>626</v>
      </c>
    </row>
    <row r="446" spans="1:9" ht="14.5" x14ac:dyDescent="0.35">
      <c r="A446" t="str">
        <f t="shared" si="6"/>
        <v>U2025064</v>
      </c>
      <c r="B446" s="111" t="s">
        <v>582</v>
      </c>
      <c r="C446" s="112">
        <v>64</v>
      </c>
      <c r="D446" s="112">
        <v>7</v>
      </c>
      <c r="E446" s="111" t="s">
        <v>269</v>
      </c>
      <c r="F446" s="111" t="s">
        <v>204</v>
      </c>
      <c r="G446" s="111" t="s">
        <v>205</v>
      </c>
      <c r="H446" s="113">
        <v>45972.854166666664</v>
      </c>
      <c r="I446" s="111" t="s">
        <v>347</v>
      </c>
    </row>
    <row r="447" spans="1:9" ht="14.5" x14ac:dyDescent="0.35">
      <c r="A447" t="str">
        <f t="shared" si="6"/>
        <v>U2025065</v>
      </c>
      <c r="B447" s="111" t="s">
        <v>582</v>
      </c>
      <c r="C447" s="112">
        <v>65</v>
      </c>
      <c r="D447" s="112">
        <v>7</v>
      </c>
      <c r="E447" s="111" t="s">
        <v>269</v>
      </c>
      <c r="F447" s="111" t="s">
        <v>197</v>
      </c>
      <c r="G447" s="111" t="s">
        <v>198</v>
      </c>
      <c r="H447" s="113">
        <v>45972.833333333336</v>
      </c>
      <c r="I447" s="111" t="s">
        <v>624</v>
      </c>
    </row>
    <row r="448" spans="1:9" ht="14.5" x14ac:dyDescent="0.35">
      <c r="A448" t="str">
        <f t="shared" si="6"/>
        <v>U2025066</v>
      </c>
      <c r="B448" s="111" t="s">
        <v>582</v>
      </c>
      <c r="C448" s="112">
        <v>66</v>
      </c>
      <c r="D448" s="112">
        <v>7</v>
      </c>
      <c r="E448" s="111" t="s">
        <v>269</v>
      </c>
      <c r="F448" s="111" t="s">
        <v>208</v>
      </c>
      <c r="G448" s="111" t="s">
        <v>211</v>
      </c>
      <c r="H448" s="113">
        <v>45973.8125</v>
      </c>
      <c r="I448" s="111" t="s">
        <v>349</v>
      </c>
    </row>
    <row r="449" spans="1:9" ht="14.5" x14ac:dyDescent="0.35">
      <c r="A449" t="str">
        <f t="shared" si="6"/>
        <v>U2025067</v>
      </c>
      <c r="B449" s="111" t="s">
        <v>582</v>
      </c>
      <c r="C449" s="112">
        <v>67</v>
      </c>
      <c r="D449" s="112">
        <v>7</v>
      </c>
      <c r="E449" s="111" t="s">
        <v>269</v>
      </c>
      <c r="F449" s="111" t="s">
        <v>207</v>
      </c>
      <c r="G449" s="111" t="s">
        <v>213</v>
      </c>
      <c r="H449" s="113">
        <v>45973.822916666664</v>
      </c>
      <c r="I449" s="111" t="s">
        <v>627</v>
      </c>
    </row>
    <row r="450" spans="1:9" ht="14.5" x14ac:dyDescent="0.35">
      <c r="A450" t="str">
        <f t="shared" si="6"/>
        <v>U2025068</v>
      </c>
      <c r="B450" s="111" t="s">
        <v>582</v>
      </c>
      <c r="C450" s="112">
        <v>68</v>
      </c>
      <c r="D450" s="112">
        <v>7</v>
      </c>
      <c r="E450" s="111" t="s">
        <v>269</v>
      </c>
      <c r="F450" s="111" t="s">
        <v>199</v>
      </c>
      <c r="G450" s="111" t="s">
        <v>212</v>
      </c>
      <c r="H450" s="113">
        <v>45973.833333333336</v>
      </c>
      <c r="I450" s="111" t="s">
        <v>626</v>
      </c>
    </row>
    <row r="451" spans="1:9" ht="14.5" x14ac:dyDescent="0.35">
      <c r="A451" t="str">
        <f t="shared" si="6"/>
        <v>U2025069</v>
      </c>
      <c r="B451" s="111" t="s">
        <v>582</v>
      </c>
      <c r="C451" s="112">
        <v>69</v>
      </c>
      <c r="D451" s="112">
        <v>7</v>
      </c>
      <c r="E451" s="111" t="s">
        <v>269</v>
      </c>
      <c r="F451" s="111" t="s">
        <v>210</v>
      </c>
      <c r="G451" s="111" t="s">
        <v>201</v>
      </c>
      <c r="H451" s="113">
        <v>45973.791666666664</v>
      </c>
      <c r="I451" s="111" t="s">
        <v>628</v>
      </c>
    </row>
    <row r="452" spans="1:9" ht="14.5" x14ac:dyDescent="0.3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5" x14ac:dyDescent="0.35">
      <c r="A453" t="str">
        <f t="shared" si="7"/>
        <v>U2025071</v>
      </c>
      <c r="B453" s="111" t="s">
        <v>582</v>
      </c>
      <c r="C453" s="112">
        <v>71</v>
      </c>
      <c r="D453" s="112">
        <v>8</v>
      </c>
      <c r="E453" s="111" t="s">
        <v>269</v>
      </c>
      <c r="F453" s="111" t="s">
        <v>216</v>
      </c>
      <c r="G453" s="111" t="s">
        <v>198</v>
      </c>
      <c r="H453" s="113">
        <v>45979.791666666664</v>
      </c>
      <c r="I453" s="111" t="s">
        <v>629</v>
      </c>
    </row>
    <row r="454" spans="1:9" ht="14.5" x14ac:dyDescent="0.35">
      <c r="A454" t="str">
        <f t="shared" si="7"/>
        <v>U2025072</v>
      </c>
      <c r="B454" s="111" t="s">
        <v>582</v>
      </c>
      <c r="C454" s="112">
        <v>72</v>
      </c>
      <c r="D454" s="112">
        <v>8</v>
      </c>
      <c r="E454" s="111" t="s">
        <v>269</v>
      </c>
      <c r="F454" s="111" t="s">
        <v>205</v>
      </c>
      <c r="G454" s="111" t="s">
        <v>197</v>
      </c>
      <c r="H454" s="113">
        <v>45979.791666666664</v>
      </c>
      <c r="I454" s="111" t="s">
        <v>630</v>
      </c>
    </row>
    <row r="455" spans="1:9" ht="14.5" x14ac:dyDescent="0.35">
      <c r="A455" t="str">
        <f t="shared" si="7"/>
        <v>U2025073</v>
      </c>
      <c r="B455" s="111" t="s">
        <v>582</v>
      </c>
      <c r="C455" s="112">
        <v>73</v>
      </c>
      <c r="D455" s="112">
        <v>8</v>
      </c>
      <c r="E455" s="111" t="s">
        <v>269</v>
      </c>
      <c r="F455" s="111" t="s">
        <v>202</v>
      </c>
      <c r="G455" s="111" t="s">
        <v>204</v>
      </c>
      <c r="H455" s="113">
        <v>45979.791666666664</v>
      </c>
      <c r="I455" s="111" t="s">
        <v>630</v>
      </c>
    </row>
    <row r="456" spans="1:9" ht="14.5" x14ac:dyDescent="0.35">
      <c r="A456" t="str">
        <f t="shared" si="7"/>
        <v>U2025074</v>
      </c>
      <c r="B456" s="111" t="s">
        <v>582</v>
      </c>
      <c r="C456" s="112">
        <v>74</v>
      </c>
      <c r="D456" s="112">
        <v>8</v>
      </c>
      <c r="E456" s="111" t="s">
        <v>269</v>
      </c>
      <c r="F456" s="111" t="s">
        <v>215</v>
      </c>
      <c r="G456" s="111" t="s">
        <v>209</v>
      </c>
      <c r="H456" s="113">
        <v>45980.833333333336</v>
      </c>
      <c r="I456" s="111" t="s">
        <v>359</v>
      </c>
    </row>
    <row r="457" spans="1:9" ht="14.5" x14ac:dyDescent="0.35">
      <c r="A457" t="str">
        <f t="shared" si="7"/>
        <v>U2025075</v>
      </c>
      <c r="B457" s="111" t="s">
        <v>582</v>
      </c>
      <c r="C457" s="112">
        <v>75</v>
      </c>
      <c r="D457" s="112">
        <v>8</v>
      </c>
      <c r="E457" s="111" t="s">
        <v>269</v>
      </c>
      <c r="F457" s="111" t="s">
        <v>206</v>
      </c>
      <c r="G457" s="111" t="s">
        <v>203</v>
      </c>
      <c r="H457" s="113">
        <v>45980.770833333336</v>
      </c>
      <c r="I457" s="111" t="s">
        <v>631</v>
      </c>
    </row>
    <row r="458" spans="1:9" ht="14.5" x14ac:dyDescent="0.35">
      <c r="A458" t="str">
        <f t="shared" si="7"/>
        <v>U2025076</v>
      </c>
      <c r="B458" s="111" t="s">
        <v>582</v>
      </c>
      <c r="C458" s="112">
        <v>76</v>
      </c>
      <c r="D458" s="112">
        <v>8</v>
      </c>
      <c r="E458" s="111" t="s">
        <v>269</v>
      </c>
      <c r="F458" s="111" t="s">
        <v>208</v>
      </c>
      <c r="G458" s="111" t="s">
        <v>200</v>
      </c>
      <c r="H458" s="113">
        <v>45980.8125</v>
      </c>
      <c r="I458" s="111" t="s">
        <v>632</v>
      </c>
    </row>
    <row r="459" spans="1:9" ht="14.5" x14ac:dyDescent="0.35">
      <c r="A459" t="str">
        <f t="shared" si="7"/>
        <v>U2025077</v>
      </c>
      <c r="B459" s="111" t="s">
        <v>582</v>
      </c>
      <c r="C459" s="112">
        <v>77</v>
      </c>
      <c r="D459" s="112">
        <v>8</v>
      </c>
      <c r="E459" s="111" t="s">
        <v>269</v>
      </c>
      <c r="F459" s="111" t="s">
        <v>201</v>
      </c>
      <c r="G459" s="111" t="s">
        <v>214</v>
      </c>
      <c r="H459" s="113">
        <v>45979.791666666664</v>
      </c>
      <c r="I459" s="111" t="s">
        <v>629</v>
      </c>
    </row>
    <row r="460" spans="1:9" ht="14.5" x14ac:dyDescent="0.35">
      <c r="A460" t="str">
        <f t="shared" si="7"/>
        <v>U2025078</v>
      </c>
      <c r="B460" s="111" t="s">
        <v>582</v>
      </c>
      <c r="C460" s="112">
        <v>78</v>
      </c>
      <c r="D460" s="112">
        <v>8</v>
      </c>
      <c r="E460" s="111" t="s">
        <v>269</v>
      </c>
      <c r="F460" s="111" t="s">
        <v>212</v>
      </c>
      <c r="G460" s="111" t="s">
        <v>210</v>
      </c>
      <c r="H460" s="113">
        <v>45979.833333333336</v>
      </c>
      <c r="I460" s="111" t="s">
        <v>633</v>
      </c>
    </row>
    <row r="461" spans="1:9" ht="14.5" x14ac:dyDescent="0.35">
      <c r="A461" t="str">
        <f t="shared" si="7"/>
        <v>U2025079</v>
      </c>
      <c r="B461" s="111" t="s">
        <v>582</v>
      </c>
      <c r="C461" s="112">
        <v>79</v>
      </c>
      <c r="D461" s="112">
        <v>8</v>
      </c>
      <c r="E461" s="111" t="s">
        <v>269</v>
      </c>
      <c r="F461" s="111" t="s">
        <v>213</v>
      </c>
      <c r="G461" s="111" t="s">
        <v>199</v>
      </c>
      <c r="H461" s="113">
        <v>45980.791666666664</v>
      </c>
      <c r="I461" s="111" t="s">
        <v>634</v>
      </c>
    </row>
    <row r="462" spans="1:9" ht="14.5" x14ac:dyDescent="0.35">
      <c r="A462" t="str">
        <f t="shared" si="7"/>
        <v>U2025080</v>
      </c>
      <c r="B462" s="111" t="s">
        <v>582</v>
      </c>
      <c r="C462" s="112">
        <v>80</v>
      </c>
      <c r="D462" s="112">
        <v>8</v>
      </c>
      <c r="E462" s="111" t="s">
        <v>269</v>
      </c>
      <c r="F462" s="111" t="s">
        <v>211</v>
      </c>
      <c r="G462" s="111" t="s">
        <v>207</v>
      </c>
      <c r="H462" s="113">
        <v>45980.8125</v>
      </c>
      <c r="I462" s="111" t="s">
        <v>631</v>
      </c>
    </row>
    <row r="463" spans="1:9" ht="14.5" x14ac:dyDescent="0.35">
      <c r="A463" t="str">
        <f t="shared" si="7"/>
        <v>U2025081</v>
      </c>
      <c r="B463" s="111" t="s">
        <v>582</v>
      </c>
      <c r="C463" s="112">
        <v>81</v>
      </c>
      <c r="D463" s="112">
        <v>9</v>
      </c>
      <c r="E463" s="111" t="s">
        <v>269</v>
      </c>
      <c r="F463" s="111" t="s">
        <v>206</v>
      </c>
      <c r="G463" s="111" t="s">
        <v>216</v>
      </c>
      <c r="H463" s="113">
        <v>45995.770833333336</v>
      </c>
      <c r="I463" s="111" t="s">
        <v>635</v>
      </c>
    </row>
    <row r="464" spans="1:9" ht="14.5" x14ac:dyDescent="0.35">
      <c r="A464" t="str">
        <f t="shared" si="7"/>
        <v>U2025082</v>
      </c>
      <c r="B464" s="111" t="s">
        <v>582</v>
      </c>
      <c r="C464" s="112">
        <v>82</v>
      </c>
      <c r="D464" s="112">
        <v>9</v>
      </c>
      <c r="E464" s="111" t="s">
        <v>269</v>
      </c>
      <c r="F464" s="111" t="s">
        <v>209</v>
      </c>
      <c r="G464" s="111" t="s">
        <v>203</v>
      </c>
      <c r="H464" s="113">
        <v>45996.864583333336</v>
      </c>
      <c r="I464" s="111" t="s">
        <v>636</v>
      </c>
    </row>
    <row r="465" spans="1:9" ht="14.5" x14ac:dyDescent="0.35">
      <c r="A465" t="str">
        <f t="shared" si="7"/>
        <v>U2025083</v>
      </c>
      <c r="B465" s="111" t="s">
        <v>582</v>
      </c>
      <c r="C465" s="112">
        <v>83</v>
      </c>
      <c r="D465" s="112">
        <v>9</v>
      </c>
      <c r="E465" s="111" t="s">
        <v>269</v>
      </c>
      <c r="F465" s="111" t="s">
        <v>204</v>
      </c>
      <c r="G465" s="111" t="s">
        <v>215</v>
      </c>
      <c r="H465" s="113">
        <v>45995.833333333336</v>
      </c>
      <c r="I465" s="111" t="s">
        <v>637</v>
      </c>
    </row>
    <row r="466" spans="1:9" ht="14.5" x14ac:dyDescent="0.35">
      <c r="A466" t="str">
        <f t="shared" si="7"/>
        <v>U2025084</v>
      </c>
      <c r="B466" s="111" t="s">
        <v>582</v>
      </c>
      <c r="C466" s="112">
        <v>84</v>
      </c>
      <c r="D466" s="112">
        <v>9</v>
      </c>
      <c r="E466" s="111" t="s">
        <v>269</v>
      </c>
      <c r="F466" s="111" t="s">
        <v>197</v>
      </c>
      <c r="G466" s="111" t="s">
        <v>202</v>
      </c>
      <c r="H466" s="113">
        <v>45995.833333333336</v>
      </c>
      <c r="I466" s="111" t="s">
        <v>380</v>
      </c>
    </row>
    <row r="467" spans="1:9" ht="14.5" x14ac:dyDescent="0.35">
      <c r="A467" t="str">
        <f t="shared" si="7"/>
        <v>U2025085</v>
      </c>
      <c r="B467" s="111" t="s">
        <v>582</v>
      </c>
      <c r="C467" s="112">
        <v>85</v>
      </c>
      <c r="D467" s="112">
        <v>9</v>
      </c>
      <c r="E467" s="111" t="s">
        <v>269</v>
      </c>
      <c r="F467" s="111" t="s">
        <v>198</v>
      </c>
      <c r="G467" s="111" t="s">
        <v>205</v>
      </c>
      <c r="H467" s="113">
        <v>45995.791666666664</v>
      </c>
      <c r="I467" s="111" t="s">
        <v>638</v>
      </c>
    </row>
    <row r="468" spans="1:9" ht="14.5" x14ac:dyDescent="0.35">
      <c r="A468" t="str">
        <f t="shared" si="7"/>
        <v>U2025086</v>
      </c>
      <c r="B468" s="111" t="s">
        <v>582</v>
      </c>
      <c r="C468" s="112">
        <v>86</v>
      </c>
      <c r="D468" s="112">
        <v>9</v>
      </c>
      <c r="E468" s="111" t="s">
        <v>269</v>
      </c>
      <c r="F468" s="111" t="s">
        <v>207</v>
      </c>
      <c r="G468" s="111" t="s">
        <v>208</v>
      </c>
      <c r="H468" s="113">
        <v>45995.833333333336</v>
      </c>
      <c r="I468" s="111" t="s">
        <v>380</v>
      </c>
    </row>
    <row r="469" spans="1:9" ht="14.5" x14ac:dyDescent="0.35">
      <c r="A469" t="str">
        <f t="shared" si="7"/>
        <v>U2025087</v>
      </c>
      <c r="B469" s="111" t="s">
        <v>582</v>
      </c>
      <c r="C469" s="112">
        <v>87</v>
      </c>
      <c r="D469" s="112">
        <v>9</v>
      </c>
      <c r="E469" s="111" t="s">
        <v>269</v>
      </c>
      <c r="F469" s="111" t="s">
        <v>199</v>
      </c>
      <c r="G469" s="111" t="s">
        <v>211</v>
      </c>
      <c r="H469" s="113">
        <v>45996.833333333336</v>
      </c>
      <c r="I469" s="111" t="s">
        <v>639</v>
      </c>
    </row>
    <row r="470" spans="1:9" ht="14.5" x14ac:dyDescent="0.35">
      <c r="A470" t="str">
        <f t="shared" si="7"/>
        <v>U2025088</v>
      </c>
      <c r="B470" s="111" t="s">
        <v>582</v>
      </c>
      <c r="C470" s="112">
        <v>88</v>
      </c>
      <c r="D470" s="112">
        <v>9</v>
      </c>
      <c r="E470" s="111" t="s">
        <v>269</v>
      </c>
      <c r="F470" s="111" t="s">
        <v>210</v>
      </c>
      <c r="G470" s="111" t="s">
        <v>213</v>
      </c>
      <c r="H470" s="113">
        <v>45995.791666666664</v>
      </c>
      <c r="I470" s="111" t="s">
        <v>380</v>
      </c>
    </row>
    <row r="471" spans="1:9" ht="14.5" x14ac:dyDescent="0.35">
      <c r="A471" t="str">
        <f t="shared" si="7"/>
        <v>U2025089</v>
      </c>
      <c r="B471" s="111" t="s">
        <v>582</v>
      </c>
      <c r="C471" s="112">
        <v>89</v>
      </c>
      <c r="D471" s="112">
        <v>9</v>
      </c>
      <c r="E471" s="111" t="s">
        <v>269</v>
      </c>
      <c r="F471" s="111" t="s">
        <v>214</v>
      </c>
      <c r="G471" s="111" t="s">
        <v>212</v>
      </c>
      <c r="H471" s="113">
        <v>45995.791666666664</v>
      </c>
      <c r="I471" s="111" t="s">
        <v>380</v>
      </c>
    </row>
    <row r="472" spans="1:9" ht="14.5" x14ac:dyDescent="0.35">
      <c r="A472" t="str">
        <f t="shared" si="7"/>
        <v>U2025090</v>
      </c>
      <c r="B472" s="111" t="s">
        <v>582</v>
      </c>
      <c r="C472" s="112">
        <v>90</v>
      </c>
      <c r="D472" s="112">
        <v>9</v>
      </c>
      <c r="E472" s="111" t="s">
        <v>269</v>
      </c>
      <c r="F472" s="111" t="s">
        <v>200</v>
      </c>
      <c r="G472" s="111" t="s">
        <v>201</v>
      </c>
      <c r="H472" s="113">
        <v>45996.8125</v>
      </c>
      <c r="I472" s="111" t="s">
        <v>640</v>
      </c>
    </row>
    <row r="473" spans="1:9" ht="14.5" x14ac:dyDescent="0.35">
      <c r="A473" t="str">
        <f t="shared" si="7"/>
        <v>U2025091</v>
      </c>
      <c r="B473" s="111" t="s">
        <v>582</v>
      </c>
      <c r="C473" s="112">
        <v>91</v>
      </c>
      <c r="D473" s="112">
        <v>10</v>
      </c>
      <c r="E473" s="111" t="s">
        <v>269</v>
      </c>
      <c r="F473" s="111" t="s">
        <v>205</v>
      </c>
      <c r="G473" s="111" t="s">
        <v>216</v>
      </c>
      <c r="H473" s="113">
        <v>46001.791666666664</v>
      </c>
      <c r="I473" s="111" t="s">
        <v>641</v>
      </c>
    </row>
    <row r="474" spans="1:9" ht="14.5" x14ac:dyDescent="0.35">
      <c r="A474" t="str">
        <f t="shared" si="7"/>
        <v>U2025092</v>
      </c>
      <c r="B474" s="111" t="s">
        <v>582</v>
      </c>
      <c r="C474" s="112">
        <v>92</v>
      </c>
      <c r="D474" s="112">
        <v>10</v>
      </c>
      <c r="E474" s="111" t="s">
        <v>269</v>
      </c>
      <c r="F474" s="111" t="s">
        <v>198</v>
      </c>
      <c r="G474" s="111" t="s">
        <v>202</v>
      </c>
      <c r="H474" s="113">
        <v>46001.791666666664</v>
      </c>
      <c r="I474" s="111" t="s">
        <v>642</v>
      </c>
    </row>
    <row r="475" spans="1:9" ht="14.5" x14ac:dyDescent="0.35">
      <c r="A475" t="str">
        <f t="shared" si="7"/>
        <v>U2025093</v>
      </c>
      <c r="B475" s="111" t="s">
        <v>582</v>
      </c>
      <c r="C475" s="112">
        <v>93</v>
      </c>
      <c r="D475" s="112">
        <v>10</v>
      </c>
      <c r="E475" s="111" t="s">
        <v>269</v>
      </c>
      <c r="F475" s="111" t="s">
        <v>197</v>
      </c>
      <c r="G475" s="111" t="s">
        <v>215</v>
      </c>
      <c r="H475" s="113">
        <v>46001.833333333336</v>
      </c>
      <c r="I475" s="111" t="s">
        <v>643</v>
      </c>
    </row>
    <row r="476" spans="1:9" ht="14.5" x14ac:dyDescent="0.35">
      <c r="A476" t="str">
        <f t="shared" si="7"/>
        <v>U2025094</v>
      </c>
      <c r="B476" s="111" t="s">
        <v>582</v>
      </c>
      <c r="C476" s="112">
        <v>94</v>
      </c>
      <c r="D476" s="112">
        <v>10</v>
      </c>
      <c r="E476" s="111" t="s">
        <v>269</v>
      </c>
      <c r="F476" s="111" t="s">
        <v>204</v>
      </c>
      <c r="G476" s="111" t="s">
        <v>203</v>
      </c>
      <c r="H476" s="113">
        <v>46000.833333333336</v>
      </c>
      <c r="I476" s="111" t="s">
        <v>644</v>
      </c>
    </row>
    <row r="477" spans="1:9" ht="14.5" x14ac:dyDescent="0.35">
      <c r="A477" t="str">
        <f t="shared" si="7"/>
        <v>U2025095</v>
      </c>
      <c r="B477" s="111" t="s">
        <v>582</v>
      </c>
      <c r="C477" s="112">
        <v>95</v>
      </c>
      <c r="D477" s="112">
        <v>10</v>
      </c>
      <c r="E477" s="111" t="s">
        <v>269</v>
      </c>
      <c r="F477" s="111" t="s">
        <v>209</v>
      </c>
      <c r="G477" s="111" t="s">
        <v>206</v>
      </c>
      <c r="H477" s="113">
        <v>46001.864583333336</v>
      </c>
      <c r="I477" s="111" t="s">
        <v>645</v>
      </c>
    </row>
    <row r="478" spans="1:9" ht="14.5" x14ac:dyDescent="0.35">
      <c r="A478" t="str">
        <f t="shared" si="7"/>
        <v>U2025096</v>
      </c>
      <c r="B478" s="111" t="s">
        <v>582</v>
      </c>
      <c r="C478" s="112">
        <v>96</v>
      </c>
      <c r="D478" s="112">
        <v>10</v>
      </c>
      <c r="E478" s="111" t="s">
        <v>269</v>
      </c>
      <c r="F478" s="111" t="s">
        <v>201</v>
      </c>
      <c r="G478" s="111" t="s">
        <v>208</v>
      </c>
      <c r="H478" s="113">
        <v>46001.791666666664</v>
      </c>
      <c r="I478" s="111" t="s">
        <v>643</v>
      </c>
    </row>
    <row r="479" spans="1:9" ht="14.5" x14ac:dyDescent="0.35">
      <c r="A479" t="str">
        <f t="shared" si="7"/>
        <v>U2025097</v>
      </c>
      <c r="B479" s="111" t="s">
        <v>582</v>
      </c>
      <c r="C479" s="112">
        <v>97</v>
      </c>
      <c r="D479" s="112">
        <v>10</v>
      </c>
      <c r="E479" s="111" t="s">
        <v>269</v>
      </c>
      <c r="F479" s="111" t="s">
        <v>200</v>
      </c>
      <c r="G479" s="111" t="s">
        <v>212</v>
      </c>
      <c r="H479" s="113">
        <v>46000.8125</v>
      </c>
      <c r="I479" s="111" t="s">
        <v>646</v>
      </c>
    </row>
    <row r="480" spans="1:9" ht="14.5" x14ac:dyDescent="0.35">
      <c r="A480" t="str">
        <f t="shared" si="7"/>
        <v>U2025098</v>
      </c>
      <c r="B480" s="111" t="s">
        <v>582</v>
      </c>
      <c r="C480" s="112">
        <v>98</v>
      </c>
      <c r="D480" s="112">
        <v>10</v>
      </c>
      <c r="E480" s="111" t="s">
        <v>269</v>
      </c>
      <c r="F480" s="111" t="s">
        <v>214</v>
      </c>
      <c r="G480" s="111" t="s">
        <v>213</v>
      </c>
      <c r="H480" s="113">
        <v>46001.791666666664</v>
      </c>
      <c r="I480" s="111" t="s">
        <v>643</v>
      </c>
    </row>
    <row r="481" spans="1:9" ht="14.5" x14ac:dyDescent="0.35">
      <c r="A481" t="str">
        <f t="shared" si="7"/>
        <v>U2025099</v>
      </c>
      <c r="B481" s="111" t="s">
        <v>582</v>
      </c>
      <c r="C481" s="112">
        <v>99</v>
      </c>
      <c r="D481" s="112">
        <v>10</v>
      </c>
      <c r="E481" s="111" t="s">
        <v>269</v>
      </c>
      <c r="F481" s="111" t="s">
        <v>210</v>
      </c>
      <c r="G481" s="111" t="s">
        <v>211</v>
      </c>
      <c r="H481" s="113">
        <v>46000.791666666664</v>
      </c>
      <c r="I481" s="111" t="s">
        <v>647</v>
      </c>
    </row>
    <row r="482" spans="1:9" ht="14.5" x14ac:dyDescent="0.35">
      <c r="A482" t="str">
        <f t="shared" si="7"/>
        <v>U2025100</v>
      </c>
      <c r="B482" s="111" t="s">
        <v>582</v>
      </c>
      <c r="C482" s="112">
        <v>100</v>
      </c>
      <c r="D482" s="112">
        <v>10</v>
      </c>
      <c r="E482" s="111" t="s">
        <v>269</v>
      </c>
      <c r="F482" s="111" t="s">
        <v>199</v>
      </c>
      <c r="G482" s="111" t="s">
        <v>207</v>
      </c>
      <c r="H482" s="113">
        <v>46000.833333333336</v>
      </c>
      <c r="I482" s="111" t="s">
        <v>648</v>
      </c>
    </row>
    <row r="483" spans="1:9" ht="14.5" x14ac:dyDescent="0.35">
      <c r="A483" t="str">
        <f t="shared" si="7"/>
        <v>U2025101</v>
      </c>
      <c r="B483" s="111" t="s">
        <v>582</v>
      </c>
      <c r="C483" s="112">
        <v>101</v>
      </c>
      <c r="D483" s="112">
        <v>11</v>
      </c>
      <c r="E483" s="111" t="s">
        <v>269</v>
      </c>
      <c r="F483" s="111" t="s">
        <v>216</v>
      </c>
      <c r="G483" s="111" t="s">
        <v>209</v>
      </c>
      <c r="H483" s="113">
        <v>46008.791666666664</v>
      </c>
      <c r="I483" s="111" t="s">
        <v>400</v>
      </c>
    </row>
    <row r="484" spans="1:9" ht="14.5" x14ac:dyDescent="0.35">
      <c r="A484" t="str">
        <f t="shared" si="7"/>
        <v>U2025102</v>
      </c>
      <c r="B484" s="111" t="s">
        <v>582</v>
      </c>
      <c r="C484" s="112">
        <v>102</v>
      </c>
      <c r="D484" s="112">
        <v>11</v>
      </c>
      <c r="E484" s="111" t="s">
        <v>269</v>
      </c>
      <c r="F484" s="111" t="s">
        <v>206</v>
      </c>
      <c r="G484" s="111" t="s">
        <v>204</v>
      </c>
      <c r="H484" s="113">
        <v>46007.770833333336</v>
      </c>
      <c r="I484" s="111" t="s">
        <v>649</v>
      </c>
    </row>
    <row r="485" spans="1:9" ht="14.5" x14ac:dyDescent="0.35">
      <c r="A485" t="str">
        <f t="shared" si="7"/>
        <v>U2025103</v>
      </c>
      <c r="B485" s="111" t="s">
        <v>582</v>
      </c>
      <c r="C485" s="112">
        <v>103</v>
      </c>
      <c r="D485" s="112">
        <v>11</v>
      </c>
      <c r="E485" s="111" t="s">
        <v>269</v>
      </c>
      <c r="F485" s="111" t="s">
        <v>203</v>
      </c>
      <c r="G485" s="111" t="s">
        <v>197</v>
      </c>
      <c r="H485" s="113">
        <v>46008.8125</v>
      </c>
      <c r="I485" s="111" t="s">
        <v>650</v>
      </c>
    </row>
    <row r="486" spans="1:9" ht="14.5" x14ac:dyDescent="0.35">
      <c r="A486" t="str">
        <f t="shared" si="7"/>
        <v>U2025104</v>
      </c>
      <c r="B486" s="111" t="s">
        <v>582</v>
      </c>
      <c r="C486" s="112">
        <v>104</v>
      </c>
      <c r="D486" s="112">
        <v>11</v>
      </c>
      <c r="E486" s="111" t="s">
        <v>269</v>
      </c>
      <c r="F486" s="111" t="s">
        <v>215</v>
      </c>
      <c r="G486" s="111" t="s">
        <v>198</v>
      </c>
      <c r="H486" s="113">
        <v>46008.833333333336</v>
      </c>
      <c r="I486" s="111" t="s">
        <v>399</v>
      </c>
    </row>
    <row r="487" spans="1:9" ht="14.5" x14ac:dyDescent="0.35">
      <c r="A487" t="str">
        <f t="shared" si="7"/>
        <v>U2025105</v>
      </c>
      <c r="B487" s="111" t="s">
        <v>582</v>
      </c>
      <c r="C487" s="112">
        <v>105</v>
      </c>
      <c r="D487" s="112">
        <v>11</v>
      </c>
      <c r="E487" s="111" t="s">
        <v>269</v>
      </c>
      <c r="F487" s="111" t="s">
        <v>202</v>
      </c>
      <c r="G487" s="111" t="s">
        <v>205</v>
      </c>
      <c r="H487" s="113">
        <v>46008.75</v>
      </c>
      <c r="I487" s="111" t="s">
        <v>651</v>
      </c>
    </row>
    <row r="488" spans="1:9" ht="14.5" x14ac:dyDescent="0.35">
      <c r="A488" t="str">
        <f t="shared" si="7"/>
        <v>U2025106</v>
      </c>
      <c r="B488" s="111" t="s">
        <v>582</v>
      </c>
      <c r="C488" s="112">
        <v>106</v>
      </c>
      <c r="D488" s="112">
        <v>11</v>
      </c>
      <c r="E488" s="111" t="s">
        <v>269</v>
      </c>
      <c r="F488" s="111" t="s">
        <v>208</v>
      </c>
      <c r="G488" s="111" t="s">
        <v>199</v>
      </c>
      <c r="H488" s="113">
        <v>46008.8125</v>
      </c>
      <c r="I488" s="111" t="s">
        <v>398</v>
      </c>
    </row>
    <row r="489" spans="1:9" ht="14.5" x14ac:dyDescent="0.35">
      <c r="A489" t="str">
        <f t="shared" si="7"/>
        <v>U2025107</v>
      </c>
      <c r="B489" s="111" t="s">
        <v>582</v>
      </c>
      <c r="C489" s="112">
        <v>107</v>
      </c>
      <c r="D489" s="112">
        <v>11</v>
      </c>
      <c r="E489" s="111" t="s">
        <v>269</v>
      </c>
      <c r="F489" s="111" t="s">
        <v>207</v>
      </c>
      <c r="G489" s="111" t="s">
        <v>210</v>
      </c>
      <c r="H489" s="113">
        <v>46007.791666666664</v>
      </c>
      <c r="I489" s="111" t="s">
        <v>652</v>
      </c>
    </row>
    <row r="490" spans="1:9" ht="14.5" x14ac:dyDescent="0.35">
      <c r="A490" t="str">
        <f t="shared" si="7"/>
        <v>U2025108</v>
      </c>
      <c r="B490" s="111" t="s">
        <v>582</v>
      </c>
      <c r="C490" s="112">
        <v>108</v>
      </c>
      <c r="D490" s="112">
        <v>11</v>
      </c>
      <c r="E490" s="111" t="s">
        <v>269</v>
      </c>
      <c r="F490" s="111" t="s">
        <v>211</v>
      </c>
      <c r="G490" s="111" t="s">
        <v>214</v>
      </c>
      <c r="H490" s="113">
        <v>46008.8125</v>
      </c>
      <c r="I490" s="111" t="s">
        <v>653</v>
      </c>
    </row>
    <row r="491" spans="1:9" ht="14.5" x14ac:dyDescent="0.35">
      <c r="A491" t="str">
        <f t="shared" si="7"/>
        <v>U2025109</v>
      </c>
      <c r="B491" s="111" t="s">
        <v>582</v>
      </c>
      <c r="C491" s="112">
        <v>109</v>
      </c>
      <c r="D491" s="112">
        <v>11</v>
      </c>
      <c r="E491" s="111" t="s">
        <v>269</v>
      </c>
      <c r="F491" s="111" t="s">
        <v>213</v>
      </c>
      <c r="G491" s="111" t="s">
        <v>200</v>
      </c>
      <c r="H491" s="113">
        <v>46008.791666666664</v>
      </c>
      <c r="I491" s="111" t="s">
        <v>651</v>
      </c>
    </row>
    <row r="492" spans="1:9" ht="14.5" x14ac:dyDescent="0.35">
      <c r="A492" t="str">
        <f t="shared" si="7"/>
        <v>U2025110</v>
      </c>
      <c r="B492" s="111" t="s">
        <v>582</v>
      </c>
      <c r="C492" s="112">
        <v>110</v>
      </c>
      <c r="D492" s="112">
        <v>11</v>
      </c>
      <c r="E492" s="111" t="s">
        <v>269</v>
      </c>
      <c r="F492" s="111" t="s">
        <v>212</v>
      </c>
      <c r="G492" s="111" t="s">
        <v>201</v>
      </c>
      <c r="H492" s="113">
        <v>46007.833333333336</v>
      </c>
      <c r="I492" s="111" t="s">
        <v>654</v>
      </c>
    </row>
    <row r="493" spans="1:9" ht="14.5" x14ac:dyDescent="0.35">
      <c r="A493" t="str">
        <f t="shared" si="7"/>
        <v>U2025111</v>
      </c>
      <c r="B493" s="111" t="s">
        <v>582</v>
      </c>
      <c r="C493" s="112">
        <v>111</v>
      </c>
      <c r="D493" s="112">
        <v>12</v>
      </c>
      <c r="E493" s="111" t="s">
        <v>269</v>
      </c>
      <c r="F493" s="111" t="s">
        <v>202</v>
      </c>
      <c r="G493" s="111" t="s">
        <v>216</v>
      </c>
      <c r="H493" s="113">
        <v>46021.791666666664</v>
      </c>
      <c r="I493" s="111" t="s">
        <v>655</v>
      </c>
    </row>
    <row r="494" spans="1:9" ht="14.5" x14ac:dyDescent="0.35">
      <c r="A494" t="str">
        <f t="shared" si="7"/>
        <v>U2025112</v>
      </c>
      <c r="B494" s="111" t="s">
        <v>582</v>
      </c>
      <c r="C494" s="112">
        <v>112</v>
      </c>
      <c r="D494" s="112">
        <v>12</v>
      </c>
      <c r="E494" s="111" t="s">
        <v>269</v>
      </c>
      <c r="F494" s="111" t="s">
        <v>205</v>
      </c>
      <c r="G494" s="111" t="s">
        <v>215</v>
      </c>
      <c r="H494" s="113">
        <v>46024.75</v>
      </c>
      <c r="I494" s="111" t="s">
        <v>656</v>
      </c>
    </row>
    <row r="495" spans="1:9" ht="14.5" x14ac:dyDescent="0.35">
      <c r="A495" t="str">
        <f t="shared" si="7"/>
        <v>U2025113</v>
      </c>
      <c r="B495" s="111" t="s">
        <v>582</v>
      </c>
      <c r="C495" s="112">
        <v>113</v>
      </c>
      <c r="D495" s="112">
        <v>12</v>
      </c>
      <c r="E495" s="111" t="s">
        <v>269</v>
      </c>
      <c r="F495" s="111" t="s">
        <v>198</v>
      </c>
      <c r="G495" s="111" t="s">
        <v>203</v>
      </c>
      <c r="H495" s="113">
        <v>46021.791666666664</v>
      </c>
      <c r="I495" s="111" t="s">
        <v>657</v>
      </c>
    </row>
    <row r="496" spans="1:9" ht="14.5" x14ac:dyDescent="0.35">
      <c r="A496" t="str">
        <f t="shared" si="7"/>
        <v>U2025114</v>
      </c>
      <c r="B496" s="111" t="s">
        <v>582</v>
      </c>
      <c r="C496" s="112">
        <v>114</v>
      </c>
      <c r="D496" s="112">
        <v>12</v>
      </c>
      <c r="E496" s="111" t="s">
        <v>269</v>
      </c>
      <c r="F496" s="111" t="s">
        <v>197</v>
      </c>
      <c r="G496" s="111" t="s">
        <v>206</v>
      </c>
      <c r="H496" s="113">
        <v>46021.854166666664</v>
      </c>
      <c r="I496" s="111" t="s">
        <v>658</v>
      </c>
    </row>
    <row r="497" spans="1:9" ht="14.5" x14ac:dyDescent="0.35">
      <c r="A497" t="str">
        <f t="shared" si="7"/>
        <v>U2025115</v>
      </c>
      <c r="B497" s="111" t="s">
        <v>582</v>
      </c>
      <c r="C497" s="112">
        <v>115</v>
      </c>
      <c r="D497" s="112">
        <v>12</v>
      </c>
      <c r="E497" s="111" t="s">
        <v>269</v>
      </c>
      <c r="F497" s="111" t="s">
        <v>204</v>
      </c>
      <c r="G497" s="111" t="s">
        <v>209</v>
      </c>
      <c r="H497" s="113">
        <v>46021.833333333336</v>
      </c>
      <c r="I497" s="111" t="s">
        <v>422</v>
      </c>
    </row>
    <row r="498" spans="1:9" ht="14.5" x14ac:dyDescent="0.35">
      <c r="A498" t="str">
        <f t="shared" si="7"/>
        <v>U2025116</v>
      </c>
      <c r="B498" s="111" t="s">
        <v>582</v>
      </c>
      <c r="C498" s="112">
        <v>116</v>
      </c>
      <c r="D498" s="112">
        <v>12</v>
      </c>
      <c r="E498" s="111" t="s">
        <v>269</v>
      </c>
      <c r="F498" s="111" t="s">
        <v>212</v>
      </c>
      <c r="G498" s="111" t="s">
        <v>208</v>
      </c>
      <c r="H498" s="113">
        <v>46021.833333333336</v>
      </c>
      <c r="I498" s="111" t="s">
        <v>422</v>
      </c>
    </row>
    <row r="499" spans="1:9" ht="14.5" x14ac:dyDescent="0.35">
      <c r="A499" t="str">
        <f t="shared" si="7"/>
        <v>U2025117</v>
      </c>
      <c r="B499" s="111" t="s">
        <v>582</v>
      </c>
      <c r="C499" s="112">
        <v>117</v>
      </c>
      <c r="D499" s="112">
        <v>12</v>
      </c>
      <c r="E499" s="111" t="s">
        <v>269</v>
      </c>
      <c r="F499" s="111" t="s">
        <v>201</v>
      </c>
      <c r="G499" s="111" t="s">
        <v>213</v>
      </c>
      <c r="H499" s="113">
        <v>46024.791666666664</v>
      </c>
      <c r="I499" s="111" t="s">
        <v>659</v>
      </c>
    </row>
    <row r="500" spans="1:9" ht="14.5" x14ac:dyDescent="0.35">
      <c r="A500" t="str">
        <f t="shared" si="7"/>
        <v>U2025118</v>
      </c>
      <c r="B500" s="111" t="s">
        <v>582</v>
      </c>
      <c r="C500" s="112">
        <v>118</v>
      </c>
      <c r="D500" s="112">
        <v>12</v>
      </c>
      <c r="E500" s="111" t="s">
        <v>269</v>
      </c>
      <c r="F500" s="111" t="s">
        <v>200</v>
      </c>
      <c r="G500" s="111" t="s">
        <v>211</v>
      </c>
      <c r="H500" s="113">
        <v>46021.760416666664</v>
      </c>
      <c r="I500" s="111" t="s">
        <v>660</v>
      </c>
    </row>
    <row r="501" spans="1:9" ht="14.5" x14ac:dyDescent="0.35">
      <c r="A501" t="str">
        <f t="shared" si="7"/>
        <v>U2025119</v>
      </c>
      <c r="B501" s="111" t="s">
        <v>582</v>
      </c>
      <c r="C501" s="112">
        <v>119</v>
      </c>
      <c r="D501" s="112">
        <v>12</v>
      </c>
      <c r="E501" s="111" t="s">
        <v>269</v>
      </c>
      <c r="F501" s="111" t="s">
        <v>214</v>
      </c>
      <c r="G501" s="111" t="s">
        <v>207</v>
      </c>
      <c r="H501" s="113">
        <v>46024.791666666664</v>
      </c>
      <c r="I501" s="111" t="s">
        <v>659</v>
      </c>
    </row>
    <row r="502" spans="1:9" ht="14.5" x14ac:dyDescent="0.35">
      <c r="A502" t="str">
        <f t="shared" si="7"/>
        <v>U2025120</v>
      </c>
      <c r="B502" s="111" t="s">
        <v>582</v>
      </c>
      <c r="C502" s="112">
        <v>120</v>
      </c>
      <c r="D502" s="112">
        <v>12</v>
      </c>
      <c r="E502" s="111" t="s">
        <v>269</v>
      </c>
      <c r="F502" s="111" t="s">
        <v>210</v>
      </c>
      <c r="G502" s="111" t="s">
        <v>199</v>
      </c>
      <c r="H502" s="113">
        <v>46024.791666666664</v>
      </c>
      <c r="I502" s="111" t="s">
        <v>659</v>
      </c>
    </row>
    <row r="503" spans="1:9" ht="14.5" x14ac:dyDescent="0.35">
      <c r="A503" t="str">
        <f t="shared" si="7"/>
        <v>U2025121</v>
      </c>
      <c r="B503" s="111" t="s">
        <v>582</v>
      </c>
      <c r="C503" s="112">
        <v>121</v>
      </c>
      <c r="D503" s="112">
        <v>13</v>
      </c>
      <c r="E503" s="111" t="s">
        <v>269</v>
      </c>
      <c r="F503" s="111" t="s">
        <v>216</v>
      </c>
      <c r="G503" s="111" t="s">
        <v>204</v>
      </c>
      <c r="H503" s="113">
        <v>46029.791666666664</v>
      </c>
      <c r="I503" s="111" t="s">
        <v>661</v>
      </c>
    </row>
    <row r="504" spans="1:9" ht="14.5" x14ac:dyDescent="0.35">
      <c r="A504" t="str">
        <f t="shared" si="7"/>
        <v>U2025122</v>
      </c>
      <c r="B504" s="111" t="s">
        <v>582</v>
      </c>
      <c r="C504" s="112">
        <v>122</v>
      </c>
      <c r="D504" s="112">
        <v>13</v>
      </c>
      <c r="E504" s="111" t="s">
        <v>269</v>
      </c>
      <c r="F504" s="111" t="s">
        <v>209</v>
      </c>
      <c r="G504" s="111" t="s">
        <v>197</v>
      </c>
      <c r="H504" s="113">
        <v>46028.864583333336</v>
      </c>
      <c r="I504" s="111" t="s">
        <v>662</v>
      </c>
    </row>
    <row r="505" spans="1:9" ht="14.5" x14ac:dyDescent="0.35">
      <c r="A505" t="str">
        <f t="shared" si="7"/>
        <v>U2025123</v>
      </c>
      <c r="B505" s="111" t="s">
        <v>582</v>
      </c>
      <c r="C505" s="112">
        <v>123</v>
      </c>
      <c r="D505" s="112">
        <v>13</v>
      </c>
      <c r="E505" s="111" t="s">
        <v>269</v>
      </c>
      <c r="F505" s="111" t="s">
        <v>206</v>
      </c>
      <c r="G505" s="111" t="s">
        <v>198</v>
      </c>
      <c r="H505" s="113">
        <v>46028.770833333336</v>
      </c>
      <c r="I505" s="111" t="s">
        <v>663</v>
      </c>
    </row>
    <row r="506" spans="1:9" ht="14.5" x14ac:dyDescent="0.35">
      <c r="A506" t="str">
        <f t="shared" si="7"/>
        <v>U2025124</v>
      </c>
      <c r="B506" s="111" t="s">
        <v>582</v>
      </c>
      <c r="C506" s="112">
        <v>124</v>
      </c>
      <c r="D506" s="112">
        <v>13</v>
      </c>
      <c r="E506" s="111" t="s">
        <v>269</v>
      </c>
      <c r="F506" s="111" t="s">
        <v>203</v>
      </c>
      <c r="G506" s="111" t="s">
        <v>205</v>
      </c>
      <c r="H506" s="113">
        <v>46029.822916666664</v>
      </c>
      <c r="I506" s="111" t="s">
        <v>664</v>
      </c>
    </row>
    <row r="507" spans="1:9" ht="14.5" x14ac:dyDescent="0.35">
      <c r="A507" t="str">
        <f t="shared" si="7"/>
        <v>U2025125</v>
      </c>
      <c r="B507" s="111" t="s">
        <v>582</v>
      </c>
      <c r="C507" s="112">
        <v>125</v>
      </c>
      <c r="D507" s="112">
        <v>13</v>
      </c>
      <c r="E507" s="111" t="s">
        <v>269</v>
      </c>
      <c r="F507" s="111" t="s">
        <v>215</v>
      </c>
      <c r="G507" s="111" t="s">
        <v>202</v>
      </c>
      <c r="H507" s="113">
        <v>46029.833333333336</v>
      </c>
      <c r="I507" s="111" t="s">
        <v>665</v>
      </c>
    </row>
    <row r="508" spans="1:9" ht="14.5" x14ac:dyDescent="0.35">
      <c r="A508" t="str">
        <f t="shared" si="7"/>
        <v>U2025126</v>
      </c>
      <c r="B508" s="111" t="s">
        <v>582</v>
      </c>
      <c r="C508" s="112">
        <v>126</v>
      </c>
      <c r="D508" s="112">
        <v>13</v>
      </c>
      <c r="E508" s="111" t="s">
        <v>269</v>
      </c>
      <c r="F508" s="111" t="s">
        <v>208</v>
      </c>
      <c r="G508" s="111" t="s">
        <v>210</v>
      </c>
      <c r="H508" s="113">
        <v>46029.8125</v>
      </c>
      <c r="I508" s="111" t="s">
        <v>435</v>
      </c>
    </row>
    <row r="509" spans="1:9" ht="14.5" x14ac:dyDescent="0.35">
      <c r="A509" t="str">
        <f t="shared" si="7"/>
        <v>U2025127</v>
      </c>
      <c r="B509" s="111" t="s">
        <v>582</v>
      </c>
      <c r="C509" s="112">
        <v>127</v>
      </c>
      <c r="D509" s="112">
        <v>13</v>
      </c>
      <c r="E509" s="111" t="s">
        <v>269</v>
      </c>
      <c r="F509" s="111" t="s">
        <v>199</v>
      </c>
      <c r="G509" s="111" t="s">
        <v>214</v>
      </c>
      <c r="H509" s="113">
        <v>46028.833333333336</v>
      </c>
      <c r="I509" s="111" t="s">
        <v>666</v>
      </c>
    </row>
    <row r="510" spans="1:9" ht="14.5" x14ac:dyDescent="0.35">
      <c r="A510" t="str">
        <f t="shared" si="7"/>
        <v>U2025128</v>
      </c>
      <c r="B510" s="111" t="s">
        <v>582</v>
      </c>
      <c r="C510" s="112">
        <v>128</v>
      </c>
      <c r="D510" s="112">
        <v>13</v>
      </c>
      <c r="E510" s="111" t="s">
        <v>269</v>
      </c>
      <c r="F510" s="111" t="s">
        <v>207</v>
      </c>
      <c r="G510" s="111" t="s">
        <v>200</v>
      </c>
      <c r="H510" s="113">
        <v>46029.791666666664</v>
      </c>
      <c r="I510" s="111" t="s">
        <v>667</v>
      </c>
    </row>
    <row r="511" spans="1:9" ht="14.5" x14ac:dyDescent="0.35">
      <c r="A511" t="str">
        <f t="shared" si="7"/>
        <v>U2025129</v>
      </c>
      <c r="B511" s="111" t="s">
        <v>582</v>
      </c>
      <c r="C511" s="112">
        <v>129</v>
      </c>
      <c r="D511" s="112">
        <v>13</v>
      </c>
      <c r="E511" s="111" t="s">
        <v>269</v>
      </c>
      <c r="F511" s="111" t="s">
        <v>211</v>
      </c>
      <c r="G511" s="111" t="s">
        <v>201</v>
      </c>
      <c r="H511" s="113">
        <v>46029.8125</v>
      </c>
      <c r="I511" s="111" t="s">
        <v>434</v>
      </c>
    </row>
    <row r="512" spans="1:9" ht="14.5" x14ac:dyDescent="0.35">
      <c r="A512" t="str">
        <f t="shared" si="7"/>
        <v>U2025130</v>
      </c>
      <c r="B512" s="111" t="s">
        <v>582</v>
      </c>
      <c r="C512" s="112">
        <v>130</v>
      </c>
      <c r="D512" s="112">
        <v>13</v>
      </c>
      <c r="E512" s="111" t="s">
        <v>269</v>
      </c>
      <c r="F512" s="111" t="s">
        <v>213</v>
      </c>
      <c r="G512" s="111" t="s">
        <v>212</v>
      </c>
      <c r="H512" s="113">
        <v>46029.791666666664</v>
      </c>
      <c r="I512" s="111" t="s">
        <v>668</v>
      </c>
    </row>
    <row r="513" spans="1:9" ht="14.5" x14ac:dyDescent="0.35">
      <c r="A513" t="str">
        <f t="shared" si="7"/>
        <v>U2025131</v>
      </c>
      <c r="B513" s="111" t="s">
        <v>582</v>
      </c>
      <c r="C513" s="112">
        <v>131</v>
      </c>
      <c r="D513" s="112">
        <v>14</v>
      </c>
      <c r="E513" s="111" t="s">
        <v>269</v>
      </c>
      <c r="F513" s="111" t="s">
        <v>215</v>
      </c>
      <c r="G513" s="111" t="s">
        <v>216</v>
      </c>
      <c r="H513" s="113">
        <v>46036.833333333336</v>
      </c>
      <c r="I513" s="111" t="s">
        <v>669</v>
      </c>
    </row>
    <row r="514" spans="1:9" ht="14.5" x14ac:dyDescent="0.35">
      <c r="A514" t="str">
        <f t="shared" si="7"/>
        <v>U2025132</v>
      </c>
      <c r="B514" s="111" t="s">
        <v>582</v>
      </c>
      <c r="C514" s="112">
        <v>132</v>
      </c>
      <c r="D514" s="112">
        <v>14</v>
      </c>
      <c r="E514" s="111" t="s">
        <v>269</v>
      </c>
      <c r="F514" s="111" t="s">
        <v>202</v>
      </c>
      <c r="G514" s="111" t="s">
        <v>203</v>
      </c>
      <c r="H514" s="113">
        <v>46035.791666666664</v>
      </c>
      <c r="I514" s="111" t="s">
        <v>670</v>
      </c>
    </row>
    <row r="515" spans="1:9" ht="14.5" x14ac:dyDescent="0.35">
      <c r="A515" t="str">
        <f t="shared" si="7"/>
        <v>U2025133</v>
      </c>
      <c r="B515" s="111" t="s">
        <v>582</v>
      </c>
      <c r="C515" s="112">
        <v>133</v>
      </c>
      <c r="D515" s="112">
        <v>14</v>
      </c>
      <c r="E515" s="111" t="s">
        <v>269</v>
      </c>
      <c r="F515" s="111" t="s">
        <v>205</v>
      </c>
      <c r="G515" s="111" t="s">
        <v>206</v>
      </c>
      <c r="H515" s="113">
        <v>46035.791666666664</v>
      </c>
      <c r="I515" s="111" t="s">
        <v>670</v>
      </c>
    </row>
    <row r="516" spans="1:9" ht="14.5" x14ac:dyDescent="0.3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5" x14ac:dyDescent="0.35">
      <c r="A517" t="str">
        <f t="shared" si="8"/>
        <v>U2025135</v>
      </c>
      <c r="B517" s="111" t="s">
        <v>582</v>
      </c>
      <c r="C517" s="112">
        <v>135</v>
      </c>
      <c r="D517" s="112">
        <v>14</v>
      </c>
      <c r="E517" s="111" t="s">
        <v>269</v>
      </c>
      <c r="F517" s="111" t="s">
        <v>197</v>
      </c>
      <c r="G517" s="111" t="s">
        <v>204</v>
      </c>
      <c r="H517" s="113">
        <v>46036.833333333336</v>
      </c>
      <c r="I517" s="111" t="s">
        <v>672</v>
      </c>
    </row>
    <row r="518" spans="1:9" ht="14.5" x14ac:dyDescent="0.35">
      <c r="A518" t="str">
        <f t="shared" si="8"/>
        <v>U2025136</v>
      </c>
      <c r="B518" s="111" t="s">
        <v>582</v>
      </c>
      <c r="C518" s="112">
        <v>136</v>
      </c>
      <c r="D518" s="112">
        <v>14</v>
      </c>
      <c r="E518" s="111" t="s">
        <v>269</v>
      </c>
      <c r="F518" s="111" t="s">
        <v>213</v>
      </c>
      <c r="G518" s="111" t="s">
        <v>208</v>
      </c>
      <c r="H518" s="113">
        <v>46036.791666666664</v>
      </c>
      <c r="I518" s="111" t="s">
        <v>673</v>
      </c>
    </row>
    <row r="519" spans="1:9" ht="14.5" x14ac:dyDescent="0.35">
      <c r="A519" t="str">
        <f t="shared" si="8"/>
        <v>U2025137</v>
      </c>
      <c r="B519" s="111" t="s">
        <v>582</v>
      </c>
      <c r="C519" s="112">
        <v>137</v>
      </c>
      <c r="D519" s="112">
        <v>14</v>
      </c>
      <c r="E519" s="111" t="s">
        <v>269</v>
      </c>
      <c r="F519" s="111" t="s">
        <v>212</v>
      </c>
      <c r="G519" s="111" t="s">
        <v>211</v>
      </c>
      <c r="H519" s="113">
        <v>46035.833333333336</v>
      </c>
      <c r="I519" s="111" t="s">
        <v>674</v>
      </c>
    </row>
    <row r="520" spans="1:9" ht="14.5" x14ac:dyDescent="0.35">
      <c r="A520" t="str">
        <f t="shared" si="8"/>
        <v>U2025138</v>
      </c>
      <c r="B520" s="111" t="s">
        <v>582</v>
      </c>
      <c r="C520" s="112">
        <v>138</v>
      </c>
      <c r="D520" s="112">
        <v>14</v>
      </c>
      <c r="E520" s="111" t="s">
        <v>269</v>
      </c>
      <c r="F520" s="111" t="s">
        <v>201</v>
      </c>
      <c r="G520" s="111" t="s">
        <v>207</v>
      </c>
      <c r="H520" s="113">
        <v>46036.791666666664</v>
      </c>
      <c r="I520" s="111" t="s">
        <v>672</v>
      </c>
    </row>
    <row r="521" spans="1:9" ht="14.5" x14ac:dyDescent="0.35">
      <c r="A521" t="str">
        <f t="shared" si="8"/>
        <v>U2025139</v>
      </c>
      <c r="B521" s="111" t="s">
        <v>582</v>
      </c>
      <c r="C521" s="112">
        <v>139</v>
      </c>
      <c r="D521" s="112">
        <v>14</v>
      </c>
      <c r="E521" s="111" t="s">
        <v>269</v>
      </c>
      <c r="F521" s="111" t="s">
        <v>200</v>
      </c>
      <c r="G521" s="111" t="s">
        <v>199</v>
      </c>
      <c r="H521" s="113">
        <v>46036.8125</v>
      </c>
      <c r="I521" s="111" t="s">
        <v>675</v>
      </c>
    </row>
    <row r="522" spans="1:9" ht="14.5" x14ac:dyDescent="0.35">
      <c r="A522" t="str">
        <f t="shared" si="8"/>
        <v>U2025140</v>
      </c>
      <c r="B522" s="111" t="s">
        <v>582</v>
      </c>
      <c r="C522" s="112">
        <v>140</v>
      </c>
      <c r="D522" s="112">
        <v>14</v>
      </c>
      <c r="E522" s="111" t="s">
        <v>269</v>
      </c>
      <c r="F522" s="111" t="s">
        <v>214</v>
      </c>
      <c r="G522" s="111" t="s">
        <v>210</v>
      </c>
      <c r="H522" s="113">
        <v>46036.791666666664</v>
      </c>
      <c r="I522" s="111" t="s">
        <v>672</v>
      </c>
    </row>
    <row r="523" spans="1:9" ht="14.5" x14ac:dyDescent="0.35">
      <c r="A523" t="str">
        <f t="shared" si="8"/>
        <v>U2025141</v>
      </c>
      <c r="B523" s="111" t="s">
        <v>582</v>
      </c>
      <c r="C523" s="112">
        <v>141</v>
      </c>
      <c r="D523" s="112">
        <v>15</v>
      </c>
      <c r="E523" s="111" t="s">
        <v>269</v>
      </c>
      <c r="F523" s="111" t="s">
        <v>216</v>
      </c>
      <c r="G523" s="111" t="s">
        <v>197</v>
      </c>
      <c r="H523" s="113">
        <v>46042.791666666664</v>
      </c>
      <c r="I523" s="111" t="s">
        <v>676</v>
      </c>
    </row>
    <row r="524" spans="1:9" ht="14.5" x14ac:dyDescent="0.35">
      <c r="A524" t="str">
        <f t="shared" si="8"/>
        <v>U2025142</v>
      </c>
      <c r="B524" s="111" t="s">
        <v>582</v>
      </c>
      <c r="C524" s="112">
        <v>142</v>
      </c>
      <c r="D524" s="112">
        <v>15</v>
      </c>
      <c r="E524" s="111" t="s">
        <v>269</v>
      </c>
      <c r="F524" s="111" t="s">
        <v>204</v>
      </c>
      <c r="G524" s="111" t="s">
        <v>198</v>
      </c>
      <c r="H524" s="113">
        <v>46042.833333333336</v>
      </c>
      <c r="I524" s="111" t="s">
        <v>459</v>
      </c>
    </row>
    <row r="525" spans="1:9" ht="14.5" x14ac:dyDescent="0.35">
      <c r="A525" t="str">
        <f t="shared" si="8"/>
        <v>U2025143</v>
      </c>
      <c r="B525" s="111" t="s">
        <v>582</v>
      </c>
      <c r="C525" s="112">
        <v>143</v>
      </c>
      <c r="D525" s="112">
        <v>15</v>
      </c>
      <c r="E525" s="111" t="s">
        <v>269</v>
      </c>
      <c r="F525" s="111" t="s">
        <v>209</v>
      </c>
      <c r="G525" s="111" t="s">
        <v>205</v>
      </c>
      <c r="H525" s="113">
        <v>46043.864583333336</v>
      </c>
      <c r="I525" s="111" t="s">
        <v>677</v>
      </c>
    </row>
    <row r="526" spans="1:9" ht="14.5" x14ac:dyDescent="0.35">
      <c r="A526" t="str">
        <f t="shared" si="8"/>
        <v>U2025144</v>
      </c>
      <c r="B526" s="111" t="s">
        <v>582</v>
      </c>
      <c r="C526" s="112">
        <v>144</v>
      </c>
      <c r="D526" s="112">
        <v>15</v>
      </c>
      <c r="E526" s="111" t="s">
        <v>269</v>
      </c>
      <c r="F526" s="111" t="s">
        <v>206</v>
      </c>
      <c r="G526" s="111" t="s">
        <v>202</v>
      </c>
      <c r="H526" s="113">
        <v>46042.770833333336</v>
      </c>
      <c r="I526" s="111" t="s">
        <v>455</v>
      </c>
    </row>
    <row r="527" spans="1:9" ht="14.5" x14ac:dyDescent="0.35">
      <c r="A527" t="str">
        <f t="shared" si="8"/>
        <v>U2025145</v>
      </c>
      <c r="B527" s="111" t="s">
        <v>582</v>
      </c>
      <c r="C527" s="112">
        <v>145</v>
      </c>
      <c r="D527" s="112">
        <v>15</v>
      </c>
      <c r="E527" s="111" t="s">
        <v>269</v>
      </c>
      <c r="F527" s="111" t="s">
        <v>203</v>
      </c>
      <c r="G527" s="111" t="s">
        <v>215</v>
      </c>
      <c r="H527" s="113">
        <v>46043.8125</v>
      </c>
      <c r="I527" s="111" t="s">
        <v>678</v>
      </c>
    </row>
    <row r="528" spans="1:9" ht="14.5" x14ac:dyDescent="0.35">
      <c r="A528" t="str">
        <f t="shared" si="8"/>
        <v>U2025146</v>
      </c>
      <c r="B528" s="111" t="s">
        <v>582</v>
      </c>
      <c r="C528" s="112">
        <v>146</v>
      </c>
      <c r="D528" s="112">
        <v>15</v>
      </c>
      <c r="E528" s="111" t="s">
        <v>269</v>
      </c>
      <c r="F528" s="111" t="s">
        <v>208</v>
      </c>
      <c r="G528" s="111" t="s">
        <v>214</v>
      </c>
      <c r="H528" s="113">
        <v>46043.8125</v>
      </c>
      <c r="I528" s="111" t="s">
        <v>460</v>
      </c>
    </row>
    <row r="529" spans="1:9" ht="14.5" x14ac:dyDescent="0.35">
      <c r="A529" t="str">
        <f t="shared" si="8"/>
        <v>U2025147</v>
      </c>
      <c r="B529" s="111" t="s">
        <v>582</v>
      </c>
      <c r="C529" s="112">
        <v>147</v>
      </c>
      <c r="D529" s="112">
        <v>15</v>
      </c>
      <c r="E529" s="111" t="s">
        <v>269</v>
      </c>
      <c r="F529" s="111" t="s">
        <v>210</v>
      </c>
      <c r="G529" s="111" t="s">
        <v>200</v>
      </c>
      <c r="H529" s="113">
        <v>46042.791666666664</v>
      </c>
      <c r="I529" s="111" t="s">
        <v>676</v>
      </c>
    </row>
    <row r="530" spans="1:9" ht="14.5" x14ac:dyDescent="0.35">
      <c r="A530" t="str">
        <f t="shared" si="8"/>
        <v>U2025148</v>
      </c>
      <c r="B530" s="111" t="s">
        <v>582</v>
      </c>
      <c r="C530" s="112">
        <v>148</v>
      </c>
      <c r="D530" s="112">
        <v>15</v>
      </c>
      <c r="E530" s="111" t="s">
        <v>269</v>
      </c>
      <c r="F530" s="111" t="s">
        <v>199</v>
      </c>
      <c r="G530" s="111" t="s">
        <v>201</v>
      </c>
      <c r="H530" s="113">
        <v>46043.833333333336</v>
      </c>
      <c r="I530" s="111" t="s">
        <v>679</v>
      </c>
    </row>
    <row r="531" spans="1:9" ht="14.5" x14ac:dyDescent="0.35">
      <c r="A531" t="str">
        <f t="shared" si="8"/>
        <v>U2025149</v>
      </c>
      <c r="B531" s="111" t="s">
        <v>582</v>
      </c>
      <c r="C531" s="112">
        <v>149</v>
      </c>
      <c r="D531" s="112">
        <v>15</v>
      </c>
      <c r="E531" s="111" t="s">
        <v>269</v>
      </c>
      <c r="F531" s="111" t="s">
        <v>207</v>
      </c>
      <c r="G531" s="111" t="s">
        <v>212</v>
      </c>
      <c r="H531" s="113">
        <v>46043.791666666664</v>
      </c>
      <c r="I531" s="111" t="s">
        <v>679</v>
      </c>
    </row>
    <row r="532" spans="1:9" ht="14.5" x14ac:dyDescent="0.35">
      <c r="A532" t="str">
        <f t="shared" si="8"/>
        <v>U2025150</v>
      </c>
      <c r="B532" s="111" t="s">
        <v>582</v>
      </c>
      <c r="C532" s="112">
        <v>150</v>
      </c>
      <c r="D532" s="112">
        <v>15</v>
      </c>
      <c r="E532" s="111" t="s">
        <v>269</v>
      </c>
      <c r="F532" s="111" t="s">
        <v>211</v>
      </c>
      <c r="G532" s="111" t="s">
        <v>213</v>
      </c>
      <c r="H532" s="113">
        <v>46043.8125</v>
      </c>
      <c r="I532" s="111" t="s">
        <v>680</v>
      </c>
    </row>
    <row r="533" spans="1:9" ht="14.5" x14ac:dyDescent="0.35">
      <c r="A533" t="str">
        <f t="shared" si="8"/>
        <v>U2025151</v>
      </c>
      <c r="B533" s="111" t="s">
        <v>582</v>
      </c>
      <c r="C533" s="112">
        <v>151</v>
      </c>
      <c r="D533" s="112">
        <v>16</v>
      </c>
      <c r="E533" s="111" t="s">
        <v>269</v>
      </c>
      <c r="F533" s="111" t="s">
        <v>203</v>
      </c>
      <c r="G533" s="111" t="s">
        <v>216</v>
      </c>
      <c r="H533" s="113">
        <v>46050.8125</v>
      </c>
      <c r="I533" s="111" t="s">
        <v>681</v>
      </c>
    </row>
    <row r="534" spans="1:9" ht="14.5" x14ac:dyDescent="0.35">
      <c r="A534" t="str">
        <f t="shared" si="8"/>
        <v>U2025152</v>
      </c>
      <c r="B534" s="111" t="s">
        <v>582</v>
      </c>
      <c r="C534" s="112">
        <v>152</v>
      </c>
      <c r="D534" s="112">
        <v>16</v>
      </c>
      <c r="E534" s="111" t="s">
        <v>269</v>
      </c>
      <c r="F534" s="111" t="s">
        <v>215</v>
      </c>
      <c r="G534" s="111" t="s">
        <v>206</v>
      </c>
      <c r="H534" s="113">
        <v>46050.833333333336</v>
      </c>
      <c r="I534" s="111" t="s">
        <v>682</v>
      </c>
    </row>
    <row r="535" spans="1:9" ht="14.5" x14ac:dyDescent="0.35">
      <c r="A535" t="str">
        <f t="shared" si="8"/>
        <v>U2025153</v>
      </c>
      <c r="B535" s="111" t="s">
        <v>582</v>
      </c>
      <c r="C535" s="112">
        <v>153</v>
      </c>
      <c r="D535" s="112">
        <v>16</v>
      </c>
      <c r="E535" s="111" t="s">
        <v>269</v>
      </c>
      <c r="F535" s="111" t="s">
        <v>209</v>
      </c>
      <c r="G535" s="111" t="s">
        <v>202</v>
      </c>
      <c r="H535" s="113">
        <v>46050.864583333336</v>
      </c>
      <c r="I535" s="111" t="s">
        <v>683</v>
      </c>
    </row>
    <row r="536" spans="1:9" ht="14.5" x14ac:dyDescent="0.35">
      <c r="A536" t="str">
        <f t="shared" si="8"/>
        <v>U2025154</v>
      </c>
      <c r="B536" s="111" t="s">
        <v>582</v>
      </c>
      <c r="C536" s="112">
        <v>154</v>
      </c>
      <c r="D536" s="112">
        <v>16</v>
      </c>
      <c r="E536" s="111" t="s">
        <v>269</v>
      </c>
      <c r="F536" s="111" t="s">
        <v>205</v>
      </c>
      <c r="G536" s="111" t="s">
        <v>204</v>
      </c>
      <c r="H536" s="113">
        <v>46050.791666666664</v>
      </c>
      <c r="I536" s="111" t="s">
        <v>684</v>
      </c>
    </row>
    <row r="537" spans="1:9" ht="14.5" x14ac:dyDescent="0.35">
      <c r="A537" t="str">
        <f t="shared" si="8"/>
        <v>U2025155</v>
      </c>
      <c r="B537" s="111" t="s">
        <v>582</v>
      </c>
      <c r="C537" s="112">
        <v>155</v>
      </c>
      <c r="D537" s="112">
        <v>16</v>
      </c>
      <c r="E537" s="111" t="s">
        <v>269</v>
      </c>
      <c r="F537" s="111" t="s">
        <v>198</v>
      </c>
      <c r="G537" s="111" t="s">
        <v>197</v>
      </c>
      <c r="H537" s="113">
        <v>46050.791666666664</v>
      </c>
      <c r="I537" s="111" t="s">
        <v>685</v>
      </c>
    </row>
    <row r="538" spans="1:9" ht="14.5" x14ac:dyDescent="0.35">
      <c r="A538" t="str">
        <f t="shared" si="8"/>
        <v>U2025156</v>
      </c>
      <c r="B538" s="111" t="s">
        <v>582</v>
      </c>
      <c r="C538" s="112">
        <v>156</v>
      </c>
      <c r="D538" s="112">
        <v>16</v>
      </c>
      <c r="E538" s="111" t="s">
        <v>269</v>
      </c>
      <c r="F538" s="111" t="s">
        <v>211</v>
      </c>
      <c r="G538" s="111" t="s">
        <v>208</v>
      </c>
      <c r="H538" s="113">
        <v>46050.8125</v>
      </c>
      <c r="I538" s="111" t="s">
        <v>686</v>
      </c>
    </row>
    <row r="539" spans="1:9" ht="14.5" x14ac:dyDescent="0.35">
      <c r="A539" t="str">
        <f t="shared" si="8"/>
        <v>U2025157</v>
      </c>
      <c r="B539" s="111" t="s">
        <v>582</v>
      </c>
      <c r="C539" s="112">
        <v>157</v>
      </c>
      <c r="D539" s="112">
        <v>16</v>
      </c>
      <c r="E539" s="111" t="s">
        <v>269</v>
      </c>
      <c r="F539" s="111" t="s">
        <v>213</v>
      </c>
      <c r="G539" s="111" t="s">
        <v>207</v>
      </c>
      <c r="H539" s="113">
        <v>46049.791666666664</v>
      </c>
      <c r="I539" s="111" t="s">
        <v>687</v>
      </c>
    </row>
    <row r="540" spans="1:9" ht="14.5" x14ac:dyDescent="0.35">
      <c r="A540" t="str">
        <f t="shared" si="8"/>
        <v>U2025158</v>
      </c>
      <c r="B540" s="111" t="s">
        <v>582</v>
      </c>
      <c r="C540" s="112">
        <v>158</v>
      </c>
      <c r="D540" s="112">
        <v>16</v>
      </c>
      <c r="E540" s="111" t="s">
        <v>269</v>
      </c>
      <c r="F540" s="111" t="s">
        <v>212</v>
      </c>
      <c r="G540" s="111" t="s">
        <v>199</v>
      </c>
      <c r="H540" s="113">
        <v>46049.833333333336</v>
      </c>
      <c r="I540" s="111" t="s">
        <v>688</v>
      </c>
    </row>
    <row r="541" spans="1:9" ht="14.5" x14ac:dyDescent="0.35">
      <c r="A541" t="str">
        <f t="shared" si="8"/>
        <v>U2025159</v>
      </c>
      <c r="B541" s="111" t="s">
        <v>582</v>
      </c>
      <c r="C541" s="112">
        <v>159</v>
      </c>
      <c r="D541" s="112">
        <v>16</v>
      </c>
      <c r="E541" s="111" t="s">
        <v>269</v>
      </c>
      <c r="F541" s="111" t="s">
        <v>201</v>
      </c>
      <c r="G541" s="111" t="s">
        <v>210</v>
      </c>
      <c r="H541" s="113">
        <v>46049.791666666664</v>
      </c>
      <c r="I541" s="111" t="s">
        <v>689</v>
      </c>
    </row>
    <row r="542" spans="1:9" ht="14.5" x14ac:dyDescent="0.35">
      <c r="A542" t="str">
        <f t="shared" si="8"/>
        <v>U2025160</v>
      </c>
      <c r="B542" s="111" t="s">
        <v>582</v>
      </c>
      <c r="C542" s="112">
        <v>160</v>
      </c>
      <c r="D542" s="112">
        <v>16</v>
      </c>
      <c r="E542" s="111" t="s">
        <v>269</v>
      </c>
      <c r="F542" s="111" t="s">
        <v>200</v>
      </c>
      <c r="G542" s="111" t="s">
        <v>214</v>
      </c>
      <c r="H542" s="113">
        <v>46050.8125</v>
      </c>
      <c r="I542" s="111" t="s">
        <v>681</v>
      </c>
    </row>
    <row r="543" spans="1:9" ht="14.5" x14ac:dyDescent="0.35">
      <c r="A543" t="str">
        <f t="shared" si="8"/>
        <v>U2025161</v>
      </c>
      <c r="B543" s="111" t="s">
        <v>582</v>
      </c>
      <c r="C543" s="112">
        <v>161</v>
      </c>
      <c r="D543" s="112">
        <v>17</v>
      </c>
      <c r="E543" s="111" t="s">
        <v>269</v>
      </c>
      <c r="F543" s="111" t="s">
        <v>198</v>
      </c>
      <c r="G543" s="111" t="s">
        <v>216</v>
      </c>
      <c r="H543" s="113">
        <v>46056.791666666664</v>
      </c>
      <c r="I543" s="111" t="s">
        <v>479</v>
      </c>
    </row>
    <row r="544" spans="1:9" ht="14.5" x14ac:dyDescent="0.35">
      <c r="A544" t="str">
        <f t="shared" si="8"/>
        <v>U2025162</v>
      </c>
      <c r="B544" s="111" t="s">
        <v>582</v>
      </c>
      <c r="C544" s="112">
        <v>162</v>
      </c>
      <c r="D544" s="112">
        <v>17</v>
      </c>
      <c r="E544" s="111" t="s">
        <v>269</v>
      </c>
      <c r="F544" s="111" t="s">
        <v>197</v>
      </c>
      <c r="G544" s="111" t="s">
        <v>205</v>
      </c>
      <c r="H544" s="113">
        <v>46057.875</v>
      </c>
      <c r="I544" s="111" t="s">
        <v>690</v>
      </c>
    </row>
    <row r="545" spans="1:9" ht="14.5" x14ac:dyDescent="0.35">
      <c r="A545" t="str">
        <f t="shared" si="8"/>
        <v>U2025163</v>
      </c>
      <c r="B545" s="111" t="s">
        <v>582</v>
      </c>
      <c r="C545" s="112">
        <v>163</v>
      </c>
      <c r="D545" s="112">
        <v>17</v>
      </c>
      <c r="E545" s="111" t="s">
        <v>269</v>
      </c>
      <c r="F545" s="111" t="s">
        <v>204</v>
      </c>
      <c r="G545" s="111" t="s">
        <v>202</v>
      </c>
      <c r="H545" s="113">
        <v>46057.833333333336</v>
      </c>
      <c r="I545" s="111" t="s">
        <v>690</v>
      </c>
    </row>
    <row r="546" spans="1:9" ht="14.5" x14ac:dyDescent="0.35">
      <c r="A546" t="str">
        <f t="shared" si="8"/>
        <v>U2025164</v>
      </c>
      <c r="B546" s="111" t="s">
        <v>582</v>
      </c>
      <c r="C546" s="112">
        <v>164</v>
      </c>
      <c r="D546" s="112">
        <v>17</v>
      </c>
      <c r="E546" s="111" t="s">
        <v>269</v>
      </c>
      <c r="F546" s="111" t="s">
        <v>209</v>
      </c>
      <c r="G546" s="111" t="s">
        <v>215</v>
      </c>
      <c r="H546" s="113">
        <v>46057.864583333336</v>
      </c>
      <c r="I546" s="111" t="s">
        <v>691</v>
      </c>
    </row>
    <row r="547" spans="1:9" ht="14.5" x14ac:dyDescent="0.35">
      <c r="A547" t="str">
        <f t="shared" si="8"/>
        <v>U2025165</v>
      </c>
      <c r="B547" s="111" t="s">
        <v>582</v>
      </c>
      <c r="C547" s="112">
        <v>165</v>
      </c>
      <c r="D547" s="112">
        <v>17</v>
      </c>
      <c r="E547" s="111" t="s">
        <v>269</v>
      </c>
      <c r="F547" s="111" t="s">
        <v>203</v>
      </c>
      <c r="G547" s="111" t="s">
        <v>206</v>
      </c>
      <c r="H547" s="113">
        <v>46058.8125</v>
      </c>
      <c r="I547" s="111" t="s">
        <v>692</v>
      </c>
    </row>
    <row r="548" spans="1:9" ht="14.5" x14ac:dyDescent="0.35">
      <c r="A548" t="str">
        <f t="shared" si="8"/>
        <v>U2025166</v>
      </c>
      <c r="B548" s="111" t="s">
        <v>582</v>
      </c>
      <c r="C548" s="112">
        <v>166</v>
      </c>
      <c r="D548" s="112">
        <v>17</v>
      </c>
      <c r="E548" s="111" t="s">
        <v>269</v>
      </c>
      <c r="F548" s="111" t="s">
        <v>200</v>
      </c>
      <c r="G548" s="111" t="s">
        <v>208</v>
      </c>
      <c r="H548" s="113">
        <v>46057.8125</v>
      </c>
      <c r="I548" s="111" t="s">
        <v>693</v>
      </c>
    </row>
    <row r="549" spans="1:9" ht="14.5" x14ac:dyDescent="0.35">
      <c r="A549" t="str">
        <f t="shared" si="8"/>
        <v>U2025167</v>
      </c>
      <c r="B549" s="111" t="s">
        <v>582</v>
      </c>
      <c r="C549" s="112">
        <v>167</v>
      </c>
      <c r="D549" s="112">
        <v>17</v>
      </c>
      <c r="E549" s="111" t="s">
        <v>269</v>
      </c>
      <c r="F549" s="111" t="s">
        <v>214</v>
      </c>
      <c r="G549" s="111" t="s">
        <v>201</v>
      </c>
      <c r="H549" s="113">
        <v>46056.791666666664</v>
      </c>
      <c r="I549" s="111" t="s">
        <v>483</v>
      </c>
    </row>
    <row r="550" spans="1:9" ht="14.5" x14ac:dyDescent="0.35">
      <c r="A550" t="str">
        <f t="shared" si="8"/>
        <v>U2025168</v>
      </c>
      <c r="B550" s="111" t="s">
        <v>582</v>
      </c>
      <c r="C550" s="112">
        <v>168</v>
      </c>
      <c r="D550" s="112">
        <v>17</v>
      </c>
      <c r="E550" s="111" t="s">
        <v>269</v>
      </c>
      <c r="F550" s="111" t="s">
        <v>210</v>
      </c>
      <c r="G550" s="111" t="s">
        <v>212</v>
      </c>
      <c r="H550" s="113">
        <v>46057.791666666664</v>
      </c>
      <c r="I550" s="111" t="s">
        <v>694</v>
      </c>
    </row>
    <row r="551" spans="1:9" ht="14.5" x14ac:dyDescent="0.35">
      <c r="A551" t="str">
        <f t="shared" si="8"/>
        <v>U2025169</v>
      </c>
      <c r="B551" s="111" t="s">
        <v>582</v>
      </c>
      <c r="C551" s="112">
        <v>169</v>
      </c>
      <c r="D551" s="112">
        <v>17</v>
      </c>
      <c r="E551" s="111" t="s">
        <v>269</v>
      </c>
      <c r="F551" s="111" t="s">
        <v>199</v>
      </c>
      <c r="G551" s="111" t="s">
        <v>213</v>
      </c>
      <c r="H551" s="113">
        <v>46057.833333333336</v>
      </c>
      <c r="I551" s="111" t="s">
        <v>695</v>
      </c>
    </row>
    <row r="552" spans="1:9" ht="14.5" x14ac:dyDescent="0.35">
      <c r="A552" t="str">
        <f t="shared" si="8"/>
        <v>U2025170</v>
      </c>
      <c r="B552" s="111" t="s">
        <v>582</v>
      </c>
      <c r="C552" s="112">
        <v>170</v>
      </c>
      <c r="D552" s="112">
        <v>17</v>
      </c>
      <c r="E552" s="111" t="s">
        <v>269</v>
      </c>
      <c r="F552" s="111" t="s">
        <v>207</v>
      </c>
      <c r="G552" s="111" t="s">
        <v>211</v>
      </c>
      <c r="H552" s="113">
        <v>46057.791666666664</v>
      </c>
      <c r="I552" s="111" t="s">
        <v>695</v>
      </c>
    </row>
    <row r="553" spans="1:9" ht="14.5" x14ac:dyDescent="0.35">
      <c r="A553" t="str">
        <f t="shared" si="8"/>
        <v>U2025171</v>
      </c>
      <c r="B553" s="111" t="s">
        <v>582</v>
      </c>
      <c r="C553" s="112">
        <v>171</v>
      </c>
      <c r="D553" s="112">
        <v>18</v>
      </c>
      <c r="E553" s="111" t="s">
        <v>269</v>
      </c>
      <c r="F553" s="111" t="s">
        <v>216</v>
      </c>
      <c r="G553" s="111" t="s">
        <v>206</v>
      </c>
      <c r="H553" s="113">
        <v>46063.791666666664</v>
      </c>
      <c r="I553" s="111" t="s">
        <v>696</v>
      </c>
    </row>
    <row r="554" spans="1:9" ht="14.5" x14ac:dyDescent="0.35">
      <c r="A554" t="str">
        <f t="shared" si="8"/>
        <v>U2025172</v>
      </c>
      <c r="B554" s="111" t="s">
        <v>582</v>
      </c>
      <c r="C554" s="112">
        <v>172</v>
      </c>
      <c r="D554" s="112">
        <v>18</v>
      </c>
      <c r="E554" s="111" t="s">
        <v>269</v>
      </c>
      <c r="F554" s="111" t="s">
        <v>203</v>
      </c>
      <c r="G554" s="111" t="s">
        <v>209</v>
      </c>
      <c r="H554" s="113">
        <v>46064.8125</v>
      </c>
      <c r="I554" s="111" t="s">
        <v>697</v>
      </c>
    </row>
    <row r="555" spans="1:9" ht="14.5" x14ac:dyDescent="0.35">
      <c r="A555" t="str">
        <f t="shared" si="8"/>
        <v>U2025173</v>
      </c>
      <c r="B555" s="111" t="s">
        <v>582</v>
      </c>
      <c r="C555" s="112">
        <v>173</v>
      </c>
      <c r="D555" s="112">
        <v>18</v>
      </c>
      <c r="E555" s="111" t="s">
        <v>269</v>
      </c>
      <c r="F555" s="111" t="s">
        <v>215</v>
      </c>
      <c r="G555" s="111" t="s">
        <v>204</v>
      </c>
      <c r="H555" s="113">
        <v>46064.833333333336</v>
      </c>
      <c r="I555" s="111" t="s">
        <v>698</v>
      </c>
    </row>
    <row r="556" spans="1:9" ht="14.5" x14ac:dyDescent="0.35">
      <c r="A556" t="str">
        <f t="shared" si="8"/>
        <v>U2025174</v>
      </c>
      <c r="B556" s="111" t="s">
        <v>582</v>
      </c>
      <c r="C556" s="112">
        <v>174</v>
      </c>
      <c r="D556" s="112">
        <v>18</v>
      </c>
      <c r="E556" s="111" t="s">
        <v>269</v>
      </c>
      <c r="F556" s="111" t="s">
        <v>202</v>
      </c>
      <c r="G556" s="111" t="s">
        <v>197</v>
      </c>
      <c r="H556" s="113">
        <v>46064.791666666664</v>
      </c>
      <c r="I556" s="111" t="s">
        <v>699</v>
      </c>
    </row>
    <row r="557" spans="1:9" ht="14.5" x14ac:dyDescent="0.35">
      <c r="A557" t="str">
        <f t="shared" si="8"/>
        <v>U2025175</v>
      </c>
      <c r="B557" s="111" t="s">
        <v>582</v>
      </c>
      <c r="C557" s="112">
        <v>175</v>
      </c>
      <c r="D557" s="112">
        <v>18</v>
      </c>
      <c r="E557" s="111" t="s">
        <v>269</v>
      </c>
      <c r="F557" s="111" t="s">
        <v>205</v>
      </c>
      <c r="G557" s="111" t="s">
        <v>198</v>
      </c>
      <c r="H557" s="113">
        <v>46064.791666666664</v>
      </c>
      <c r="I557" s="111" t="s">
        <v>699</v>
      </c>
    </row>
    <row r="558" spans="1:9" ht="14.5" x14ac:dyDescent="0.35">
      <c r="A558" t="str">
        <f t="shared" si="8"/>
        <v>U2025176</v>
      </c>
      <c r="B558" s="111" t="s">
        <v>582</v>
      </c>
      <c r="C558" s="112">
        <v>176</v>
      </c>
      <c r="D558" s="112">
        <v>18</v>
      </c>
      <c r="E558" s="111" t="s">
        <v>269</v>
      </c>
      <c r="F558" s="111" t="s">
        <v>208</v>
      </c>
      <c r="G558" s="111" t="s">
        <v>207</v>
      </c>
      <c r="H558" s="113">
        <v>46064.8125</v>
      </c>
      <c r="I558" s="111" t="s">
        <v>700</v>
      </c>
    </row>
    <row r="559" spans="1:9" ht="14.5" x14ac:dyDescent="0.35">
      <c r="A559" t="str">
        <f t="shared" si="8"/>
        <v>U2025177</v>
      </c>
      <c r="B559" s="111" t="s">
        <v>582</v>
      </c>
      <c r="C559" s="112">
        <v>177</v>
      </c>
      <c r="D559" s="112">
        <v>18</v>
      </c>
      <c r="E559" s="111" t="s">
        <v>269</v>
      </c>
      <c r="F559" s="111" t="s">
        <v>211</v>
      </c>
      <c r="G559" s="111" t="s">
        <v>199</v>
      </c>
      <c r="H559" s="113">
        <v>46063.8125</v>
      </c>
      <c r="I559" s="111" t="s">
        <v>701</v>
      </c>
    </row>
    <row r="560" spans="1:9" ht="14.5" x14ac:dyDescent="0.35">
      <c r="A560" t="str">
        <f t="shared" si="8"/>
        <v>U2025178</v>
      </c>
      <c r="B560" s="111" t="s">
        <v>582</v>
      </c>
      <c r="C560" s="112">
        <v>178</v>
      </c>
      <c r="D560" s="112">
        <v>18</v>
      </c>
      <c r="E560" s="111" t="s">
        <v>269</v>
      </c>
      <c r="F560" s="111" t="s">
        <v>213</v>
      </c>
      <c r="G560" s="111" t="s">
        <v>210</v>
      </c>
      <c r="H560" s="113">
        <v>46064.791666666664</v>
      </c>
      <c r="I560" s="111" t="s">
        <v>702</v>
      </c>
    </row>
    <row r="561" spans="1:9" ht="14.5" x14ac:dyDescent="0.35">
      <c r="A561" t="str">
        <f t="shared" si="8"/>
        <v>U2025179</v>
      </c>
      <c r="B561" s="111" t="s">
        <v>582</v>
      </c>
      <c r="C561" s="112">
        <v>179</v>
      </c>
      <c r="D561" s="112">
        <v>18</v>
      </c>
      <c r="E561" s="111" t="s">
        <v>269</v>
      </c>
      <c r="F561" s="111" t="s">
        <v>212</v>
      </c>
      <c r="G561" s="111" t="s">
        <v>214</v>
      </c>
      <c r="H561" s="113">
        <v>46063.833333333336</v>
      </c>
      <c r="I561" s="111" t="s">
        <v>703</v>
      </c>
    </row>
    <row r="562" spans="1:9" ht="14.5" x14ac:dyDescent="0.3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0" zeroHeight="1" x14ac:dyDescent="0.25"/>
  <cols>
    <col min="1" max="1" width="3.1796875" style="43" customWidth="1"/>
    <col min="2" max="2" width="13.81640625" style="43" bestFit="1" customWidth="1"/>
    <col min="3" max="3" width="24.81640625" style="43" bestFit="1" customWidth="1"/>
    <col min="4" max="4" width="6.453125" style="43" bestFit="1" customWidth="1"/>
    <col min="5" max="5" width="1.453125" style="43" customWidth="1"/>
    <col min="6" max="6" width="34.453125" style="43" bestFit="1" customWidth="1"/>
    <col min="7" max="7" width="1.453125" style="43" customWidth="1"/>
    <col min="8" max="16382" width="10.81640625" style="43" hidden="1"/>
    <col min="16383" max="16384" width="52.54296875" style="43" hidden="1" customWidth="1"/>
  </cols>
  <sheetData>
    <row r="1" spans="2:6" x14ac:dyDescent="0.25">
      <c r="F1" s="44" t="str">
        <f>"REPORT_"&amp;'SCOUT &amp; LOGISTICS'!B2&amp;TEXT('SCOUT &amp; LOGISTICS'!C2,"000")</f>
        <v>REPORT_U2025168</v>
      </c>
    </row>
    <row r="2" spans="2:6" x14ac:dyDescent="0.25">
      <c r="F2" s="45" t="s">
        <v>157</v>
      </c>
    </row>
    <row r="3" spans="2:6" x14ac:dyDescent="0.25">
      <c r="B3" s="43" t="s">
        <v>156</v>
      </c>
      <c r="C3" s="43" t="str">
        <f>""""&amp;'SCOUT &amp; LOGISTICS'!B2&amp;TEXT('SCOUT &amp; LOGISTICS'!C2,"000")&amp;""""</f>
        <v>"U2025168"</v>
      </c>
      <c r="F3" s="45" t="str">
        <f t="shared" ref="F3:F16" si="0">""""&amp;B3&amp;"""" &amp; " : " &amp;C3&amp;","</f>
        <v>"name" : "U2025168",</v>
      </c>
    </row>
    <row r="4" spans="2:6" x14ac:dyDescent="0.25">
      <c r="B4" s="43" t="s">
        <v>119</v>
      </c>
      <c r="C4" s="43" t="str">
        <f>""""&amp;LEFT('SCOUT &amp; LOGISTICS'!B2,1) &amp; TEXT('SCOUT &amp; LOGISTICS'!C2,"000")&amp;""""</f>
        <v>"U168"</v>
      </c>
      <c r="F4" s="45" t="str">
        <f t="shared" si="0"/>
        <v>"cod" : "U168",</v>
      </c>
    </row>
    <row r="5" spans="2:6" x14ac:dyDescent="0.25">
      <c r="B5" s="43" t="s">
        <v>117</v>
      </c>
      <c r="C5" s="43" t="str">
        <f>""""&amp;LEFT('SCOUT &amp; LOGISTICS'!B2,1)&amp;""""</f>
        <v>"U"</v>
      </c>
      <c r="F5" s="45" t="str">
        <f t="shared" si="0"/>
        <v>"competition" : "U",</v>
      </c>
    </row>
    <row r="6" spans="2:6" x14ac:dyDescent="0.25">
      <c r="B6" s="43" t="s">
        <v>118</v>
      </c>
      <c r="C6" s="43" t="str">
        <f>TEXT('SCOUT &amp; LOGISTICS'!C2,"000")</f>
        <v>168</v>
      </c>
      <c r="F6" s="45" t="str">
        <f t="shared" si="0"/>
        <v>"number" : 168,</v>
      </c>
    </row>
    <row r="7" spans="2:6" x14ac:dyDescent="0.25">
      <c r="B7" s="43" t="s">
        <v>116</v>
      </c>
      <c r="C7" s="43" t="str">
        <f ca="1">""""&amp;TEXT('SCOUT &amp; LOGISTICS'!B3,"dd/mm/aaaa")&amp;""""</f>
        <v>"04/02/Wednesday"</v>
      </c>
      <c r="F7" s="45" t="str">
        <f t="shared" ca="1" si="0"/>
        <v>"date" : "04/02/Wednesday",</v>
      </c>
    </row>
    <row r="8" spans="2:6" x14ac:dyDescent="0.25">
      <c r="B8" s="43" t="s">
        <v>125</v>
      </c>
      <c r="C8" s="43" t="str">
        <f>""""&amp;'SCOUT &amp; LOGISTICS'!D4 &amp;""""</f>
        <v>"NINERS Chemnitz"</v>
      </c>
      <c r="F8" s="45" t="str">
        <f t="shared" si="0"/>
        <v>"home_team" : "NINERS Chemnitz",</v>
      </c>
    </row>
    <row r="9" spans="2:6" x14ac:dyDescent="0.25">
      <c r="B9" s="43" t="s">
        <v>126</v>
      </c>
      <c r="C9" s="43" t="str">
        <f>""""&amp;'SCOUT &amp; LOGISTICS'!D5&amp;""""</f>
        <v>"Dolomiti Energia Trento"</v>
      </c>
      <c r="F9" s="45" t="str">
        <f t="shared" si="0"/>
        <v>"away_team" : "Dolomiti Energia Trento",</v>
      </c>
    </row>
    <row r="10" spans="2:6" x14ac:dyDescent="0.25">
      <c r="B10" s="43" t="s">
        <v>127</v>
      </c>
      <c r="C10" s="43" t="str">
        <f>""""&amp;IF('SCOUT &amp; LOGISTICS'!D6="","",'SCOUT &amp; LOGISTICS'!D6)&amp;""""</f>
        <v>"KIM THÄMMIG"</v>
      </c>
      <c r="F10" s="45" t="str">
        <f t="shared" si="0"/>
        <v>"Data_entry" : "KIM THÄMMIG",</v>
      </c>
    </row>
    <row r="11" spans="2:6" x14ac:dyDescent="0.25">
      <c r="B11" s="43" t="s">
        <v>128</v>
      </c>
      <c r="C11" s="43" t="str">
        <f>""""&amp;IF('SCOUT &amp; LOGISTICS'!D7="","",'SCOUT &amp; LOGISTICS'!D7)&amp;""""</f>
        <v>"MARC ROTHE"</v>
      </c>
      <c r="F11" s="45" t="str">
        <f t="shared" si="0"/>
        <v>"Caller_1" : "MARC ROTHE",</v>
      </c>
    </row>
    <row r="12" spans="2:6" x14ac:dyDescent="0.25">
      <c r="B12" s="43" t="s">
        <v>129</v>
      </c>
      <c r="C12" s="43" t="str">
        <f>""""&amp;IF('SCOUT &amp; LOGISTICS'!D8="","",'SCOUT &amp; LOGISTICS'!D8)&amp;""""</f>
        <v>"ALEXANDER JAHN"</v>
      </c>
      <c r="F12" s="45" t="str">
        <f t="shared" si="0"/>
        <v>"Caller_2" : "ALEXANDER JAHN",</v>
      </c>
    </row>
    <row r="13" spans="2:6" x14ac:dyDescent="0.25">
      <c r="B13" s="43" t="s">
        <v>98</v>
      </c>
      <c r="C13" s="43" t="str">
        <f>""""&amp;IF('SCOUT &amp; LOGISTICS'!D9="","",'SCOUT &amp; LOGISTICS'!D9)&amp;""""</f>
        <v>"SEBASTIAN LUCK"</v>
      </c>
      <c r="F13" s="45" t="str">
        <f t="shared" si="0"/>
        <v>"Timerkeeper" : "SEBASTIAN LUCK",</v>
      </c>
    </row>
    <row r="14" spans="2:6" x14ac:dyDescent="0.25">
      <c r="B14" s="43" t="s">
        <v>99</v>
      </c>
      <c r="C14" s="43" t="str">
        <f>""""&amp;IF('SCOUT &amp; LOGISTICS'!D10="","",'SCOUT &amp; LOGISTICS'!D10)&amp;""""</f>
        <v>"FRANZISKA BRÜCKNER"</v>
      </c>
      <c r="F14" s="45" t="str">
        <f t="shared" si="0"/>
        <v>"Shotclock" : "FRANZISKA BRÜCKNER",</v>
      </c>
    </row>
    <row r="15" spans="2:6" x14ac:dyDescent="0.25">
      <c r="B15" s="43" t="s">
        <v>108</v>
      </c>
      <c r="C15" s="43" t="str">
        <f>""""&amp;IF('SCOUT &amp; LOGISTICS'!D11="","",'SCOUT &amp; LOGISTICS'!D11)&amp;""""</f>
        <v>"IRS"</v>
      </c>
      <c r="F15" s="45" t="str">
        <f t="shared" si="0"/>
        <v>"IRS" : "IRS",</v>
      </c>
    </row>
    <row r="16" spans="2:6" x14ac:dyDescent="0.25">
      <c r="B16" s="43" t="s">
        <v>130</v>
      </c>
      <c r="C16" s="43" t="str">
        <f>""""&amp;IF('SCOUT &amp; LOGISTICS'!D14=0,"",'SCOUT &amp; LOGISTICS'!D14)&amp;""""</f>
        <v>"ORIOL GARCIA"</v>
      </c>
      <c r="F16" s="45" t="str">
        <f t="shared" si="0"/>
        <v>"Live_Game_Manager" : "ORIOL GARCIA",</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"YES"</v>
      </c>
      <c r="F19" s="45" t="str">
        <f>""""&amp;C19&amp;"""" &amp; " : " &amp;D19&amp;","</f>
        <v>"check_list_on_time" : "YES",</v>
      </c>
    </row>
    <row r="20" spans="2:6" x14ac:dyDescent="0.25">
      <c r="C20" s="43" t="s">
        <v>122</v>
      </c>
      <c r="D20" s="43" t="str">
        <f>""""&amp;IF('SCOUT &amp; LOGISTICS'!K12="","",'SCOUT &amp; LOGISTICS'!K12)&amp;""""</f>
        <v>"OK"</v>
      </c>
      <c r="F20" s="45" t="str">
        <f>""""&amp;C20&amp;"""" &amp; " : " &amp;D20&amp;","</f>
        <v>"communication" : "OK",</v>
      </c>
    </row>
    <row r="21" spans="2:6" x14ac:dyDescent="0.25">
      <c r="C21" s="43" t="s">
        <v>123</v>
      </c>
      <c r="D21" s="43" t="str">
        <f>""""&amp;IF('SCOUT &amp; LOGISTICS'!L12="","",'SCOUT &amp; LOGISTICS'!L12)&amp;""""</f>
        <v>"OK"</v>
      </c>
      <c r="F21" s="45" t="str">
        <f>""""&amp;C21&amp;"""" &amp; " : " &amp;D21&amp;","</f>
        <v>"corrections" : "OK",</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553</v>
      </c>
      <c r="F25" s="45" t="str">
        <f t="shared" ref="F25:F48" si="1">""""&amp;C25&amp;"""" &amp; " : " &amp;D25&amp;","</f>
        <v>"total_actions" : 553,</v>
      </c>
    </row>
    <row r="26" spans="2:6" x14ac:dyDescent="0.25">
      <c r="C26" s="43" t="s">
        <v>132</v>
      </c>
      <c r="D26" s="43">
        <f>'SCOUT &amp; LOGISTICS'!F3</f>
        <v>10</v>
      </c>
      <c r="F26" s="45" t="str">
        <f t="shared" si="1"/>
        <v>"total_correcions" : 10,</v>
      </c>
    </row>
    <row r="27" spans="2:6" x14ac:dyDescent="0.25">
      <c r="C27" s="43" t="s">
        <v>133</v>
      </c>
      <c r="D27" s="43" t="str">
        <f>""""&amp;IF(OR(D25="",D25=0),"",TEXT(D26/D25,"0,0%"))&amp;""""</f>
        <v>"02%"</v>
      </c>
      <c r="F27" s="45" t="str">
        <f t="shared" si="1"/>
        <v>"%_corrections" : "02%",</v>
      </c>
    </row>
    <row r="28" spans="2:6" x14ac:dyDescent="0.25">
      <c r="C28" s="43" t="s">
        <v>125</v>
      </c>
      <c r="D28" s="43">
        <f>IF('SCOUT &amp; LOGISTICS'!AA17="","",'SCOUT &amp; LOGISTICS'!AA17)</f>
        <v>3</v>
      </c>
      <c r="F28" s="45" t="str">
        <f t="shared" si="1"/>
        <v>"home_team" : 3,</v>
      </c>
    </row>
    <row r="29" spans="2:6" x14ac:dyDescent="0.25">
      <c r="C29" s="43" t="s">
        <v>134</v>
      </c>
      <c r="D29" s="43">
        <f>IF('SCOUT &amp; LOGISTICS'!AA18="","",'SCOUT &amp; LOGISTICS'!AA18)</f>
        <v>6</v>
      </c>
      <c r="F29" s="45" t="str">
        <f t="shared" si="1"/>
        <v>"no_team" : 6,</v>
      </c>
    </row>
    <row r="30" spans="2:6" x14ac:dyDescent="0.25">
      <c r="C30" s="43" t="s">
        <v>126</v>
      </c>
      <c r="D30" s="43">
        <f>IF('SCOUT &amp; LOGISTICS'!AA19="","",'SCOUT &amp; LOGISTICS'!AA19)</f>
        <v>1</v>
      </c>
      <c r="F30" s="45" t="str">
        <f t="shared" si="1"/>
        <v>"away_team" : 1,</v>
      </c>
    </row>
    <row r="31" spans="2:6" x14ac:dyDescent="0.25">
      <c r="C31" s="43" t="s">
        <v>135</v>
      </c>
      <c r="D31" s="43">
        <f>'SCOUT &amp; LOGISTICS'!AG17</f>
        <v>2</v>
      </c>
      <c r="F31" s="45" t="str">
        <f t="shared" si="1"/>
        <v>"q1" : 2,</v>
      </c>
    </row>
    <row r="32" spans="2:6" x14ac:dyDescent="0.25">
      <c r="C32" s="43" t="s">
        <v>136</v>
      </c>
      <c r="D32" s="43">
        <f>'SCOUT &amp; LOGISTICS'!AG18</f>
        <v>2</v>
      </c>
      <c r="F32" s="45" t="str">
        <f t="shared" si="1"/>
        <v>"q2" : 2,</v>
      </c>
    </row>
    <row r="33" spans="3:6" x14ac:dyDescent="0.25">
      <c r="C33" s="43" t="s">
        <v>137</v>
      </c>
      <c r="D33" s="43">
        <f>'SCOUT &amp; LOGISTICS'!AG19</f>
        <v>2</v>
      </c>
      <c r="F33" s="45" t="str">
        <f t="shared" si="1"/>
        <v>"q3" : 2,</v>
      </c>
    </row>
    <row r="34" spans="3:6" x14ac:dyDescent="0.25">
      <c r="C34" s="43" t="s">
        <v>138</v>
      </c>
      <c r="D34" s="43">
        <f>'SCOUT &amp; LOGISTICS'!AG20</f>
        <v>4</v>
      </c>
      <c r="F34" s="45" t="str">
        <f t="shared" si="1"/>
        <v>"q4" : 4,</v>
      </c>
    </row>
    <row r="35" spans="3:6" x14ac:dyDescent="0.25">
      <c r="C35" s="43" t="s">
        <v>59</v>
      </c>
      <c r="D35" s="43">
        <f>'SCOUT &amp; LOGISTICS'!AG21</f>
        <v>0</v>
      </c>
      <c r="F35" s="45" t="str">
        <f t="shared" si="1"/>
        <v>"et" : 0,</v>
      </c>
    </row>
    <row r="36" spans="3:6" x14ac:dyDescent="0.25">
      <c r="C36" s="43" t="s">
        <v>139</v>
      </c>
      <c r="D36" s="43">
        <f>'SCOUT &amp; LOGISTICS'!Y18</f>
        <v>0</v>
      </c>
      <c r="F36" s="45" t="str">
        <f t="shared" si="1"/>
        <v>"boxscore_corrections" : 0,</v>
      </c>
    </row>
    <row r="37" spans="3:6" x14ac:dyDescent="0.25">
      <c r="C37" s="43" t="s">
        <v>140</v>
      </c>
      <c r="D37" s="43">
        <f>'SCOUT &amp; LOGISTICS'!Y16</f>
        <v>10</v>
      </c>
      <c r="F37" s="45" t="str">
        <f t="shared" si="1"/>
        <v>"scoresheet_corrections" : 10,</v>
      </c>
    </row>
    <row r="38" spans="3:6" x14ac:dyDescent="0.25">
      <c r="C38" s="43" t="s">
        <v>141</v>
      </c>
      <c r="D38" s="43">
        <f>'SCOUT &amp; LOGISTICS'!AC17</f>
        <v>0</v>
      </c>
      <c r="F38" s="45" t="str">
        <f t="shared" si="1"/>
        <v>"criteria" : 0,</v>
      </c>
    </row>
    <row r="39" spans="3:6" x14ac:dyDescent="0.25">
      <c r="C39" s="43" t="s">
        <v>142</v>
      </c>
      <c r="D39" s="43">
        <f>'SCOUT &amp; LOGISTICS'!AC18</f>
        <v>3</v>
      </c>
      <c r="F39" s="45" t="str">
        <f t="shared" si="1"/>
        <v>"missidentity" : 3,</v>
      </c>
    </row>
    <row r="40" spans="3:6" x14ac:dyDescent="0.25">
      <c r="C40" s="43" t="s">
        <v>143</v>
      </c>
      <c r="D40" s="43">
        <f>'SCOUT &amp; LOGISTICS'!AC19</f>
        <v>0</v>
      </c>
      <c r="F40" s="45" t="str">
        <f t="shared" si="1"/>
        <v>"missing" : 0,</v>
      </c>
    </row>
    <row r="41" spans="3:6" x14ac:dyDescent="0.25">
      <c r="C41" s="43" t="s">
        <v>144</v>
      </c>
      <c r="D41" s="43">
        <f>'SCOUT &amp; LOGISTICS'!AF26</f>
        <v>0</v>
      </c>
      <c r="F41" s="45" t="str">
        <f t="shared" si="1"/>
        <v>"irs" : 0,</v>
      </c>
    </row>
    <row r="42" spans="3:6" x14ac:dyDescent="0.25">
      <c r="C42" s="43" t="s">
        <v>145</v>
      </c>
      <c r="D42" s="43">
        <f>'SCOUT &amp; LOGISTICS'!AF46</f>
        <v>0</v>
      </c>
      <c r="F42" s="45" t="str">
        <f t="shared" si="1"/>
        <v>"substitution" : 0,</v>
      </c>
    </row>
    <row r="43" spans="3:6" x14ac:dyDescent="0.25">
      <c r="C43" s="43" t="s">
        <v>146</v>
      </c>
      <c r="D43" s="43">
        <f>'SCOUT &amp; LOGISTICS'!AF19</f>
        <v>0</v>
      </c>
      <c r="F43" s="45" t="str">
        <f t="shared" si="1"/>
        <v>"coach_challenge" : 0,</v>
      </c>
    </row>
    <row r="44" spans="3:6" x14ac:dyDescent="0.25">
      <c r="C44" s="43" t="s">
        <v>147</v>
      </c>
      <c r="D44" s="43">
        <f>'SCOUT &amp; LOGISTICS'!AC20</f>
        <v>0</v>
      </c>
      <c r="F44" s="45" t="str">
        <f t="shared" si="1"/>
        <v>"not_happened" : 0,</v>
      </c>
    </row>
    <row r="45" spans="3:6" x14ac:dyDescent="0.25">
      <c r="C45" s="43" t="s">
        <v>148</v>
      </c>
      <c r="D45" s="43">
        <f>'SCOUT &amp; LOGISTICS'!AC21</f>
        <v>0</v>
      </c>
      <c r="F45" s="45" t="str">
        <f t="shared" si="1"/>
        <v>"missplaced" : 0,</v>
      </c>
    </row>
    <row r="46" spans="3:6" x14ac:dyDescent="0.25">
      <c r="C46" s="46" t="s">
        <v>154</v>
      </c>
      <c r="D46" s="43">
        <f>'SCOUT &amp; LOGISTICS'!AC23</f>
        <v>2</v>
      </c>
      <c r="F46" s="45" t="str">
        <f t="shared" si="1"/>
        <v>"part_of_a_sequence" : 2,</v>
      </c>
    </row>
    <row r="47" spans="3:6" x14ac:dyDescent="0.25">
      <c r="C47" s="43" t="s">
        <v>149</v>
      </c>
      <c r="D47" s="43">
        <f>'SCOUT &amp; LOGISTICS'!AF39</f>
        <v>0</v>
      </c>
      <c r="F47" s="45" t="str">
        <f t="shared" si="1"/>
        <v>"time_out" : 0,</v>
      </c>
    </row>
    <row r="48" spans="3:6" x14ac:dyDescent="0.25">
      <c r="C48" s="43" t="s">
        <v>150</v>
      </c>
      <c r="D48" s="43">
        <f>'SCOUT &amp; LOGISTICS'!V16</f>
        <v>0</v>
      </c>
      <c r="F48" s="45" t="str">
        <f t="shared" si="1"/>
        <v>"fouls" : 0,</v>
      </c>
    </row>
    <row r="49" spans="2:6" x14ac:dyDescent="0.25">
      <c r="C49" s="43" t="s">
        <v>151</v>
      </c>
      <c r="D49" s="43">
        <f>'SCOUT &amp; LOGISTICS'!R16</f>
        <v>0</v>
      </c>
      <c r="F49" s="45" t="str">
        <f>""""&amp;C49&amp;"""" &amp; " : " &amp;D49</f>
        <v>"points" : 0</v>
      </c>
    </row>
    <row r="50" spans="2:6" x14ac:dyDescent="0.25">
      <c r="F50" s="45" t="s">
        <v>158</v>
      </c>
    </row>
    <row r="51" spans="2:6" x14ac:dyDescent="0.25">
      <c r="B51" s="43" t="s">
        <v>152</v>
      </c>
      <c r="C51" s="43" t="str">
        <f>""""&amp;IF('SCOUT &amp; LOGISTICS'!M4="","",'SCOUT &amp; LOGISTICS'!M4)&amp;""""</f>
        <v>"Mani corrections on missing plays or number of the player who made the action. Try to keep an eye not only on the ball but everything that is happening on court. Good communication"</v>
      </c>
      <c r="F51" s="45" t="str">
        <f>""""&amp;B51&amp;"""" &amp; " : " &amp;C51&amp;","</f>
        <v>"comments" : "Mani corrections on missing plays or number of the player who made the action. Try to keep an eye not only on the ball but everything that is happening on court. Good communication",</v>
      </c>
    </row>
    <row r="52" spans="2:6" x14ac:dyDescent="0.25">
      <c r="B52" s="43" t="s">
        <v>153</v>
      </c>
      <c r="C52" s="43" t="str">
        <f>TEXT('SCOUT &amp; LOGISTICS'!F1,"0,0")</f>
        <v>17_168_NIN_TRN_U2025</v>
      </c>
      <c r="F52" s="45" t="str">
        <f>""""&amp;B52&amp;"""" &amp; " : " &amp;C52</f>
        <v>"result" : 17_168_NIN_TRN_U2025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2.5" zeroHeight="1" x14ac:dyDescent="0.25"/>
  <cols>
    <col min="1" max="1" width="5.1796875" style="47" customWidth="1"/>
    <col min="2" max="2" width="2.81640625" style="47" customWidth="1"/>
    <col min="3" max="31" width="3.1796875" style="47" customWidth="1"/>
    <col min="32" max="32" width="5.54296875" style="47" customWidth="1"/>
    <col min="33" max="16384" width="6.54296875" style="47" hidden="1"/>
  </cols>
  <sheetData>
    <row r="1" spans="1:33" s="48" customFormat="1" ht="11.15" customHeight="1" x14ac:dyDescent="0.25"/>
    <row r="2" spans="1:33" ht="42.65" customHeight="1" thickBot="1" x14ac:dyDescent="0.3">
      <c r="A2" s="48"/>
      <c r="B2" s="199" t="s">
        <v>708</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48"/>
    </row>
    <row r="3" spans="1:33" ht="27" customHeight="1" thickBot="1" x14ac:dyDescent="0.3">
      <c r="A3" s="48"/>
      <c r="B3" s="208" t="str">
        <f>"GAME: "&amp; LEFT('SCOUT &amp; LOGISTICS'!B2,1) &amp; TEXT('SCOUT &amp; LOGISTICS'!C2,"000") &amp; " " &amp; IF(LEFT('SCOUT &amp; LOGISTICS'!B2,1)="U","(EUROCUP)","(EUROLEAGUE)")</f>
        <v>GAME: U168 (EUROCUP)</v>
      </c>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48"/>
    </row>
    <row r="4" spans="1:33" ht="14.25" customHeight="1" thickBot="1" x14ac:dyDescent="0.3">
      <c r="A4" s="48"/>
      <c r="B4" s="194" t="str">
        <f ca="1">"DATE: " &amp; TEXT('SCOUT &amp; LOGISTICS'!B3,"dd/mm")</f>
        <v>DATE: 04/02</v>
      </c>
      <c r="C4" s="194"/>
      <c r="D4" s="194"/>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48"/>
    </row>
    <row r="5" spans="1:33" ht="20.149999999999999" customHeight="1" thickBot="1" x14ac:dyDescent="0.3">
      <c r="A5" s="48"/>
      <c r="B5" s="209" t="s">
        <v>62</v>
      </c>
      <c r="C5" s="209"/>
      <c r="D5" s="209"/>
      <c r="E5" s="209"/>
      <c r="F5" s="209"/>
      <c r="G5" s="209"/>
      <c r="H5" s="209"/>
      <c r="I5" s="209"/>
      <c r="J5" s="209"/>
      <c r="K5" s="209"/>
      <c r="L5" s="209"/>
      <c r="M5" s="209"/>
      <c r="N5" s="209"/>
      <c r="O5" s="209"/>
      <c r="P5" s="209"/>
      <c r="Q5" s="209" t="s">
        <v>63</v>
      </c>
      <c r="R5" s="209"/>
      <c r="S5" s="209"/>
      <c r="T5" s="209"/>
      <c r="U5" s="209"/>
      <c r="V5" s="209"/>
      <c r="W5" s="209"/>
      <c r="X5" s="209"/>
      <c r="Y5" s="209"/>
      <c r="Z5" s="209"/>
      <c r="AA5" s="209"/>
      <c r="AB5" s="209"/>
      <c r="AC5" s="209"/>
      <c r="AD5" s="209"/>
      <c r="AE5" s="209"/>
      <c r="AF5" s="48"/>
    </row>
    <row r="6" spans="1:33" ht="23.15" customHeight="1" thickBot="1" x14ac:dyDescent="0.3">
      <c r="A6" s="48"/>
      <c r="B6" s="212" t="str">
        <f>PROPER('SCOUT &amp; LOGISTICS'!D4)</f>
        <v>Niners Chemnitz</v>
      </c>
      <c r="C6" s="212"/>
      <c r="D6" s="212"/>
      <c r="E6" s="212"/>
      <c r="F6" s="212"/>
      <c r="G6" s="212"/>
      <c r="H6" s="212"/>
      <c r="I6" s="212"/>
      <c r="J6" s="212"/>
      <c r="K6" s="212"/>
      <c r="L6" s="212"/>
      <c r="M6" s="212"/>
      <c r="N6" s="212"/>
      <c r="O6" s="212"/>
      <c r="P6" s="212"/>
      <c r="Q6" s="212" t="str">
        <f>PROPER('SCOUT &amp; LOGISTICS'!D5)</f>
        <v>Dolomiti Energia Trento</v>
      </c>
      <c r="R6" s="212"/>
      <c r="S6" s="212"/>
      <c r="T6" s="212"/>
      <c r="U6" s="212"/>
      <c r="V6" s="212"/>
      <c r="W6" s="212"/>
      <c r="X6" s="212"/>
      <c r="Y6" s="212"/>
      <c r="Z6" s="212"/>
      <c r="AA6" s="212"/>
      <c r="AB6" s="212"/>
      <c r="AC6" s="212"/>
      <c r="AD6" s="212"/>
      <c r="AE6" s="212"/>
      <c r="AF6" s="48"/>
    </row>
    <row r="7" spans="1:33" ht="19.5" customHeight="1" thickBot="1" x14ac:dyDescent="0.3">
      <c r="A7" s="48"/>
      <c r="B7" s="204" t="str">
        <f>'SCOUT &amp; LOGISTICS'!B6</f>
        <v>Data entry</v>
      </c>
      <c r="C7" s="204"/>
      <c r="D7" s="204"/>
      <c r="E7" s="204"/>
      <c r="F7" s="204"/>
      <c r="G7" s="204" t="str">
        <f>'SCOUT &amp; LOGISTICS'!B7</f>
        <v>Caller 1</v>
      </c>
      <c r="H7" s="204"/>
      <c r="I7" s="204"/>
      <c r="J7" s="204"/>
      <c r="K7" s="204"/>
      <c r="L7" s="204" t="str">
        <f>'SCOUT &amp; LOGISTICS'!B8</f>
        <v>Caller 2</v>
      </c>
      <c r="M7" s="204"/>
      <c r="N7" s="204"/>
      <c r="O7" s="204"/>
      <c r="P7" s="204"/>
      <c r="Q7" s="204" t="str">
        <f>'SCOUT &amp; LOGISTICS'!B9</f>
        <v>Timerkeeper</v>
      </c>
      <c r="R7" s="204"/>
      <c r="S7" s="204"/>
      <c r="T7" s="204"/>
      <c r="U7" s="204"/>
      <c r="V7" s="204" t="str">
        <f>'SCOUT &amp; LOGISTICS'!B10</f>
        <v>Shotclock</v>
      </c>
      <c r="W7" s="204"/>
      <c r="X7" s="204"/>
      <c r="Y7" s="204"/>
      <c r="Z7" s="204"/>
      <c r="AA7" s="204" t="str">
        <f>'SCOUT &amp; LOGISTICS'!B11</f>
        <v>IRS</v>
      </c>
      <c r="AB7" s="204"/>
      <c r="AC7" s="204"/>
      <c r="AD7" s="204"/>
      <c r="AE7" s="204"/>
      <c r="AF7" s="48"/>
    </row>
    <row r="8" spans="1:33" ht="36" customHeight="1" thickBot="1" x14ac:dyDescent="0.3">
      <c r="A8" s="48"/>
      <c r="B8" s="206" t="str">
        <f>IF('SCOUT &amp; LOGISTICS'!D6="","",'SCOUT &amp; LOGISTICS'!D6)</f>
        <v>KIM THÄMMIG</v>
      </c>
      <c r="C8" s="206"/>
      <c r="D8" s="206"/>
      <c r="E8" s="206"/>
      <c r="F8" s="206"/>
      <c r="G8" s="206" t="str">
        <f>IF('SCOUT &amp; LOGISTICS'!D7="","",'SCOUT &amp; LOGISTICS'!D7)</f>
        <v>MARC ROTHE</v>
      </c>
      <c r="H8" s="206"/>
      <c r="I8" s="206"/>
      <c r="J8" s="206"/>
      <c r="K8" s="206"/>
      <c r="L8" s="206" t="str">
        <f>IF('SCOUT &amp; LOGISTICS'!D8="","",'SCOUT &amp; LOGISTICS'!D8)</f>
        <v>ALEXANDER JAHN</v>
      </c>
      <c r="M8" s="206"/>
      <c r="N8" s="206"/>
      <c r="O8" s="206"/>
      <c r="P8" s="206"/>
      <c r="Q8" s="206" t="str">
        <f>IF('SCOUT &amp; LOGISTICS'!D9="","",'SCOUT &amp; LOGISTICS'!D9)</f>
        <v>SEBASTIAN LUCK</v>
      </c>
      <c r="R8" s="206"/>
      <c r="S8" s="206"/>
      <c r="T8" s="206"/>
      <c r="U8" s="206"/>
      <c r="V8" s="206" t="str">
        <f>IF('SCOUT &amp; LOGISTICS'!D10="","",'SCOUT &amp; LOGISTICS'!D10)</f>
        <v>FRANZISKA BRÜCKNER</v>
      </c>
      <c r="W8" s="206"/>
      <c r="X8" s="206"/>
      <c r="Y8" s="206"/>
      <c r="Z8" s="206"/>
      <c r="AA8" s="206" t="str">
        <f>IF('SCOUT &amp; LOGISTICS'!D11="","",'SCOUT &amp; LOGISTICS'!D11)</f>
        <v>IRS</v>
      </c>
      <c r="AB8" s="206"/>
      <c r="AC8" s="206"/>
      <c r="AD8" s="206"/>
      <c r="AE8" s="206"/>
      <c r="AF8" s="48"/>
    </row>
    <row r="9" spans="1:33" ht="13" thickBot="1" x14ac:dyDescent="0.3">
      <c r="A9" s="48"/>
      <c r="B9" s="200" t="str">
        <f>IF(OR('SCOUT &amp; LOGISTICS'!D14="",'SCOUT &amp; LOGISTICS'!D14=0),"",'SCOUT &amp; LOGISTICS'!B14 &amp; ": " &amp; 'SCOUT &amp; LOGISTICS'!D14) &amp; "     "</f>
        <v xml:space="preserve">L G M: : ORIOL GARCIA     </v>
      </c>
      <c r="C9" s="200"/>
      <c r="D9" s="200"/>
      <c r="E9" s="200"/>
      <c r="F9" s="200"/>
      <c r="G9" s="200"/>
      <c r="H9" s="200"/>
      <c r="I9" s="200"/>
      <c r="J9" s="200"/>
      <c r="K9" s="200"/>
      <c r="L9" s="200"/>
      <c r="M9" s="200"/>
      <c r="N9" s="200"/>
      <c r="O9" s="200"/>
      <c r="P9" s="200"/>
      <c r="Q9" s="200"/>
      <c r="R9" s="200"/>
      <c r="S9" s="200"/>
      <c r="T9" s="200"/>
      <c r="U9" s="200"/>
      <c r="V9" s="200"/>
      <c r="W9" s="200"/>
      <c r="X9" s="200"/>
      <c r="Y9" s="200"/>
      <c r="Z9" s="200"/>
      <c r="AA9" s="200"/>
      <c r="AB9" s="200"/>
      <c r="AC9" s="200"/>
      <c r="AD9" s="200"/>
      <c r="AE9" s="200"/>
      <c r="AF9" s="48"/>
    </row>
    <row r="10" spans="1:33" s="48" customFormat="1" ht="13" thickBot="1" x14ac:dyDescent="0.3">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row>
    <row r="11" spans="1:33" ht="20.149999999999999" customHeight="1" thickBot="1" x14ac:dyDescent="0.3">
      <c r="A11" s="48"/>
      <c r="B11" s="194" t="s">
        <v>13</v>
      </c>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48"/>
    </row>
    <row r="12" spans="1:33" ht="21" customHeight="1" thickBot="1" x14ac:dyDescent="0.3">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49999999999999" customHeight="1" thickBot="1" x14ac:dyDescent="0.3">
      <c r="A13" s="48"/>
      <c r="B13" s="207" t="str">
        <f>IF('SCOUT &amp; LOGISTICS'!I12="","",'SCOUT &amp; LOGISTICS'!I12)</f>
        <v>OK</v>
      </c>
      <c r="C13" s="207"/>
      <c r="D13" s="207"/>
      <c r="E13" s="207"/>
      <c r="F13" s="207"/>
      <c r="G13" s="207"/>
      <c r="H13" s="207" t="str">
        <f>IF('SCOUT &amp; LOGISTICS'!J12="","",'SCOUT &amp; LOGISTICS'!J12)</f>
        <v>YES</v>
      </c>
      <c r="I13" s="207"/>
      <c r="J13" s="207"/>
      <c r="K13" s="207"/>
      <c r="L13" s="207"/>
      <c r="M13" s="207"/>
      <c r="N13" s="207" t="str">
        <f>IF('SCOUT &amp; LOGISTICS'!K12="","",'SCOUT &amp; LOGISTICS'!K12)</f>
        <v>OK</v>
      </c>
      <c r="O13" s="207"/>
      <c r="P13" s="207"/>
      <c r="Q13" s="207"/>
      <c r="R13" s="207"/>
      <c r="S13" s="207"/>
      <c r="T13" s="207" t="str">
        <f>IF('SCOUT &amp; LOGISTICS'!L12="","",'SCOUT &amp; LOGISTICS'!L12)</f>
        <v>OK</v>
      </c>
      <c r="U13" s="207"/>
      <c r="V13" s="207"/>
      <c r="W13" s="207"/>
      <c r="X13" s="207"/>
      <c r="Y13" s="207"/>
      <c r="Z13" s="207" t="str">
        <f>IF('SCOUT &amp; LOGISTICS'!M12="","",'SCOUT &amp; LOGISTICS'!M12)</f>
        <v>NO</v>
      </c>
      <c r="AA13" s="207"/>
      <c r="AB13" s="207"/>
      <c r="AC13" s="207"/>
      <c r="AD13" s="207"/>
      <c r="AE13" s="207"/>
      <c r="AF13" s="48"/>
    </row>
    <row r="14" spans="1:33" s="48" customFormat="1" ht="13" thickBot="1" x14ac:dyDescent="0.3">
      <c r="B14" s="201"/>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row>
    <row r="15" spans="1:33" ht="20.149999999999999" customHeight="1" thickBot="1" x14ac:dyDescent="0.3">
      <c r="A15" s="48"/>
      <c r="B15" s="194" t="s">
        <v>45</v>
      </c>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48"/>
    </row>
    <row r="16" spans="1:33" ht="21" customHeight="1" thickBot="1" x14ac:dyDescent="0.3">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49999999999999" customHeight="1" thickBot="1" x14ac:dyDescent="0.3">
      <c r="A17" s="48"/>
      <c r="B17" s="204">
        <f>'SCOUT &amp; LOGISTICS'!D3</f>
        <v>553</v>
      </c>
      <c r="C17" s="204"/>
      <c r="D17" s="204"/>
      <c r="E17" s="204"/>
      <c r="F17" s="204"/>
      <c r="G17" s="204"/>
      <c r="H17" s="204"/>
      <c r="I17" s="204"/>
      <c r="J17" s="204"/>
      <c r="K17" s="204"/>
      <c r="L17" s="204">
        <f>'SCOUT &amp; LOGISTICS'!F3</f>
        <v>10</v>
      </c>
      <c r="M17" s="204"/>
      <c r="N17" s="204"/>
      <c r="O17" s="204"/>
      <c r="P17" s="204"/>
      <c r="Q17" s="204"/>
      <c r="R17" s="204"/>
      <c r="S17" s="204"/>
      <c r="T17" s="204"/>
      <c r="U17" s="204"/>
      <c r="V17" s="205">
        <f>IF(OR(B17="",B17=0),"",L17/B17)</f>
        <v>1.8083182640144666E-2</v>
      </c>
      <c r="W17" s="205"/>
      <c r="X17" s="205"/>
      <c r="Y17" s="205"/>
      <c r="Z17" s="205"/>
      <c r="AA17" s="205"/>
      <c r="AB17" s="205"/>
      <c r="AC17" s="205"/>
      <c r="AD17" s="205"/>
      <c r="AE17" s="205"/>
      <c r="AF17" s="48"/>
    </row>
    <row r="18" spans="1:32" s="48" customFormat="1" ht="13" thickBot="1" x14ac:dyDescent="0.3">
      <c r="B18" s="201"/>
      <c r="C18" s="201"/>
      <c r="D18" s="201"/>
      <c r="E18" s="201"/>
      <c r="F18" s="201"/>
      <c r="G18" s="201"/>
      <c r="H18" s="201"/>
      <c r="I18" s="201"/>
      <c r="J18" s="201"/>
      <c r="K18" s="201"/>
      <c r="L18" s="201"/>
      <c r="M18" s="201"/>
      <c r="N18" s="201"/>
      <c r="O18" s="201"/>
      <c r="P18" s="201"/>
      <c r="Q18" s="201"/>
      <c r="R18" s="201"/>
      <c r="S18" s="201"/>
      <c r="T18" s="201"/>
      <c r="U18" s="201"/>
      <c r="V18" s="201"/>
      <c r="W18" s="201"/>
      <c r="X18" s="201"/>
      <c r="Y18" s="201"/>
      <c r="Z18" s="201"/>
      <c r="AA18" s="201"/>
      <c r="AB18" s="201"/>
      <c r="AC18" s="201"/>
      <c r="AD18" s="201"/>
      <c r="AE18" s="201"/>
    </row>
    <row r="19" spans="1:32" ht="21" customHeight="1" thickBot="1" x14ac:dyDescent="0.3">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49999999999999" customHeight="1" thickBot="1" x14ac:dyDescent="0.3">
      <c r="A20" s="48"/>
      <c r="B20" s="197">
        <f>IF('SCOUT &amp; LOGISTICS'!AA17="","",'SCOUT &amp; LOGISTICS'!AA17)</f>
        <v>3</v>
      </c>
      <c r="C20" s="197"/>
      <c r="D20" s="197"/>
      <c r="E20" s="197"/>
      <c r="F20" s="197"/>
      <c r="G20" s="197"/>
      <c r="H20" s="197"/>
      <c r="I20" s="197"/>
      <c r="J20" s="197"/>
      <c r="K20" s="197"/>
      <c r="L20" s="197">
        <f>IF('SCOUT &amp; LOGISTICS'!AA18="","",'SCOUT &amp; LOGISTICS'!AA18)</f>
        <v>6</v>
      </c>
      <c r="M20" s="197"/>
      <c r="N20" s="197"/>
      <c r="O20" s="197"/>
      <c r="P20" s="197"/>
      <c r="Q20" s="197"/>
      <c r="R20" s="197"/>
      <c r="S20" s="197"/>
      <c r="T20" s="197"/>
      <c r="U20" s="197"/>
      <c r="V20" s="197">
        <f>IF('SCOUT &amp; LOGISTICS'!AA19="","",'SCOUT &amp; LOGISTICS'!AA19)</f>
        <v>1</v>
      </c>
      <c r="W20" s="197"/>
      <c r="X20" s="197"/>
      <c r="Y20" s="197"/>
      <c r="Z20" s="197"/>
      <c r="AA20" s="197"/>
      <c r="AB20" s="197"/>
      <c r="AC20" s="197"/>
      <c r="AD20" s="197"/>
      <c r="AE20" s="197"/>
      <c r="AF20" s="48"/>
    </row>
    <row r="21" spans="1:32" ht="21" customHeight="1" thickBot="1" x14ac:dyDescent="0.3">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49999999999999" customHeight="1" thickBot="1" x14ac:dyDescent="0.3">
      <c r="A22" s="48"/>
      <c r="B22" s="197">
        <f>'SCOUT &amp; LOGISTICS'!AG17</f>
        <v>2</v>
      </c>
      <c r="C22" s="197"/>
      <c r="D22" s="197"/>
      <c r="E22" s="197"/>
      <c r="F22" s="197"/>
      <c r="G22" s="197"/>
      <c r="H22" s="197">
        <f>'SCOUT &amp; LOGISTICS'!AG18</f>
        <v>2</v>
      </c>
      <c r="I22" s="197"/>
      <c r="J22" s="197"/>
      <c r="K22" s="197"/>
      <c r="L22" s="197"/>
      <c r="M22" s="197"/>
      <c r="N22" s="197">
        <f>'SCOUT &amp; LOGISTICS'!AG19</f>
        <v>2</v>
      </c>
      <c r="O22" s="197"/>
      <c r="P22" s="197"/>
      <c r="Q22" s="197"/>
      <c r="R22" s="197"/>
      <c r="S22" s="197"/>
      <c r="T22" s="197">
        <f>'SCOUT &amp; LOGISTICS'!AG20</f>
        <v>4</v>
      </c>
      <c r="U22" s="197"/>
      <c r="V22" s="197"/>
      <c r="W22" s="197"/>
      <c r="X22" s="197"/>
      <c r="Y22" s="197"/>
      <c r="Z22" s="197">
        <f>IF('SCOUT &amp; LOGISTICS'!AG21="","",'SCOUT &amp; LOGISTICS'!AG21)</f>
        <v>0</v>
      </c>
      <c r="AA22" s="197"/>
      <c r="AB22" s="197"/>
      <c r="AC22" s="197"/>
      <c r="AD22" s="197"/>
      <c r="AE22" s="197"/>
      <c r="AF22" s="48"/>
    </row>
    <row r="23" spans="1:32" s="48" customFormat="1" ht="13" thickBot="1" x14ac:dyDescent="0.3">
      <c r="B23" s="211"/>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row>
    <row r="24" spans="1:32" ht="21" customHeight="1" thickBot="1" x14ac:dyDescent="0.3">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49999999999999" customHeight="1" thickBot="1" x14ac:dyDescent="0.3">
      <c r="A25" s="48"/>
      <c r="B25" s="197">
        <f>'SCOUT &amp; LOGISTICS'!Y17</f>
        <v>10</v>
      </c>
      <c r="C25" s="197"/>
      <c r="D25" s="197"/>
      <c r="E25" s="197"/>
      <c r="F25" s="197"/>
      <c r="G25" s="197"/>
      <c r="H25" s="197"/>
      <c r="I25" s="197"/>
      <c r="J25" s="197"/>
      <c r="K25" s="197"/>
      <c r="L25" s="197"/>
      <c r="M25" s="197"/>
      <c r="N25" s="197"/>
      <c r="O25" s="197"/>
      <c r="P25" s="197"/>
      <c r="Q25" s="197">
        <f>'SCOUT &amp; LOGISTICS'!Y18</f>
        <v>0</v>
      </c>
      <c r="R25" s="197"/>
      <c r="S25" s="197"/>
      <c r="T25" s="197"/>
      <c r="U25" s="197"/>
      <c r="V25" s="197"/>
      <c r="W25" s="197"/>
      <c r="X25" s="197"/>
      <c r="Y25" s="197"/>
      <c r="Z25" s="197"/>
      <c r="AA25" s="197"/>
      <c r="AB25" s="197"/>
      <c r="AC25" s="197"/>
      <c r="AD25" s="197"/>
      <c r="AE25" s="197"/>
      <c r="AF25" s="48"/>
    </row>
    <row r="26" spans="1:32" ht="21" customHeight="1" thickBot="1" x14ac:dyDescent="0.3">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3" t="s">
        <v>161</v>
      </c>
      <c r="AB26" s="198"/>
      <c r="AC26" s="198"/>
      <c r="AD26" s="198"/>
      <c r="AE26" s="198"/>
      <c r="AF26" s="48"/>
    </row>
    <row r="27" spans="1:32" ht="20.149999999999999" customHeight="1" thickBot="1" x14ac:dyDescent="0.3">
      <c r="A27" s="48"/>
      <c r="B27" s="197">
        <f>'SCOUT &amp; LOGISTICS'!AC18</f>
        <v>3</v>
      </c>
      <c r="C27" s="197"/>
      <c r="D27" s="197"/>
      <c r="E27" s="197"/>
      <c r="F27" s="197"/>
      <c r="G27" s="197">
        <f>'SCOUT &amp; LOGISTICS'!AC22</f>
        <v>3</v>
      </c>
      <c r="H27" s="197"/>
      <c r="I27" s="197"/>
      <c r="J27" s="197"/>
      <c r="K27" s="197"/>
      <c r="L27" s="197">
        <f>'SCOUT &amp; LOGISTICS'!AC23</f>
        <v>2</v>
      </c>
      <c r="M27" s="197"/>
      <c r="N27" s="197"/>
      <c r="O27" s="197"/>
      <c r="P27" s="197"/>
      <c r="Q27" s="197">
        <f>'SCOUT &amp; LOGISTICS'!AC21</f>
        <v>0</v>
      </c>
      <c r="R27" s="197"/>
      <c r="S27" s="197"/>
      <c r="T27" s="197"/>
      <c r="U27" s="197"/>
      <c r="V27" s="197">
        <f>'SCOUT &amp; LOGISTICS'!AC27</f>
        <v>0</v>
      </c>
      <c r="W27" s="197"/>
      <c r="X27" s="197"/>
      <c r="Y27" s="197"/>
      <c r="Z27" s="197"/>
      <c r="AA27" s="197">
        <f>'SCOUT &amp; LOGISTICS'!AC17+'SCOUT &amp; LOGISTICS'!AC20</f>
        <v>0</v>
      </c>
      <c r="AB27" s="197"/>
      <c r="AC27" s="197"/>
      <c r="AD27" s="197"/>
      <c r="AE27" s="197"/>
      <c r="AF27" s="48"/>
    </row>
    <row r="28" spans="1:32" ht="21" customHeight="1" thickBot="1" x14ac:dyDescent="0.3">
      <c r="A28" s="48"/>
      <c r="B28" s="198" t="s">
        <v>48</v>
      </c>
      <c r="C28" s="198"/>
      <c r="D28" s="198"/>
      <c r="E28" s="198"/>
      <c r="F28" s="198"/>
      <c r="G28" s="198" t="s">
        <v>47</v>
      </c>
      <c r="H28" s="198"/>
      <c r="I28" s="198"/>
      <c r="J28" s="198"/>
      <c r="K28" s="198"/>
      <c r="L28" s="203"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49999999999999" customHeight="1" thickBot="1" x14ac:dyDescent="0.3">
      <c r="A29" s="48"/>
      <c r="B29" s="197">
        <f>'SCOUT &amp; LOGISTICS'!AC25</f>
        <v>1</v>
      </c>
      <c r="C29" s="197"/>
      <c r="D29" s="197"/>
      <c r="E29" s="197"/>
      <c r="F29" s="197"/>
      <c r="G29" s="197">
        <f>'SCOUT &amp; LOGISTICS'!AC24</f>
        <v>0</v>
      </c>
      <c r="H29" s="197"/>
      <c r="I29" s="197"/>
      <c r="J29" s="197"/>
      <c r="K29" s="197"/>
      <c r="L29" s="197">
        <f>'SCOUT &amp; LOGISTICS'!$AC$29</f>
        <v>1</v>
      </c>
      <c r="M29" s="197"/>
      <c r="N29" s="197"/>
      <c r="O29" s="197"/>
      <c r="P29" s="197"/>
      <c r="Q29" s="197">
        <f>'SCOUT &amp; LOGISTICS'!AC28</f>
        <v>0</v>
      </c>
      <c r="R29" s="197"/>
      <c r="S29" s="197"/>
      <c r="T29" s="197"/>
      <c r="U29" s="197"/>
      <c r="V29" s="197">
        <f>'SCOUT &amp; LOGISTICS'!AC19</f>
        <v>0</v>
      </c>
      <c r="W29" s="197"/>
      <c r="X29" s="197"/>
      <c r="Y29" s="197"/>
      <c r="Z29" s="197"/>
      <c r="AA29" s="197">
        <f>'SCOUT &amp; LOGISTICS'!AC26</f>
        <v>0</v>
      </c>
      <c r="AB29" s="197"/>
      <c r="AC29" s="197"/>
      <c r="AD29" s="197"/>
      <c r="AE29" s="197"/>
      <c r="AF29" s="48"/>
    </row>
    <row r="30" spans="1:32" s="48" customFormat="1" ht="13" thickBot="1" x14ac:dyDescent="0.3">
      <c r="B30" s="201"/>
      <c r="C30" s="201"/>
      <c r="D30" s="201"/>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row>
    <row r="31" spans="1:32" s="52" customFormat="1" ht="20.149999999999999" customHeight="1" thickBot="1" x14ac:dyDescent="0.3">
      <c r="A31" s="51"/>
      <c r="B31" s="194" t="s">
        <v>80</v>
      </c>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51"/>
    </row>
    <row r="32" spans="1:32" ht="87.65" customHeight="1" thickBot="1" x14ac:dyDescent="0.3">
      <c r="A32" s="48"/>
      <c r="B32" s="195" t="str">
        <f>IF('SCOUT &amp; LOGISTICS'!M4="","",'SCOUT &amp; LOGISTICS'!M4)</f>
        <v>Mani corrections on missing plays or number of the player who made the action. Try to keep an eye not only on the ball but everything that is happening on court. Good communication</v>
      </c>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48"/>
    </row>
    <row r="33" spans="1:32" ht="20.149999999999999" customHeight="1" thickBot="1" x14ac:dyDescent="0.3">
      <c r="A33" s="48"/>
      <c r="B33" s="202"/>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48"/>
    </row>
    <row r="34" spans="1:32" ht="20.149999999999999" customHeight="1" thickBot="1" x14ac:dyDescent="0.3">
      <c r="A34" s="48"/>
      <c r="B34" s="194" t="s">
        <v>81</v>
      </c>
      <c r="C34" s="194"/>
      <c r="D34" s="194"/>
      <c r="E34" s="194"/>
      <c r="F34" s="194"/>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3">
      <c r="A35" s="48"/>
      <c r="B35" s="196">
        <f>'SCOUT &amp; LOGISTICS'!M7</f>
        <v>16.308318264014467</v>
      </c>
      <c r="C35" s="196"/>
      <c r="D35" s="196"/>
      <c r="E35" s="196"/>
      <c r="F35" s="196"/>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5" customHeight="1" x14ac:dyDescent="0.25">
      <c r="A36" s="48"/>
      <c r="B36" s="210"/>
      <c r="C36" s="210"/>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0"/>
      <c r="AC36" s="210"/>
      <c r="AD36" s="210"/>
      <c r="AE36" s="210"/>
      <c r="AF36" s="48"/>
    </row>
  </sheetData>
  <sheetProtection algorithmName="SHA-512" hashValue="KYjs3UbCBMVzqruL4Nbq/9Q6XwH5AzfZYPonAL7uosobAsvXNgu99bNS00NA5GLTbcqrSUqQhNYh0XcTbuC+bw==" saltValue="ZJeV0uctt+VQU9866py/Ug==" spinCount="100000" sheet="1" selectLockedCells="1"/>
  <mergeCells count="93">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 ref="B3:AE3"/>
    <mergeCell ref="B4:AE4"/>
    <mergeCell ref="B7:F7"/>
    <mergeCell ref="G7:K7"/>
    <mergeCell ref="L7:P7"/>
    <mergeCell ref="Q7:U7"/>
    <mergeCell ref="V7:Z7"/>
    <mergeCell ref="AA7:AE7"/>
    <mergeCell ref="B5:P5"/>
    <mergeCell ref="Q5:AE5"/>
    <mergeCell ref="V8:Z8"/>
    <mergeCell ref="AA8:AE8"/>
    <mergeCell ref="B13:G13"/>
    <mergeCell ref="H13:M13"/>
    <mergeCell ref="N13:S13"/>
    <mergeCell ref="T13:Y13"/>
    <mergeCell ref="Z13:AE13"/>
    <mergeCell ref="B12:G12"/>
    <mergeCell ref="H12:M12"/>
    <mergeCell ref="N12:S12"/>
    <mergeCell ref="T12:Y12"/>
    <mergeCell ref="Z12:AE12"/>
    <mergeCell ref="B10:AE10"/>
    <mergeCell ref="B17:K17"/>
    <mergeCell ref="L17:U17"/>
    <mergeCell ref="V17:AE17"/>
    <mergeCell ref="B15:AE15"/>
    <mergeCell ref="B16:K16"/>
    <mergeCell ref="L16:U16"/>
    <mergeCell ref="V16:AE16"/>
    <mergeCell ref="B24:P24"/>
    <mergeCell ref="Q24:AE24"/>
    <mergeCell ref="B25:P25"/>
    <mergeCell ref="Q25:AE25"/>
    <mergeCell ref="B26:F26"/>
    <mergeCell ref="G26:K26"/>
    <mergeCell ref="L26:P26"/>
    <mergeCell ref="Q26:U26"/>
    <mergeCell ref="V26:Z26"/>
    <mergeCell ref="AA26:AE26"/>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1:G21"/>
    <mergeCell ref="H21:M21"/>
    <mergeCell ref="N21:S21"/>
    <mergeCell ref="T21:Y21"/>
    <mergeCell ref="Z21:AE21"/>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s>
  <printOptions horizontalCentered="1" verticalCentered="1"/>
  <pageMargins left="1E-3" right="1E-3" top="1E-3" bottom="1E-3" header="1E-3" footer="1E-3"/>
  <pageSetup paperSize="9" scale="98"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te a new document." ma:contentTypeScope="" ma:versionID="de36969f4ed48e290014b5fd8755fec7">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499fb8b56df7ec750a6b01bb270a1e23"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 ds:uri="54eaeb27-407e-4594-8513-05236ac1c663"/>
    <ds:schemaRef ds:uri="1694b618-8e81-416b-aa01-0d9b54a17456"/>
  </ds:schemaRefs>
</ds:datastoreItem>
</file>

<file path=customXml/itemProps2.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3.xml><?xml version="1.0" encoding="utf-8"?>
<ds:datastoreItem xmlns:ds="http://schemas.openxmlformats.org/officeDocument/2006/customXml" ds:itemID="{3E81B59D-D253-4CB7-9B3F-E1F165DDFD49}"/>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Oriol Garcia</cp:lastModifiedBy>
  <cp:lastPrinted>2026-01-07T21:16:20Z</cp:lastPrinted>
  <dcterms:created xsi:type="dcterms:W3CDTF">2023-09-19T19:50:35Z</dcterms:created>
  <dcterms:modified xsi:type="dcterms:W3CDTF">2026-04-09T14:09:50Z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y fmtid="{D5CDD505-2E9C-101B-9397-08002B2CF9AE}" pid="3" name="MediaServiceImageTags">
    <vt:lpwstr/>
  </property>
</Properties>
</file>