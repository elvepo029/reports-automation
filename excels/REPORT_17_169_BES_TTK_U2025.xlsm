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temp\"/>
    </mc:Choice>
  </mc:AlternateContent>
  <xr:revisionPtr revIDLastSave="0" documentId="13_ncr:1_{B59705FC-4814-4AC9-A825-28F49AE8906D}" xr6:coauthVersionLast="47" xr6:coauthVersionMax="47" xr10:uidLastSave="{00000000-0000-0000-0000-000000000000}"/>
  <bookViews>
    <workbookView xWindow="-120" yWindow="-16320" windowWidth="29040" windowHeight="15720" xr2:uid="{00000000-000D-0000-FFFF-FFFF00000000}"/>
  </bookViews>
  <sheets>
    <sheet name="SCOUT &amp; LOGISTICS" sheetId="1" r:id="rId1"/>
    <sheet name="Teams" sheetId="5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<sst xmlns="http://schemas.openxmlformats.org/spreadsheetml/2006/main" count="3342" uniqueCount="833">
  <si>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</si>
  <si>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</si>
  <si>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</si>
  <si>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</si>
  <si>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</si>
  <si>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</si>
  <si>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</si>
  <si>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</si>
  <si>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</si>
  <si>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</si>
  <si>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</si>
  <si>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</si>
  <si>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</si>
  <si>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</si>
  <si>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</si>
  <si>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</si>
  <si>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</si>
  <si>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</si>
  <si>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</si>
  <si>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</si>
  <si>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</si>
  <si>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</si>
  <si>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</si>
  <si>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</si>
  <si>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</si>
  <si>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</si>
  <si>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</si>
  <si>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</si>
  <si>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</si>
  <si>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</si>
  <si>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</si>
  <si>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</si>
  <si>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</si>
  <si>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</si>
  <si>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</si>
  <si>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</si>
  <si>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</si>
  <si>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</si>
  <si>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</si>
  <si>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</si>
  <si>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</si>
  <si>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</si>
  <si>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</si>
  <si>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</si>
  <si>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</si>
  <si>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</si>
  <si>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</si>
  <si>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</si>
  <si>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</si>
  <si>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</si>
  <si>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</si>
  <si>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</si>
  <si>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</si>
  <si>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</si>
  <si>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</si>
  <si>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</si>
  <si>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</si>
  <si>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</si>
  <si>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</si>
  <si>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</si>
  <si>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</si>
  <si>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</si>
  <si>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</si>
  <si>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</si>
  <si>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</si>
  <si>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</si>
  <si>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</si>
  <si>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</si>
  <si>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</si>
  <si>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</si>
  <si>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</si>
  <si>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</si>
  <si>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</si>
  <si>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</si>
  <si>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</si>
  <si>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</si>
  <si>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</si>
  <si>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</si>
  <si>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</si>
  <si>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</si>
  <si>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</si>
  <si>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</si>
  <si>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</si>
  <si>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</si>
  <si>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</si>
  <si>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</si>
  <si>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</si>
  <si>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</si>
  <si>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</si>
  <si>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</si>
  <si>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</si>
  <si>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</si>
  <si>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</si>
  <si>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</si>
  <si>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</si>
  <si>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</si>
  <si>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</si>
  <si>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</si>
  <si>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</si>
  <si>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</si>
  <si>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</si>
  <si>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</si>
  <si>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</si>
  <si>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</si>
  <si>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</si>
  <si>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</si>
  <si>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</si>
  <si>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</si>
  <si>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</si>
  <si>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</si>
  <si>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</si>
  <si>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</si>
  <si>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</si>
  <si>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</si>
  <si>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</si>
  <si>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</si>
  <si>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</si>
  <si>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</si>
  <si>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</si>
  <si>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</si>
  <si>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</si>
  <si>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</si>
  <si>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</si>
  <si>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</si>
  <si>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</si>
  <si>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</si>
  <si>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</si>
  <si>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</si>
  <si>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</si>
  <si>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</si>
  <si>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</si>
  <si>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</si>
  <si>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</si>
  <si>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</si>
  <si>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</si>
  <si>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</si>
  <si>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</si>
  <si>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</si>
  <si>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</si>
  <si>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</si>
  <si>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</si>
  <si>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</si>
  <si>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</si>
  <si>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</si>
  <si>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</si>
  <si>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</si>
  <si>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</si>
  <si>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</si>
  <si>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</si>
  <si>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</si>
  <si>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</si>
  <si>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</si>
  <si>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</si>
  <si>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</si>
  <si>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</si>
  <si>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</si>
  <si>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</si>
  <si>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</si>
  <si>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</si>
  <si>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</si>
  <si>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</si>
  <si>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</si>
  <si>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</si>
  <si>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</si>
  <si>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</si>
  <si>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</si>
  <si>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</si>
  <si>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</si>
  <si>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</si>
  <si>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</si>
  <si>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</si>
  <si>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</si>
  <si>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</si>
  <si>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</si>
  <si>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</si>
  <si>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</si>
  <si>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</si>
  <si>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</si>
  <si>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</si>
  <si>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</si>
  <si>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</si>
  <si>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</si>
  <si>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</si>
  <si>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</si>
  <si>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</si>
  <si>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</si>
  <si>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</si>
  <si>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</si>
  <si>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</si>
  <si>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</si>
  <si>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</si>
  <si>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</si>
  <si>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</si>
  <si>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</si>
  <si>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</si>
  <si>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</si>
  <si>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</si>
  <si>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</si>
  <si>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</si>
  <si>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</si>
  <si>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</si>
  <si>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</si>
  <si>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</si>
  <si>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</si>
  <si>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</si>
  <si>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</si>
  <si>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</si>
  <si>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</si>
  <si>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</si>
  <si>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</si>
  <si>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</si>
  <si>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</si>
  <si>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</si>
  <si>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</si>
  <si>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</si>
  <si>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</si>
  <si>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</si>
  <si>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</si>
  <si>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</si>
  <si>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</si>
  <si>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</si>
  <si>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</si>
  <si>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</si>
  <si>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</si>
  <si>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</si>
  <si>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</si>
  <si>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</si>
  <si>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</si>
  <si>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</si>
  <si>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</si>
  <si>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</si>
  <si>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</si>
  <si>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</si>
  <si>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</si>
  <si>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</si>
  <si>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</si>
  <si>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</si>
  <si>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</si>
  <si>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</si>
  <si>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</si>
  <si>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</si>
  <si>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</si>
  <si>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</si>
  <si>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</si>
  <si>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</si>
  <si>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</si>
  <si>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</si>
  <si>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</si>
  <si>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</si>
  <si>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</si>
  <si>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</si>
  <si>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</si>
  <si>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</si>
  <si>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</si>
  <si>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</si>
  <si>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</si>
  <si>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</si>
  <si>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</si>
  <si>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</si>
  <si>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</si>
  <si>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</si>
  <si>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</si>
  <si>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</si>
  <si>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</si>
  <si>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</si>
  <si>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</si>
  <si>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</si>
  <si>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</si>
  <si>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</si>
  <si>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</si>
  <si>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</si>
  <si>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</si>
  <si>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</si>
  <si>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</si>
  <si>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</si>
  <si>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</si>
  <si>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</si>
  <si>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</si>
  <si>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</si>
  <si>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</si>
  <si>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</si>
  <si>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</si>
  <si>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</si>
  <si>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</si>
  <si>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</si>
  <si>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</si>
  <si>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</si>
  <si>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</si>
  <si>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</si>
  <si>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</si>
  <si>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</si>
  <si>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</si>
  <si>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</si>
  <si>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</si>
  <si>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</si>
  <si>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</si>
  <si>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</si>
  <si>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</si>
  <si>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</si>
  <si>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</si>
  <si>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</si>
  <si>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</si>
  <si>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</si>
  <si>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</si>
  <si>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</si>
  <si>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</si>
  <si>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</si>
  <si>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</si>
  <si>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</si>
  <si>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</si>
  <si>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</si>
  <si>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</si>
  <si>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</si>
  <si>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</si>
  <si>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</si>
  <si>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</si>
  <si>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</si>
  <si>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</si>
  <si>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</si>
  <si>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</si>
  <si>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</si>
  <si>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</si>
  <si>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</si>
  <si>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</si>
  <si>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</si>
  <si>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</si>
  <si>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</si>
  <si>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</si>
  <si>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</si>
  <si>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</si>
  <si>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</si>
  <si>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</si>
  <si>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</si>
  <si>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</si>
  <si>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</si>
  <si>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</si>
  <si>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</si>
  <si>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</si>
  <si>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</si>
  <si>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</si>
  <si>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</si>
  <si>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</si>
  <si>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</si>
  <si>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</si>
  <si>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</si>
  <si>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</si>
  <si>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</si>
  <si>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</si>
  <si>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</si>
  <si>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</si>
  <si>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</si>
  <si>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</si>
  <si>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</si>
  <si>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</si>
  <si>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</si>
  <si>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</si>
  <si>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</si>
  <si>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</si>
  <si>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</si>
  <si>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</si>
  <si>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</si>
  <si>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</si>
  <si>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</si>
  <si>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</si>
  <si>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</si>
  <si>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</si>
  <si>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</si>
  <si>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</si>
  <si>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</si>
  <si>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</si>
  <si>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</si>
  <si>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</si>
  <si>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</si>
  <si>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</si>
  <si>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</si>
  <si>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</si>
  <si>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</si>
  <si>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</si>
  <si>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</si>
  <si>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</si>
  <si>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</si>
  <si>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</si>
  <si>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</si>
  <si>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</si>
  <si>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</si>
  <si>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</si>
  <si>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</si>
  <si>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</si>
  <si>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</si>
  <si>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</si>
  <si>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</si>
  <si>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</si>
  <si>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</si>
  <si>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</si>
  <si>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</si>
  <si>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</si>
  <si>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</si>
  <si>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</si>
  <si>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</si>
  <si>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</si>
  <si>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</si>
  <si>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</si>
  <si>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</si>
  <si>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</si>
  <si>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</si>
  <si>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</si>
  <si>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</si>
  <si>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</si>
  <si>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</si>
  <si>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</si>
  <si>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</si>
  <si>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</si>
  <si>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</si>
  <si>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</si>
  <si>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</si>
  <si>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</si>
  <si>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</si>
  <si>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</si>
  <si>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</si>
  <si>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</si>
  <si>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</si>
  <si>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</si>
  <si>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</si>
  <si>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</si>
  <si>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</si>
  <si>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</si>
  <si>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</si>
  <si>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</si>
  <si>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</si>
  <si>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</si>
  <si>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</si>
  <si>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</si>
  <si>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</si>
  <si>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</si>
  <si>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</si>
  <si>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</si>
  <si>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</si>
  <si>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</si>
  <si>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</si>
  <si>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</si>
  <si>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</si>
  <si>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</si>
  <si>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</si>
  <si>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</si>
  <si>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</si>
  <si>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</si>
  <si>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</si>
  <si>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</si>
  <si>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</si>
  <si>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</si>
  <si>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</si>
  <si>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</si>
  <si>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</si>
  <si>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</si>
  <si>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</si>
  <si>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</si>
  <si>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</si>
  <si>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</si>
  <si>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</si>
  <si>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</si>
  <si>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</si>
  <si>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</si>
  <si>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</si>
  <si>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</si>
  <si>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</si>
  <si>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</si>
  <si>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</si>
  <si>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</si>
  <si>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</si>
  <si>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</si>
  <si>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</si>
  <si>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</si>
  <si>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</si>
  <si>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</si>
  <si>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</si>
  <si>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</si>
  <si>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</si>
  <si>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</si>
  <si>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</si>
  <si>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</si>
  <si>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</si>
  <si>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</si>
  <si>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</si>
  <si>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</si>
  <si>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</si>
  <si>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</si>
  <si>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</si>
  <si>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</si>
  <si>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</si>
  <si>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</si>
  <si>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</si>
  <si>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</si>
  <si>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</si>
  <si>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</si>
  <si>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</si>
  <si>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</si>
  <si>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</si>
  <si>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</si>
  <si>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</si>
  <si>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</si>
  <si>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</si>
  <si>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</si>
  <si>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</si>
  <si>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</si>
  <si>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</si>
  <si>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</si>
  <si>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</si>
  <si>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</si>
  <si>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</si>
  <si>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</si>
  <si>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</si>
  <si>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</si>
  <si>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</si>
  <si>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</si>
  <si>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</si>
  <si>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</si>
  <si>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</si>
  <si>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</si>
  <si>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</si>
  <si>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</si>
  <si>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</si>
  <si>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</si>
  <si>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</si>
  <si>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</si>
  <si>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</si>
  <si>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</si>
  <si>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</si>
  <si>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</si>
  <si>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</si>
  <si>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</si>
  <si>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</si>
  <si>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</si>
  <si>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</si>
  <si>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</si>
  <si>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</si>
  <si>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</si>
  <si>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</si>
  <si>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</si>
  <si>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</si>
  <si>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</si>
  <si>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</si>
  <si>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</si>
  <si>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</si>
  <si>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</si>
  <si>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</si>
  <si>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</si>
  <si>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</si>
  <si>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</si>
  <si>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</si>
  <si>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</si>
  <si>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</si>
  <si>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</si>
  <si>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</si>
  <si>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</si>
  <si>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</si>
  <si>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</si>
  <si>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</si>
  <si>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</si>
  <si>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</si>
  <si>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</si>
  <si>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</si>
  <si>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</si>
  <si>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</si>
  <si>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</si>
  <si>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</si>
  <si>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</si>
  <si>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</si>
  <si>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</si>
  <si>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</si>
  <si>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</si>
  <si>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</si>
  <si>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</si>
  <si>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</si>
  <si>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</si>
  <si>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</si>
  <si>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</si>
  <si>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</si>
  <si>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</si>
  <si>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</si>
  <si>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</si>
  <si>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</si>
  <si>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</si>
  <si>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</si>
  <si>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</si>
  <si>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</si>
  <si>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</si>
  <si>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</si>
  <si>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</si>
  <si>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</si>
  <si>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</si>
  <si>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</si>
  <si>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</si>
  <si>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</si>
  <si>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</si>
  <si>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</si>
  <si>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</si>
  <si>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</si>
  <si>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</si>
  <si>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</si>
  <si>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</si>
  <si>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</si>
  <si>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</si>
  <si>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</si>
  <si>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</si>
  <si>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</si>
  <si>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</si>
  <si>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</si>
  <si>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</si>
  <si>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</si>
  <si>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</si>
  <si>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</si>
  <si>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</si>
  <si>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</si>
  <si>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</si>
  <si>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</si>
  <si>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</si>
  <si>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</si>
  <si>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</si>
  <si>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</si>
  <si>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</si>
  <si>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</si>
  <si>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</si>
  <si>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</si>
  <si>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</si>
  <si>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</si>
  <si>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</si>
  <si>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</si>
  <si>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</si>
  <si>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</si>
  <si>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</si>
  <si>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</si>
  <si>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</si>
  <si>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</si>
  <si>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</si>
  <si>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</si>
  <si>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</si>
  <si>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</si>
  <si>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</si>
  <si>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</si>
  <si>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</si>
  <si>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</si>
  <si>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</si>
  <si>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</si>
  <si>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</si>
  <si>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</si>
  <si>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</si>
  <si>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</si>
  <si>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</si>
  <si>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</si>
  <si>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</si>
  <si>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</si>
  <si>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</si>
  <si>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</si>
  <si>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</si>
  <si>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</si>
  <si>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</si>
  <si>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</si>
  <si>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</si>
  <si>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</si>
  <si>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</si>
  <si>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</si>
  <si>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</si>
  <si>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</si>
  <si>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</si>
  <si>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</si>
  <si>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</si>
  <si>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</si>
  <si>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</si>
  <si>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</si>
  <si>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</si>
  <si>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</si>
  <si>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</si>
  <si>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</si>
  <si>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</si>
  <si>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</si>
  <si>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</si>
  <si>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</si>
  <si>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</si>
  <si>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</si>
  <si>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</si>
  <si>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</si>
  <si>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</si>
  <si>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</si>
  <si>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</si>
  <si>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</si>
  <si>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</si>
  <si>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</si>
  <si>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</si>
  <si>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</si>
  <si>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</si>
  <si>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</si>
  <si>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</si>
  <si>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</si>
  <si>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</si>
  <si>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</si>
  <si>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</si>
  <si>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</si>
  <si>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</si>
  <si>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</si>
  <si>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</si>
  <si>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</si>
  <si>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</si>
  <si>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</si>
  <si>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</si>
  <si>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</si>
  <si>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</si>
  <si>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</si>
  <si>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</si>
  <si>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</si>
  <si>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</si>
  <si>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</si>
  <si>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</si>
  <si>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</si>
  <si>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</si>
  <si>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</si>
  <si>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</si>
  <si>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</si>
  <si>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</si>
  <si>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</si>
  <si>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</si>
  <si>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</si>
  <si>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</si>
  <si>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</si>
  <si>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</si>
  <si>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</si>
  <si>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</si>
  <si>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</si>
  <si>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</si>
  <si>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</si>
  <si>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</si>
  <si>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</si>
  <si>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</si>
  <si>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</si>
  <si>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</si>
  <si>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</si>
  <si>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</si>
  <si>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</si>
  <si>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</si>
  <si>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</si>
  <si>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</si>
  <si>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</si>
  <si>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</si>
  <si>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</si>
  <si>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</si>
  <si>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</si>
  <si>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</si>
  <si>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</si>
  <si>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</si>
  <si>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</si>
  <si>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U</t>
  </si>
  <si>
    <t>DJAMEL SOUDANI</t>
  </si>
  <si>
    <t>BASTIEN BONNETON</t>
  </si>
  <si>
    <t>CYRIL LONGELIN</t>
  </si>
  <si>
    <t>MAGALI CARTIER</t>
  </si>
  <si>
    <t>AXEL QUENEY</t>
  </si>
  <si>
    <t>MONIKA NEDYALKOVA</t>
  </si>
  <si>
    <t>ANASTASIOS KARIOFYLIS</t>
  </si>
  <si>
    <t>SOLON MINAS</t>
  </si>
  <si>
    <t>ANGELOS KALOGERAKOS</t>
  </si>
  <si>
    <t>KRANIOTIS, KONSTANTINOS</t>
  </si>
  <si>
    <t>CHRISTOLIAKOU, MARIA ALEXANDRA</t>
  </si>
  <si>
    <t>KAROUMPALOU, ATHINA</t>
  </si>
  <si>
    <t>KARAGIAKIOULES, VASILEOS</t>
  </si>
  <si>
    <t>KOURTI, SPYRIDOULA</t>
  </si>
  <si>
    <t>KALESIORIS, ANASTASIS</t>
  </si>
  <si>
    <t>FRANCIS RUIZ</t>
  </si>
  <si>
    <t>LLUIS ESPINOSA</t>
  </si>
  <si>
    <t>LAILA GONELL</t>
  </si>
  <si>
    <t>ROBERTO BAÑOS</t>
  </si>
  <si>
    <t>MARIA JOSE SERRANO</t>
  </si>
  <si>
    <t>JESUS LOPEZ</t>
  </si>
  <si>
    <t>ENDER OZBEK</t>
  </si>
  <si>
    <t>SERTAC DOSTEL</t>
  </si>
  <si>
    <t>AHMET YILDIZ</t>
  </si>
  <si>
    <t>MERVE SAGLAM</t>
  </si>
  <si>
    <t>VASILJEVIC, PETAR</t>
  </si>
  <si>
    <t>VASILJEVIC, IVANA</t>
  </si>
  <si>
    <t>VASILJEVIC, PREDRAG</t>
  </si>
  <si>
    <t>PRPA, IVANA</t>
  </si>
  <si>
    <t>KRSTIC, ANA</t>
  </si>
  <si>
    <t>SONJA STANKOVIC</t>
  </si>
  <si>
    <t>JOVANA KRIVOKUCA-MILOVANOVIC</t>
  </si>
  <si>
    <t>JACOBO LAPRESTA</t>
  </si>
  <si>
    <t>JOSE ANTONIO RODRIGUEZ</t>
  </si>
  <si>
    <t>JOSE VICENTE ARQUES</t>
  </si>
  <si>
    <t>YOLANDA BAILACH MADERA</t>
  </si>
  <si>
    <t>CRISTINA TORRES</t>
  </si>
  <si>
    <t>BORJA RODRIGUEZ</t>
  </si>
  <si>
    <t>DANILO VESOVIC</t>
  </si>
  <si>
    <t>LUKA ANDRIC</t>
  </si>
  <si>
    <t>MARKO LEPOVIC</t>
  </si>
  <si>
    <t>BILJANA KOSTRES</t>
  </si>
  <si>
    <t>MILOS MOSIC</t>
  </si>
  <si>
    <t>MIODRAG STOJANOVIC</t>
  </si>
  <si>
    <t>ANA ANDREJIC</t>
  </si>
  <si>
    <t>BOJANA KRALJEVIC</t>
  </si>
  <si>
    <t>LJUPKA VUKOJEVIC</t>
  </si>
  <si>
    <t>JOVANA DOJCINOVIC</t>
  </si>
  <si>
    <t>GIEDRE GARCINSKAITE</t>
  </si>
  <si>
    <t>RASA KIZIKAITE</t>
  </si>
  <si>
    <t>AUKSE ZAKRIENE</t>
  </si>
  <si>
    <t>GINTARE BUKARTAITE</t>
  </si>
  <si>
    <t>MINDAUGAS RUDZEVICIUS</t>
  </si>
  <si>
    <t>NERIJUS MAINONIS</t>
  </si>
  <si>
    <t>STEPHANE DURIEUX</t>
  </si>
  <si>
    <t>JEAN-MARC MORENTE</t>
  </si>
  <si>
    <t>STEPHANE FITOUSSI</t>
  </si>
  <si>
    <t>VIRGINIE USCLADE</t>
  </si>
  <si>
    <t>CEDRIC LAURANCY</t>
  </si>
  <si>
    <t>KADER SI-TAYEB</t>
  </si>
  <si>
    <t>CATHERINE RICARD</t>
  </si>
  <si>
    <t>VANESSA CAUCHIE</t>
  </si>
  <si>
    <t>CLAUDINE CARADONNA</t>
  </si>
  <si>
    <t>CAROLINE MEUNIER</t>
  </si>
  <si>
    <t>ISABELLE GUITTI</t>
  </si>
  <si>
    <t>DAVID MARTINOTTI</t>
  </si>
  <si>
    <t>IVAN MOSIC</t>
  </si>
  <si>
    <t>MARIJANA GOLUBOVIC</t>
  </si>
  <si>
    <t>IVANA KRSTIC</t>
  </si>
  <si>
    <t>LUIS CALLEJA</t>
  </si>
  <si>
    <t>JAIME LAQUIDAIN</t>
  </si>
  <si>
    <t>MIGUEL PENALBA</t>
  </si>
  <si>
    <t>DANIEL MARTIN</t>
  </si>
  <si>
    <t>INES RAQUEL PIATKOWSKA</t>
  </si>
  <si>
    <t>ALVARO PENALBA</t>
  </si>
  <si>
    <t>Konstantinos Kroupis</t>
  </si>
  <si>
    <t>AHMET GEZINTI</t>
  </si>
  <si>
    <t>ZAFER RIFAI</t>
  </si>
  <si>
    <t>GULIZ ADILLER</t>
  </si>
  <si>
    <t>OSCAR CUESTA</t>
  </si>
  <si>
    <t>7:43</t>
  </si>
  <si>
    <t>6:11</t>
  </si>
  <si>
    <t xml:space="preserve">Good game!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</si>
</sst>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00"/>
    <numFmt numFmtId="165" formatCode="0.0%"/>
    <numFmt numFmtId="166" formatCode="dd/mm/yyyy;@"/>
    <numFmt numFmtId="167" formatCode="00"/>
    <numFmt numFmtId="168" formatCode="0.0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5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5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9" fillId="10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/>
    </sheetView>
  </sheetViews>
  <sheetFormatPr baseColWidth="10" defaultColWidth="0" defaultRowHeight="15" x14ac:dyDescent="0.25"/>
  <cols>
    <col min="1" max="1" width="1.5546875" customWidth="1"/>
    <col min="2" max="3" width="6.88671875" style="3" customWidth="1"/>
    <col min="4" max="7" width="7.88671875" style="3" customWidth="1"/>
    <col min="8" max="8" width="12.44140625" style="4" customWidth="1"/>
    <col min="9" max="9" width="11.88671875" style="3" bestFit="1" customWidth="1"/>
    <col min="10" max="13" width="22" style="3" customWidth="1"/>
    <col min="14" max="14" width="41.109375" style="3" bestFit="1" customWidth="1"/>
    <col min="15" max="15" width="13.5546875" hidden="1" customWidth="1"/>
    <col min="16" max="16" width="5.44140625" hidden="1" customWidth="1"/>
    <col min="17" max="17" width="21.109375" style="87" hidden="1" customWidth="1"/>
    <col min="18" max="18" width="2.6640625" hidden="1" customWidth="1"/>
    <col min="19" max="20" width="2.6640625" style="91" hidden="1" customWidth="1"/>
    <col min="21" max="21" width="2.6640625" style="97" hidden="1" customWidth="1"/>
    <col min="22" max="24" width="2.6640625" style="91" hidden="1" customWidth="1"/>
    <col min="25" max="25" width="2.6640625" style="98" hidden="1" customWidth="1"/>
    <col min="26" max="26" width="9.5546875" style="87" hidden="1" customWidth="1"/>
    <col min="27" max="27" width="2.6640625" style="91" hidden="1" customWidth="1"/>
    <col min="28" max="28" width="2.6640625" style="97" hidden="1" customWidth="1"/>
    <col min="29" max="29" width="2.6640625" style="99" hidden="1" customWidth="1"/>
    <col min="30" max="30" width="2.6640625" style="91" hidden="1" customWidth="1"/>
    <col min="31" max="31" width="2.6640625" style="97" hidden="1" customWidth="1"/>
    <col min="32" max="46" width="2.6640625" style="91" hidden="1" customWidth="1"/>
    <col min="47" max="47" width="2.6640625" style="99" hidden="1" customWidth="1"/>
    <col min="48" max="48" width="2.6640625" style="91" hidden="1" customWidth="1"/>
    <col min="49" max="52" width="2.6640625" style="99" hidden="1" customWidth="1"/>
    <col min="53" max="53" width="2.6640625" style="91" hidden="1" customWidth="1"/>
    <col min="54" max="54" width="2.6640625" style="99" hidden="1" customWidth="1"/>
    <col min="55" max="71" width="2.6640625" style="91" hidden="1" customWidth="1"/>
    <col min="72" max="16384" width="2.6640625" style="64" hidden="1"/>
  </cols>
  <sheetData>
    <row r="1" spans="1:108" s="63" customFormat="1" ht="32.25" customHeight="1" thickBot="1" x14ac:dyDescent="0.25">
      <c r="A1" s="42"/>
      <c r="B1" s="53" t="s">
        <v>160</v>
      </c>
      <c r="C1" s="114" t="str">
        <f>TEXT(IF(C2/10=INT(C2/10),INT(C2/10),INT(C2/10)+1),"00")</f>
        <v>17</v>
      </c>
      <c r="D1" s="124" t="s">
        <v>749</v>
      </c>
      <c r="E1" s="125">
        <v>2025</v>
      </c>
      <c r="F1" s="120" t="str">
        <f>TEXT(C1,"00") &amp; "_" &amp; TEXT(C2,"000")&amp; "_" &amp; H4 &amp; "_" &amp; H5 &amp; "_" &amp; B2</f>
        <v>17_169_BES_TTK_U2025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742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" thickBot="1" x14ac:dyDescent="0.35">
      <c r="A2" s="1"/>
      <c r="B2" s="117" t="str">
        <f>D1&amp;E1</f>
        <v>U2025</v>
      </c>
      <c r="C2" s="123">
        <v>169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4.4" thickBot="1" x14ac:dyDescent="0.35">
      <c r="A3" s="1"/>
      <c r="B3" s="156">
        <f ca="1">IF(ISERROR(VLOOKUP($B$2&amp;TEXT($C$2,"000"),GAMES!$A$3:$I$562,8,FALSE)),NOW(),VLOOKUP($B$2&amp;TEXT($C$2,"000"),GAMES!$A$3:$I$562,8,FALSE))</f>
        <v>46057.833333333336</v>
      </c>
      <c r="C3" s="157"/>
      <c r="D3" s="39">
        <v>648</v>
      </c>
      <c r="E3" s="29"/>
      <c r="F3" s="26">
        <f>SUBTOTAL(3,I17:I106)</f>
        <v>2</v>
      </c>
      <c r="G3" s="27">
        <f>IF(OR(D3="",D3=0),"",F3/D3)</f>
        <v>3.0864197530864196E-3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58" t="s">
        <v>163</v>
      </c>
      <c r="N3" s="159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.8" x14ac:dyDescent="0.25">
      <c r="A4" s="2"/>
      <c r="B4" s="163" t="s">
        <v>86</v>
      </c>
      <c r="C4" s="164"/>
      <c r="D4" s="160" t="str">
        <f>IF(ISERROR(VLOOKUP(H4,Teams!$B$2:$C$44,2,FALSE)),"Local Team",VLOOKUP(H4,Teams!$B$2:$C$44,2,FALSE))</f>
        <v>Besiktas GAIN Istanbul</v>
      </c>
      <c r="E4" s="161"/>
      <c r="F4" s="161"/>
      <c r="G4" s="162"/>
      <c r="H4" s="118" t="str">
        <f>IF(ISERROR(VLOOKUP($B$2&amp;TEXT($C$2,"000"),GAMES!$A$3:$I$562,6,FALSE)),"LOC",VLOOKUP($B$2&amp;TEXT($C$2,"000"),GAMES!$A$3:$I$562,6,FALSE))</f>
        <v>BES</v>
      </c>
      <c r="I4" s="5"/>
      <c r="J4" s="119" t="s">
        <v>714</v>
      </c>
      <c r="K4" s="54" t="s">
        <v>743</v>
      </c>
      <c r="L4" s="5"/>
      <c r="M4" s="167" t="s">
        <v>832</v>
      </c>
      <c r="N4" s="168"/>
      <c r="O4" s="2"/>
      <c r="P4" s="2"/>
      <c r="Q4" s="84" t="s">
        <v>175</v>
      </c>
      <c r="R4" s="94">
        <f>(IF(G3="",0,G3))</f>
        <v>3.0864197530864196E-3</v>
      </c>
      <c r="S4" s="61">
        <f>SUM(I13:M13)</f>
        <v>0</v>
      </c>
      <c r="T4" s="78"/>
      <c r="U4" s="61">
        <f>AC18</f>
        <v>1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1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4.4" thickBot="1" x14ac:dyDescent="0.3">
      <c r="A5" s="2"/>
      <c r="B5" s="165" t="s">
        <v>87</v>
      </c>
      <c r="C5" s="166"/>
      <c r="D5" s="173" t="str">
        <f>IF(ISERROR(VLOOKUP(H5,Teams!$B$2:$C$44,2,FALSE)),"Visitor Team",VLOOKUP(H5,Teams!$B$2:$C$44,2,FALSE))</f>
        <v>Turk Telekom Ankara</v>
      </c>
      <c r="E5" s="174"/>
      <c r="F5" s="174"/>
      <c r="G5" s="175"/>
      <c r="H5" s="118" t="str">
        <f>IF(ISERROR(VLOOKUP($B$2&amp;TEXT($C$2,"000"),GAMES!$A$3:$I$562,7,FALSE)),"VIS",VLOOKUP($B$2&amp;TEXT($C$2,"000"),GAMES!$A$3:$I$562,7,FALSE))</f>
        <v>TTK</v>
      </c>
      <c r="I5" s="5"/>
      <c r="J5" s="5"/>
      <c r="K5" s="5"/>
      <c r="L5" s="5"/>
      <c r="M5" s="169"/>
      <c r="N5" s="170"/>
      <c r="O5" s="2"/>
      <c r="P5" s="2"/>
      <c r="Q5" s="89" t="s">
        <v>174</v>
      </c>
      <c r="R5" s="94">
        <f>R4*R3</f>
        <v>0.30864197530864196</v>
      </c>
      <c r="S5" s="70">
        <f t="shared" ref="S5" si="0">S4*S3</f>
        <v>0</v>
      </c>
      <c r="T5" s="92"/>
      <c r="U5" s="70">
        <f t="shared" ref="U5:AG5" si="1">U4*U3</f>
        <v>0.5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2.5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4.4" thickBot="1" x14ac:dyDescent="0.3">
      <c r="A6" s="2"/>
      <c r="B6" s="163" t="s">
        <v>95</v>
      </c>
      <c r="C6" s="164"/>
      <c r="D6" s="178" t="s">
        <v>735</v>
      </c>
      <c r="E6" s="179"/>
      <c r="F6" s="179"/>
      <c r="G6" s="180"/>
      <c r="H6" s="5"/>
      <c r="I6" s="5"/>
      <c r="J6" s="5"/>
      <c r="K6" s="5"/>
      <c r="L6" s="2"/>
      <c r="M6" s="171"/>
      <c r="N6" s="172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.8" x14ac:dyDescent="0.25">
      <c r="A7" s="2"/>
      <c r="B7" s="187" t="s">
        <v>96</v>
      </c>
      <c r="C7" s="188"/>
      <c r="D7" s="178" t="s">
        <v>826</v>
      </c>
      <c r="E7" s="179"/>
      <c r="F7" s="179"/>
      <c r="G7" s="18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3.308641975308642</v>
      </c>
      <c r="N7" s="58"/>
      <c r="O7" s="2"/>
      <c r="P7" s="2"/>
      <c r="Q7" s="86">
        <f>SUM(R5,S5,AC16)</f>
        <v>3.308641975308642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4.4" thickBot="1" x14ac:dyDescent="0.3">
      <c r="A8" s="2"/>
      <c r="B8" s="165" t="s">
        <v>97</v>
      </c>
      <c r="C8" s="189"/>
      <c r="D8" s="181" t="s">
        <v>740</v>
      </c>
      <c r="E8" s="182"/>
      <c r="F8" s="182"/>
      <c r="G8" s="18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3.308641975308642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4.4" thickBot="1" x14ac:dyDescent="0.3">
      <c r="A9" s="2"/>
      <c r="B9" s="163" t="s">
        <v>98</v>
      </c>
      <c r="C9" s="190"/>
      <c r="D9" s="178" t="s">
        <v>827</v>
      </c>
      <c r="E9" s="179"/>
      <c r="F9" s="179"/>
      <c r="G9" s="18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4.4" thickBot="1" x14ac:dyDescent="0.35">
      <c r="A10" s="1"/>
      <c r="B10" s="165" t="s">
        <v>99</v>
      </c>
      <c r="C10" s="189"/>
      <c r="D10" s="181" t="s">
        <v>828</v>
      </c>
      <c r="E10" s="182"/>
      <c r="F10" s="182"/>
      <c r="G10" s="18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0.8" thickBot="1" x14ac:dyDescent="0.25">
      <c r="A11" s="17"/>
      <c r="B11" s="176" t="s">
        <v>108</v>
      </c>
      <c r="C11" s="177"/>
      <c r="D11" s="191"/>
      <c r="E11" s="192"/>
      <c r="F11" s="192"/>
      <c r="G11" s="193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4.4" thickBot="1" x14ac:dyDescent="0.35">
      <c r="A12" s="1"/>
      <c r="B12" s="2"/>
      <c r="C12" s="2"/>
      <c r="D12" s="2"/>
      <c r="E12" s="2"/>
      <c r="F12" s="49" t="str">
        <f>IF(G12="","",$B$2)</f>
        <v>U2025</v>
      </c>
      <c r="G12" s="50">
        <f>IF(I12="","",$C$2)</f>
        <v>169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" customHeight="1" thickBot="1" x14ac:dyDescent="0.25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4.4" thickBot="1" x14ac:dyDescent="0.35">
      <c r="A14" s="1"/>
      <c r="B14" s="176" t="s">
        <v>162</v>
      </c>
      <c r="C14" s="177"/>
      <c r="D14" s="184" t="s">
        <v>829</v>
      </c>
      <c r="E14" s="185"/>
      <c r="F14" s="185"/>
      <c r="G14" s="18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25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2</v>
      </c>
      <c r="J15" s="24">
        <f>SUBTOTAL(3,J17:J106)</f>
        <v>2</v>
      </c>
      <c r="K15" s="24">
        <f>SUBTOTAL(3,K17:K106)</f>
        <v>2</v>
      </c>
      <c r="L15" s="24">
        <f>SUBTOTAL(3,L17:L106)</f>
        <v>2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2</v>
      </c>
      <c r="Z16" s="90" t="s">
        <v>110</v>
      </c>
      <c r="AA16" s="75">
        <f>SUM(AA17:AA24)</f>
        <v>2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3</v>
      </c>
      <c r="AD16" s="75">
        <f>SUM(AD17:AD24)</f>
        <v>45</v>
      </c>
      <c r="AE16" s="76" t="s">
        <v>42</v>
      </c>
      <c r="AF16" s="75">
        <f>SUM(AF17:AF24)</f>
        <v>1</v>
      </c>
      <c r="AG16" s="75">
        <f>SUM(AG17:AG21)</f>
        <v>2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199999999999999" x14ac:dyDescent="0.2">
      <c r="A17" s="20"/>
      <c r="B17" s="31" t="str">
        <f t="shared" ref="B17:B48" si="2">IF(C17="","",$B$2)</f>
        <v>U2025</v>
      </c>
      <c r="C17" s="31">
        <f t="shared" ref="C17:C48" si="3">IF(I17="","",$C$2)</f>
        <v>169</v>
      </c>
      <c r="D17" s="32" t="s">
        <v>830</v>
      </c>
      <c r="E17" s="33">
        <v>1</v>
      </c>
      <c r="F17" s="36">
        <v>6</v>
      </c>
      <c r="G17" s="36">
        <v>4</v>
      </c>
      <c r="H17" s="38" t="str">
        <f>IF(I17="","",$I$14)</f>
        <v>SCOUTING</v>
      </c>
      <c r="I17" s="34">
        <v>28</v>
      </c>
      <c r="J17" s="13" t="s">
        <v>4</v>
      </c>
      <c r="K17" s="13" t="s">
        <v>62</v>
      </c>
      <c r="L17" s="13" t="s">
        <v>5</v>
      </c>
      <c r="M17" s="13" t="s">
        <v>11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2</v>
      </c>
      <c r="Z17" s="105" t="s">
        <v>63</v>
      </c>
      <c r="AA17" s="62">
        <f>COUNTIF($K$17:$K$106,Z17)</f>
        <v>1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1</v>
      </c>
      <c r="AG17" s="62">
        <f>COUNTIF($E$17:$E$106,$AK17)</f>
        <v>1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199999999999999" x14ac:dyDescent="0.2">
      <c r="A18" s="20"/>
      <c r="B18" s="31" t="str">
        <f t="shared" si="2"/>
        <v>U2025</v>
      </c>
      <c r="C18" s="31">
        <f t="shared" si="3"/>
        <v>169</v>
      </c>
      <c r="D18" s="32" t="s">
        <v>831</v>
      </c>
      <c r="E18" s="33">
        <v>2</v>
      </c>
      <c r="F18" s="36">
        <v>28</v>
      </c>
      <c r="G18" s="36">
        <v>27</v>
      </c>
      <c r="H18" s="38" t="str">
        <f t="shared" ref="H18:H81" si="8">IF(I18="","",$I$14)</f>
        <v>SCOUTING</v>
      </c>
      <c r="I18" s="34">
        <v>202</v>
      </c>
      <c r="J18" s="13" t="s">
        <v>4</v>
      </c>
      <c r="K18" s="13" t="s">
        <v>63</v>
      </c>
      <c r="L18" s="13" t="s">
        <v>7</v>
      </c>
      <c r="M18" s="13" t="s">
        <v>28</v>
      </c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1</v>
      </c>
      <c r="AB18" s="66" t="s">
        <v>5</v>
      </c>
      <c r="AC18" s="61">
        <f t="shared" si="5"/>
        <v>1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1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199999999999999" x14ac:dyDescent="0.2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199999999999999" x14ac:dyDescent="0.2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0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199999999999999" x14ac:dyDescent="0.2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199999999999999" x14ac:dyDescent="0.2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199999999999999" x14ac:dyDescent="0.2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1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199999999999999" x14ac:dyDescent="0.2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199999999999999" x14ac:dyDescent="0.2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199999999999999" x14ac:dyDescent="0.2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199999999999999" x14ac:dyDescent="0.2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199999999999999" x14ac:dyDescent="0.2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199999999999999" x14ac:dyDescent="0.2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199999999999999" x14ac:dyDescent="0.2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199999999999999" x14ac:dyDescent="0.2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199999999999999" x14ac:dyDescent="0.2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199999999999999" x14ac:dyDescent="0.2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1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199999999999999" x14ac:dyDescent="0.2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199999999999999" x14ac:dyDescent="0.2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199999999999999" x14ac:dyDescent="0.2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199999999999999" x14ac:dyDescent="0.2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199999999999999" x14ac:dyDescent="0.2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199999999999999" x14ac:dyDescent="0.2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199999999999999" x14ac:dyDescent="0.2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199999999999999" x14ac:dyDescent="0.2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199999999999999" x14ac:dyDescent="0.2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199999999999999" x14ac:dyDescent="0.2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199999999999999" x14ac:dyDescent="0.2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199999999999999" x14ac:dyDescent="0.2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199999999999999" x14ac:dyDescent="0.2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199999999999999" x14ac:dyDescent="0.2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199999999999999" x14ac:dyDescent="0.2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199999999999999" x14ac:dyDescent="0.2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199999999999999" x14ac:dyDescent="0.2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199999999999999" x14ac:dyDescent="0.2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199999999999999" x14ac:dyDescent="0.2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199999999999999" x14ac:dyDescent="0.2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199999999999999" x14ac:dyDescent="0.2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199999999999999" x14ac:dyDescent="0.2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199999999999999" x14ac:dyDescent="0.2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199999999999999" x14ac:dyDescent="0.2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199999999999999" x14ac:dyDescent="0.2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199999999999999" x14ac:dyDescent="0.2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199999999999999" x14ac:dyDescent="0.2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199999999999999" x14ac:dyDescent="0.2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199999999999999" x14ac:dyDescent="0.2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199999999999999" x14ac:dyDescent="0.2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199999999999999" x14ac:dyDescent="0.2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199999999999999" x14ac:dyDescent="0.2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199999999999999" x14ac:dyDescent="0.2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199999999999999" x14ac:dyDescent="0.2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199999999999999" x14ac:dyDescent="0.2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199999999999999" x14ac:dyDescent="0.2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199999999999999" x14ac:dyDescent="0.2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199999999999999" x14ac:dyDescent="0.2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199999999999999" x14ac:dyDescent="0.2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199999999999999" x14ac:dyDescent="0.2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199999999999999" x14ac:dyDescent="0.2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199999999999999" x14ac:dyDescent="0.2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199999999999999" x14ac:dyDescent="0.2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199999999999999" x14ac:dyDescent="0.2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199999999999999" x14ac:dyDescent="0.2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199999999999999" x14ac:dyDescent="0.2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199999999999999" x14ac:dyDescent="0.2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199999999999999" x14ac:dyDescent="0.2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199999999999999" x14ac:dyDescent="0.2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199999999999999" x14ac:dyDescent="0.2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199999999999999" x14ac:dyDescent="0.2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199999999999999" x14ac:dyDescent="0.2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199999999999999" x14ac:dyDescent="0.2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199999999999999" x14ac:dyDescent="0.2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199999999999999" x14ac:dyDescent="0.2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199999999999999" x14ac:dyDescent="0.2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199999999999999" x14ac:dyDescent="0.2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199999999999999" x14ac:dyDescent="0.2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199999999999999" x14ac:dyDescent="0.2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199999999999999" x14ac:dyDescent="0.2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199999999999999" x14ac:dyDescent="0.2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199999999999999" x14ac:dyDescent="0.2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199999999999999" x14ac:dyDescent="0.2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199999999999999" x14ac:dyDescent="0.2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199999999999999" x14ac:dyDescent="0.2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199999999999999" x14ac:dyDescent="0.2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199999999999999" x14ac:dyDescent="0.2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199999999999999" x14ac:dyDescent="0.2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199999999999999" x14ac:dyDescent="0.2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199999999999999" x14ac:dyDescent="0.2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199999999999999" x14ac:dyDescent="0.2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199999999999999" x14ac:dyDescent="0.2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199999999999999" x14ac:dyDescent="0.2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199999999999999" x14ac:dyDescent="0.2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199999999999999" x14ac:dyDescent="0.2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25">
      <c r="W109" s="96"/>
    </row>
    <row r="110" spans="1:71" x14ac:dyDescent="0.25">
      <c r="W110" s="4"/>
    </row>
    <row r="111" spans="1:71" x14ac:dyDescent="0.2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J19" sqref="J19:N19"/>
    </sheetView>
  </sheetViews>
  <sheetFormatPr baseColWidth="10" defaultColWidth="8.88671875" defaultRowHeight="13.2" x14ac:dyDescent="0.25"/>
  <cols>
    <col min="1" max="1" width="0.6640625" customWidth="1"/>
    <col min="2" max="2" width="3.6640625" style="150" customWidth="1"/>
    <col min="3" max="3" width="23.5546875" style="150" bestFit="1" customWidth="1"/>
    <col min="4" max="15" width="14" style="25" customWidth="1"/>
  </cols>
  <sheetData>
    <row r="1" spans="2:15" ht="13.8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.8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 t="s">
        <v>804</v>
      </c>
      <c r="E3" s="133" t="s">
        <v>805</v>
      </c>
      <c r="F3" s="133" t="s">
        <v>806</v>
      </c>
      <c r="G3" s="133" t="s">
        <v>807</v>
      </c>
      <c r="H3" s="133" t="s">
        <v>808</v>
      </c>
      <c r="I3" s="134" t="s">
        <v>809</v>
      </c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 t="s">
        <v>765</v>
      </c>
      <c r="E4" s="137" t="s">
        <v>766</v>
      </c>
      <c r="F4" s="137" t="s">
        <v>767</v>
      </c>
      <c r="G4" s="137" t="s">
        <v>768</v>
      </c>
      <c r="H4" s="137" t="s">
        <v>769</v>
      </c>
      <c r="I4" s="138" t="s">
        <v>770</v>
      </c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 t="s">
        <v>788</v>
      </c>
      <c r="E6" s="137" t="s">
        <v>789</v>
      </c>
      <c r="F6" s="137" t="s">
        <v>790</v>
      </c>
      <c r="G6" s="137" t="s">
        <v>781</v>
      </c>
      <c r="H6" s="137" t="s">
        <v>780</v>
      </c>
      <c r="I6" s="138" t="s">
        <v>791</v>
      </c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 t="s">
        <v>729</v>
      </c>
      <c r="E7" s="137" t="s">
        <v>755</v>
      </c>
      <c r="F7" s="137" t="s">
        <v>756</v>
      </c>
      <c r="G7" s="137" t="s">
        <v>757</v>
      </c>
      <c r="H7" s="137" t="s">
        <v>758</v>
      </c>
      <c r="I7" s="137" t="s">
        <v>825</v>
      </c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 t="s">
        <v>735</v>
      </c>
      <c r="E8" s="137" t="s">
        <v>771</v>
      </c>
      <c r="F8" s="137" t="s">
        <v>772</v>
      </c>
      <c r="G8" s="137" t="s">
        <v>773</v>
      </c>
      <c r="H8" s="137" t="s">
        <v>774</v>
      </c>
      <c r="I8" s="138" t="s">
        <v>740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 t="s">
        <v>819</v>
      </c>
      <c r="E9" s="137" t="s">
        <v>820</v>
      </c>
      <c r="F9" s="137" t="s">
        <v>821</v>
      </c>
      <c r="G9" s="137" t="s">
        <v>822</v>
      </c>
      <c r="H9" s="137" t="s">
        <v>823</v>
      </c>
      <c r="I9" s="138" t="s">
        <v>824</v>
      </c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 t="s">
        <v>810</v>
      </c>
      <c r="E10" s="137" t="s">
        <v>811</v>
      </c>
      <c r="F10" s="137" t="s">
        <v>812</v>
      </c>
      <c r="G10" s="137" t="s">
        <v>813</v>
      </c>
      <c r="H10" s="137" t="s">
        <v>814</v>
      </c>
      <c r="I10" s="138" t="s">
        <v>815</v>
      </c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 t="s">
        <v>759</v>
      </c>
      <c r="E13" s="137" t="s">
        <v>760</v>
      </c>
      <c r="F13" s="137" t="s">
        <v>761</v>
      </c>
      <c r="G13" s="137" t="s">
        <v>762</v>
      </c>
      <c r="H13" s="137" t="s">
        <v>763</v>
      </c>
      <c r="I13" s="138" t="s">
        <v>764</v>
      </c>
      <c r="J13" s="139"/>
      <c r="K13" s="137" t="s">
        <v>775</v>
      </c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 t="s">
        <v>782</v>
      </c>
      <c r="E14" s="137" t="s">
        <v>783</v>
      </c>
      <c r="F14" s="137" t="s">
        <v>784</v>
      </c>
      <c r="G14" s="137" t="s">
        <v>785</v>
      </c>
      <c r="H14" s="137" t="s">
        <v>786</v>
      </c>
      <c r="I14" s="138" t="s">
        <v>787</v>
      </c>
      <c r="J14" s="139"/>
      <c r="K14" s="137" t="s">
        <v>776</v>
      </c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 t="s">
        <v>777</v>
      </c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7" t="s">
        <v>781</v>
      </c>
      <c r="J16" s="139"/>
      <c r="K16" s="137" t="s">
        <v>778</v>
      </c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 t="s">
        <v>750</v>
      </c>
      <c r="E17" s="137" t="s">
        <v>751</v>
      </c>
      <c r="F17" s="137" t="s">
        <v>752</v>
      </c>
      <c r="G17" s="137" t="s">
        <v>753</v>
      </c>
      <c r="H17" s="137" t="s">
        <v>754</v>
      </c>
      <c r="I17" s="138"/>
      <c r="J17" s="139"/>
      <c r="K17" s="137" t="s">
        <v>779</v>
      </c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 t="s">
        <v>792</v>
      </c>
      <c r="E18" s="137" t="s">
        <v>793</v>
      </c>
      <c r="F18" s="137" t="s">
        <v>794</v>
      </c>
      <c r="G18" s="137" t="s">
        <v>795</v>
      </c>
      <c r="H18" s="137" t="s">
        <v>796</v>
      </c>
      <c r="I18" s="138" t="s">
        <v>797</v>
      </c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 t="s">
        <v>816</v>
      </c>
      <c r="E19" s="137" t="s">
        <v>793</v>
      </c>
      <c r="F19" s="137" t="s">
        <v>817</v>
      </c>
      <c r="G19" s="137" t="s">
        <v>818</v>
      </c>
      <c r="H19" s="137" t="s">
        <v>796</v>
      </c>
      <c r="I19" s="138" t="s">
        <v>797</v>
      </c>
      <c r="J19" s="139" t="s">
        <v>775</v>
      </c>
      <c r="K19" s="137" t="s">
        <v>776</v>
      </c>
      <c r="L19" s="137" t="s">
        <v>777</v>
      </c>
      <c r="M19" s="137" t="s">
        <v>778</v>
      </c>
      <c r="N19" s="140" t="s">
        <v>779</v>
      </c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.8" thickBot="1" x14ac:dyDescent="0.3">
      <c r="B22" s="154" t="s">
        <v>196</v>
      </c>
      <c r="C22" s="155" t="s">
        <v>236</v>
      </c>
      <c r="D22" s="141" t="s">
        <v>798</v>
      </c>
      <c r="E22" s="142" t="s">
        <v>799</v>
      </c>
      <c r="F22" s="142" t="s">
        <v>800</v>
      </c>
      <c r="G22" s="142" t="s">
        <v>801</v>
      </c>
      <c r="H22" s="142" t="s">
        <v>802</v>
      </c>
      <c r="I22" s="143" t="s">
        <v>803</v>
      </c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.8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.8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baseColWidth="10" defaultColWidth="8.88671875" defaultRowHeight="13.2" x14ac:dyDescent="0.25"/>
  <cols>
    <col min="2" max="2" width="11.88671875" bestFit="1" customWidth="1"/>
    <col min="3" max="3" width="6.109375" bestFit="1" customWidth="1"/>
    <col min="4" max="4" width="3.44140625" bestFit="1" customWidth="1"/>
    <col min="5" max="5" width="15.33203125" bestFit="1" customWidth="1"/>
    <col min="6" max="7" width="14.109375" bestFit="1" customWidth="1"/>
    <col min="8" max="8" width="14.88671875" bestFit="1" customWidth="1"/>
    <col min="9" max="9" width="20.88671875" bestFit="1" customWidth="1"/>
  </cols>
  <sheetData>
    <row r="2" spans="1:9" ht="14.4" x14ac:dyDescent="0.3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4" x14ac:dyDescent="0.3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4" x14ac:dyDescent="0.3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4" x14ac:dyDescent="0.3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4" x14ac:dyDescent="0.3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4" x14ac:dyDescent="0.3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4" x14ac:dyDescent="0.3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4" x14ac:dyDescent="0.3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4" x14ac:dyDescent="0.3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4" x14ac:dyDescent="0.3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4" x14ac:dyDescent="0.3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4" x14ac:dyDescent="0.3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4" x14ac:dyDescent="0.3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4" x14ac:dyDescent="0.3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4" x14ac:dyDescent="0.3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4" x14ac:dyDescent="0.3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4" x14ac:dyDescent="0.3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4" x14ac:dyDescent="0.3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4" x14ac:dyDescent="0.3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4" x14ac:dyDescent="0.3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4" x14ac:dyDescent="0.3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4" x14ac:dyDescent="0.3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4" x14ac:dyDescent="0.3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4" x14ac:dyDescent="0.3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4" x14ac:dyDescent="0.3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4" x14ac:dyDescent="0.3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4" x14ac:dyDescent="0.3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4" x14ac:dyDescent="0.3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4" x14ac:dyDescent="0.3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4" x14ac:dyDescent="0.3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4" x14ac:dyDescent="0.3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4" x14ac:dyDescent="0.3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4" x14ac:dyDescent="0.3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4" x14ac:dyDescent="0.3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4" x14ac:dyDescent="0.3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4" x14ac:dyDescent="0.3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4" x14ac:dyDescent="0.3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4" x14ac:dyDescent="0.3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4" x14ac:dyDescent="0.3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4" x14ac:dyDescent="0.3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4" x14ac:dyDescent="0.3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4" x14ac:dyDescent="0.3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4" x14ac:dyDescent="0.3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4" x14ac:dyDescent="0.3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4" x14ac:dyDescent="0.3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4" x14ac:dyDescent="0.3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4" x14ac:dyDescent="0.3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4" x14ac:dyDescent="0.3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4" x14ac:dyDescent="0.3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4" x14ac:dyDescent="0.3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4" x14ac:dyDescent="0.3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4" x14ac:dyDescent="0.3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4" x14ac:dyDescent="0.3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4" x14ac:dyDescent="0.3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4" x14ac:dyDescent="0.3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4" x14ac:dyDescent="0.3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4" x14ac:dyDescent="0.3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4" x14ac:dyDescent="0.3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4" x14ac:dyDescent="0.3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4" x14ac:dyDescent="0.3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4" x14ac:dyDescent="0.3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4" x14ac:dyDescent="0.3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4" x14ac:dyDescent="0.3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4" x14ac:dyDescent="0.3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4" x14ac:dyDescent="0.3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4" x14ac:dyDescent="0.3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4" x14ac:dyDescent="0.3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4" x14ac:dyDescent="0.3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4" x14ac:dyDescent="0.3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4" x14ac:dyDescent="0.3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4" x14ac:dyDescent="0.3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4" x14ac:dyDescent="0.3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4" x14ac:dyDescent="0.3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4" x14ac:dyDescent="0.3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4" x14ac:dyDescent="0.3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4" x14ac:dyDescent="0.3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4" x14ac:dyDescent="0.3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4" x14ac:dyDescent="0.3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4" x14ac:dyDescent="0.3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4" x14ac:dyDescent="0.3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4" x14ac:dyDescent="0.3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4" x14ac:dyDescent="0.3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4" x14ac:dyDescent="0.3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4" x14ac:dyDescent="0.3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4" x14ac:dyDescent="0.3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4" x14ac:dyDescent="0.3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4" x14ac:dyDescent="0.3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4" x14ac:dyDescent="0.3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4" x14ac:dyDescent="0.3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4" x14ac:dyDescent="0.3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4" x14ac:dyDescent="0.3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4" x14ac:dyDescent="0.3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4" x14ac:dyDescent="0.3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4" x14ac:dyDescent="0.3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4" x14ac:dyDescent="0.3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4" x14ac:dyDescent="0.3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4" x14ac:dyDescent="0.3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4" x14ac:dyDescent="0.3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4" x14ac:dyDescent="0.3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4" x14ac:dyDescent="0.3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4" x14ac:dyDescent="0.3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4" x14ac:dyDescent="0.3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4" x14ac:dyDescent="0.3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4" x14ac:dyDescent="0.3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4" x14ac:dyDescent="0.3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4" x14ac:dyDescent="0.3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4" x14ac:dyDescent="0.3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4" x14ac:dyDescent="0.3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4" x14ac:dyDescent="0.3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4" x14ac:dyDescent="0.3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4" x14ac:dyDescent="0.3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4" x14ac:dyDescent="0.3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4" x14ac:dyDescent="0.3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4" x14ac:dyDescent="0.3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4" x14ac:dyDescent="0.3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4" x14ac:dyDescent="0.3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4" x14ac:dyDescent="0.3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4" x14ac:dyDescent="0.3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4" x14ac:dyDescent="0.3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4" x14ac:dyDescent="0.3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4" x14ac:dyDescent="0.3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4" x14ac:dyDescent="0.3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4" x14ac:dyDescent="0.3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4" x14ac:dyDescent="0.3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4" x14ac:dyDescent="0.3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4" x14ac:dyDescent="0.3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4" x14ac:dyDescent="0.3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4" x14ac:dyDescent="0.3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4" x14ac:dyDescent="0.3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4" x14ac:dyDescent="0.3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4" x14ac:dyDescent="0.3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4" x14ac:dyDescent="0.3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4" x14ac:dyDescent="0.3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4" x14ac:dyDescent="0.3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4" x14ac:dyDescent="0.3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4" x14ac:dyDescent="0.3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4" x14ac:dyDescent="0.3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4" x14ac:dyDescent="0.3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4" x14ac:dyDescent="0.3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4" x14ac:dyDescent="0.3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4" x14ac:dyDescent="0.3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4" x14ac:dyDescent="0.3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4" x14ac:dyDescent="0.3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4" x14ac:dyDescent="0.3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4" x14ac:dyDescent="0.3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4" x14ac:dyDescent="0.3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4" x14ac:dyDescent="0.3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4" x14ac:dyDescent="0.3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4" x14ac:dyDescent="0.3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4" x14ac:dyDescent="0.3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4" x14ac:dyDescent="0.3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4" x14ac:dyDescent="0.3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4" x14ac:dyDescent="0.3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4" x14ac:dyDescent="0.3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4" x14ac:dyDescent="0.3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4" x14ac:dyDescent="0.3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4" x14ac:dyDescent="0.3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4" x14ac:dyDescent="0.3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4" x14ac:dyDescent="0.3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4" x14ac:dyDescent="0.3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4" x14ac:dyDescent="0.3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4" x14ac:dyDescent="0.3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4" x14ac:dyDescent="0.3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4" x14ac:dyDescent="0.3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4" x14ac:dyDescent="0.3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4" x14ac:dyDescent="0.3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4" x14ac:dyDescent="0.3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4" x14ac:dyDescent="0.3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4" x14ac:dyDescent="0.3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4" x14ac:dyDescent="0.3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4" x14ac:dyDescent="0.3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4" x14ac:dyDescent="0.3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4" x14ac:dyDescent="0.3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4" x14ac:dyDescent="0.3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4" x14ac:dyDescent="0.3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4" x14ac:dyDescent="0.3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4" x14ac:dyDescent="0.3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4" x14ac:dyDescent="0.3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4" x14ac:dyDescent="0.3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4" x14ac:dyDescent="0.3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4" x14ac:dyDescent="0.3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4" x14ac:dyDescent="0.3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4" x14ac:dyDescent="0.3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4" x14ac:dyDescent="0.3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4" x14ac:dyDescent="0.3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4" x14ac:dyDescent="0.3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4" x14ac:dyDescent="0.3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4" x14ac:dyDescent="0.3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4" x14ac:dyDescent="0.3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4" x14ac:dyDescent="0.3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4" x14ac:dyDescent="0.3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4" x14ac:dyDescent="0.3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4" x14ac:dyDescent="0.3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4" x14ac:dyDescent="0.3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4" x14ac:dyDescent="0.3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4" x14ac:dyDescent="0.3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4" x14ac:dyDescent="0.3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4" x14ac:dyDescent="0.3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4" x14ac:dyDescent="0.3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4" x14ac:dyDescent="0.3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4" x14ac:dyDescent="0.3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4" x14ac:dyDescent="0.3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4" x14ac:dyDescent="0.3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4" x14ac:dyDescent="0.3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4" x14ac:dyDescent="0.3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4" x14ac:dyDescent="0.3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4" x14ac:dyDescent="0.3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4" x14ac:dyDescent="0.3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4" x14ac:dyDescent="0.3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4" x14ac:dyDescent="0.3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4" x14ac:dyDescent="0.3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4" x14ac:dyDescent="0.3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4" x14ac:dyDescent="0.3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4" x14ac:dyDescent="0.3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4" x14ac:dyDescent="0.3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4" x14ac:dyDescent="0.3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4" x14ac:dyDescent="0.3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4" x14ac:dyDescent="0.3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4" x14ac:dyDescent="0.3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4" x14ac:dyDescent="0.3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4" x14ac:dyDescent="0.3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4" x14ac:dyDescent="0.3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4" x14ac:dyDescent="0.3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4" x14ac:dyDescent="0.3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4" x14ac:dyDescent="0.3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4" x14ac:dyDescent="0.3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4" x14ac:dyDescent="0.3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4" x14ac:dyDescent="0.3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4" x14ac:dyDescent="0.3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4" x14ac:dyDescent="0.3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4" x14ac:dyDescent="0.3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4" x14ac:dyDescent="0.3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4" x14ac:dyDescent="0.3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4" x14ac:dyDescent="0.3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4" x14ac:dyDescent="0.3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4" x14ac:dyDescent="0.3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4" x14ac:dyDescent="0.3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4" x14ac:dyDescent="0.3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4" x14ac:dyDescent="0.3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4" x14ac:dyDescent="0.3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4" x14ac:dyDescent="0.3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4" x14ac:dyDescent="0.3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4" x14ac:dyDescent="0.3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4" x14ac:dyDescent="0.3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4" x14ac:dyDescent="0.3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4" x14ac:dyDescent="0.3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4" x14ac:dyDescent="0.3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4" x14ac:dyDescent="0.3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4" x14ac:dyDescent="0.3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4" x14ac:dyDescent="0.3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4" x14ac:dyDescent="0.3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4" x14ac:dyDescent="0.3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4" x14ac:dyDescent="0.3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4" x14ac:dyDescent="0.3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4" x14ac:dyDescent="0.3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4" x14ac:dyDescent="0.3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4" x14ac:dyDescent="0.3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4" x14ac:dyDescent="0.3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4" x14ac:dyDescent="0.3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4" x14ac:dyDescent="0.3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4" x14ac:dyDescent="0.3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4" x14ac:dyDescent="0.3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4" x14ac:dyDescent="0.3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4" x14ac:dyDescent="0.3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4" x14ac:dyDescent="0.3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4" x14ac:dyDescent="0.3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4" x14ac:dyDescent="0.3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4" x14ac:dyDescent="0.3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4" x14ac:dyDescent="0.3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4" x14ac:dyDescent="0.3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4" x14ac:dyDescent="0.3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4" x14ac:dyDescent="0.3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4" x14ac:dyDescent="0.3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4" x14ac:dyDescent="0.3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4" x14ac:dyDescent="0.3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4" x14ac:dyDescent="0.3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4" x14ac:dyDescent="0.3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4" x14ac:dyDescent="0.3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4" x14ac:dyDescent="0.3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4" x14ac:dyDescent="0.3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4" x14ac:dyDescent="0.3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4" x14ac:dyDescent="0.3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4" x14ac:dyDescent="0.3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4" x14ac:dyDescent="0.3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4" x14ac:dyDescent="0.3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4" x14ac:dyDescent="0.3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4" x14ac:dyDescent="0.3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4" x14ac:dyDescent="0.3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4" x14ac:dyDescent="0.3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4" x14ac:dyDescent="0.3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4" x14ac:dyDescent="0.3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4" x14ac:dyDescent="0.3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4" x14ac:dyDescent="0.3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4" x14ac:dyDescent="0.3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4" x14ac:dyDescent="0.3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4" x14ac:dyDescent="0.3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4" x14ac:dyDescent="0.3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4" x14ac:dyDescent="0.3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4" x14ac:dyDescent="0.3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4" x14ac:dyDescent="0.3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4" x14ac:dyDescent="0.3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4" x14ac:dyDescent="0.3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4" x14ac:dyDescent="0.3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4" x14ac:dyDescent="0.3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4" x14ac:dyDescent="0.3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4" x14ac:dyDescent="0.3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4" x14ac:dyDescent="0.3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4" x14ac:dyDescent="0.3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4" x14ac:dyDescent="0.3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4" x14ac:dyDescent="0.3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4" x14ac:dyDescent="0.3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4" x14ac:dyDescent="0.3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4" x14ac:dyDescent="0.3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4" x14ac:dyDescent="0.3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4" x14ac:dyDescent="0.3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4" x14ac:dyDescent="0.3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4" x14ac:dyDescent="0.3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4" x14ac:dyDescent="0.3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4" x14ac:dyDescent="0.3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4" x14ac:dyDescent="0.3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4" x14ac:dyDescent="0.3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4" x14ac:dyDescent="0.3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4" x14ac:dyDescent="0.3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4" x14ac:dyDescent="0.3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4" x14ac:dyDescent="0.3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4" x14ac:dyDescent="0.3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4" x14ac:dyDescent="0.3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4" x14ac:dyDescent="0.3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4" x14ac:dyDescent="0.3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4" x14ac:dyDescent="0.3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4" x14ac:dyDescent="0.3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4" x14ac:dyDescent="0.3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4" x14ac:dyDescent="0.3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4" x14ac:dyDescent="0.3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4" x14ac:dyDescent="0.3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4" x14ac:dyDescent="0.3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4" x14ac:dyDescent="0.3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4" x14ac:dyDescent="0.3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4" x14ac:dyDescent="0.3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4" x14ac:dyDescent="0.3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4" x14ac:dyDescent="0.3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4" x14ac:dyDescent="0.3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4" x14ac:dyDescent="0.3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4" x14ac:dyDescent="0.3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4" x14ac:dyDescent="0.3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4" x14ac:dyDescent="0.3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4" x14ac:dyDescent="0.3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4" x14ac:dyDescent="0.3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4" x14ac:dyDescent="0.3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4" x14ac:dyDescent="0.3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4" x14ac:dyDescent="0.3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4" x14ac:dyDescent="0.3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4" x14ac:dyDescent="0.3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4" x14ac:dyDescent="0.3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4" x14ac:dyDescent="0.3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4" x14ac:dyDescent="0.3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4" x14ac:dyDescent="0.3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4" x14ac:dyDescent="0.3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4" x14ac:dyDescent="0.3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4" x14ac:dyDescent="0.3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4" x14ac:dyDescent="0.3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4" x14ac:dyDescent="0.3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4" x14ac:dyDescent="0.3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4" x14ac:dyDescent="0.3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4" x14ac:dyDescent="0.3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4" x14ac:dyDescent="0.3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4" x14ac:dyDescent="0.3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4" x14ac:dyDescent="0.3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4" x14ac:dyDescent="0.3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4" x14ac:dyDescent="0.3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4" x14ac:dyDescent="0.3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4" x14ac:dyDescent="0.3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4" x14ac:dyDescent="0.3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4" x14ac:dyDescent="0.3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4" x14ac:dyDescent="0.3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4" x14ac:dyDescent="0.3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4" x14ac:dyDescent="0.3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4" x14ac:dyDescent="0.3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4" x14ac:dyDescent="0.3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4" x14ac:dyDescent="0.3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4" x14ac:dyDescent="0.3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4" x14ac:dyDescent="0.3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4" x14ac:dyDescent="0.3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4" x14ac:dyDescent="0.3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4" x14ac:dyDescent="0.3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4" x14ac:dyDescent="0.3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4" x14ac:dyDescent="0.3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4" x14ac:dyDescent="0.3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4" x14ac:dyDescent="0.3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4" x14ac:dyDescent="0.3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4" x14ac:dyDescent="0.3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4" x14ac:dyDescent="0.3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4" x14ac:dyDescent="0.3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4" x14ac:dyDescent="0.3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4" x14ac:dyDescent="0.3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4" x14ac:dyDescent="0.3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4" x14ac:dyDescent="0.3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4" x14ac:dyDescent="0.3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4" x14ac:dyDescent="0.3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4" x14ac:dyDescent="0.3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4" x14ac:dyDescent="0.3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4" x14ac:dyDescent="0.3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4" x14ac:dyDescent="0.3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4" x14ac:dyDescent="0.3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4" x14ac:dyDescent="0.3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4" x14ac:dyDescent="0.3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4" x14ac:dyDescent="0.3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4" x14ac:dyDescent="0.3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4" x14ac:dyDescent="0.3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4" x14ac:dyDescent="0.3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4" x14ac:dyDescent="0.3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4" x14ac:dyDescent="0.3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4" x14ac:dyDescent="0.3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4" x14ac:dyDescent="0.3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4" x14ac:dyDescent="0.3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4" x14ac:dyDescent="0.3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4" x14ac:dyDescent="0.3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4" x14ac:dyDescent="0.3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4" x14ac:dyDescent="0.3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4" x14ac:dyDescent="0.3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4" x14ac:dyDescent="0.3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4" x14ac:dyDescent="0.3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4" x14ac:dyDescent="0.3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4" x14ac:dyDescent="0.3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4" x14ac:dyDescent="0.3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4" x14ac:dyDescent="0.3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4" x14ac:dyDescent="0.3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4" x14ac:dyDescent="0.3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4" x14ac:dyDescent="0.3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4" x14ac:dyDescent="0.3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4" x14ac:dyDescent="0.3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4" x14ac:dyDescent="0.3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4" x14ac:dyDescent="0.3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4" x14ac:dyDescent="0.3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4" x14ac:dyDescent="0.3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4" x14ac:dyDescent="0.3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4" x14ac:dyDescent="0.3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4" x14ac:dyDescent="0.3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4" x14ac:dyDescent="0.3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4" x14ac:dyDescent="0.3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4" x14ac:dyDescent="0.3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4" x14ac:dyDescent="0.3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4" x14ac:dyDescent="0.3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4" x14ac:dyDescent="0.3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4" x14ac:dyDescent="0.3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4" x14ac:dyDescent="0.3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4" x14ac:dyDescent="0.3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4" x14ac:dyDescent="0.3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4" x14ac:dyDescent="0.3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4" x14ac:dyDescent="0.3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4" x14ac:dyDescent="0.3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4" x14ac:dyDescent="0.3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4" x14ac:dyDescent="0.3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4" x14ac:dyDescent="0.3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4" x14ac:dyDescent="0.3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4" x14ac:dyDescent="0.3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4" x14ac:dyDescent="0.3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4" x14ac:dyDescent="0.3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4" x14ac:dyDescent="0.3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4" x14ac:dyDescent="0.3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4" x14ac:dyDescent="0.3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4" x14ac:dyDescent="0.3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4" x14ac:dyDescent="0.3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4" x14ac:dyDescent="0.3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4" x14ac:dyDescent="0.3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4" x14ac:dyDescent="0.3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4" x14ac:dyDescent="0.3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4" x14ac:dyDescent="0.3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4" x14ac:dyDescent="0.3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4" x14ac:dyDescent="0.3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4" x14ac:dyDescent="0.3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4" x14ac:dyDescent="0.3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4" x14ac:dyDescent="0.3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4" x14ac:dyDescent="0.3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4" x14ac:dyDescent="0.3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4" x14ac:dyDescent="0.3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4" x14ac:dyDescent="0.3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4" x14ac:dyDescent="0.3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4" x14ac:dyDescent="0.3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4" x14ac:dyDescent="0.3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4" x14ac:dyDescent="0.3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4" x14ac:dyDescent="0.3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4" x14ac:dyDescent="0.3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4" x14ac:dyDescent="0.3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4" x14ac:dyDescent="0.3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4" x14ac:dyDescent="0.3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4" x14ac:dyDescent="0.3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4" x14ac:dyDescent="0.3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4" x14ac:dyDescent="0.3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4" x14ac:dyDescent="0.3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4" x14ac:dyDescent="0.3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4" x14ac:dyDescent="0.3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4" x14ac:dyDescent="0.3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4" x14ac:dyDescent="0.3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4" x14ac:dyDescent="0.3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4" x14ac:dyDescent="0.3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4" x14ac:dyDescent="0.3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4" x14ac:dyDescent="0.3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4" x14ac:dyDescent="0.3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4" x14ac:dyDescent="0.3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4" x14ac:dyDescent="0.3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4" x14ac:dyDescent="0.3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4" x14ac:dyDescent="0.3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4" x14ac:dyDescent="0.3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4" x14ac:dyDescent="0.3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4" x14ac:dyDescent="0.3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4" x14ac:dyDescent="0.3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4" x14ac:dyDescent="0.3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4" x14ac:dyDescent="0.3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4" x14ac:dyDescent="0.3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4" x14ac:dyDescent="0.3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4" x14ac:dyDescent="0.3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4" x14ac:dyDescent="0.3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4" x14ac:dyDescent="0.3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4" x14ac:dyDescent="0.3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4" x14ac:dyDescent="0.3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4" x14ac:dyDescent="0.3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4" x14ac:dyDescent="0.3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4" x14ac:dyDescent="0.3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4" x14ac:dyDescent="0.3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4" x14ac:dyDescent="0.3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4" x14ac:dyDescent="0.3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4" x14ac:dyDescent="0.3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4" x14ac:dyDescent="0.3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4" x14ac:dyDescent="0.3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4" x14ac:dyDescent="0.3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4" x14ac:dyDescent="0.3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4" x14ac:dyDescent="0.3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4" x14ac:dyDescent="0.3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4" x14ac:dyDescent="0.3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4" x14ac:dyDescent="0.3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4" x14ac:dyDescent="0.3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4" x14ac:dyDescent="0.3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4" x14ac:dyDescent="0.3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4" x14ac:dyDescent="0.3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4" x14ac:dyDescent="0.3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4" x14ac:dyDescent="0.3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4" x14ac:dyDescent="0.3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4" x14ac:dyDescent="0.3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4" x14ac:dyDescent="0.3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4" x14ac:dyDescent="0.3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4" x14ac:dyDescent="0.3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4" x14ac:dyDescent="0.3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4" x14ac:dyDescent="0.3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4" x14ac:dyDescent="0.3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4" x14ac:dyDescent="0.3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4" x14ac:dyDescent="0.3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4" x14ac:dyDescent="0.3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4" x14ac:dyDescent="0.3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4" x14ac:dyDescent="0.3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4" x14ac:dyDescent="0.3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4" x14ac:dyDescent="0.3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4" x14ac:dyDescent="0.3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4" x14ac:dyDescent="0.3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4" x14ac:dyDescent="0.3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4" x14ac:dyDescent="0.3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4" x14ac:dyDescent="0.3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4" x14ac:dyDescent="0.3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4" x14ac:dyDescent="0.3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4" x14ac:dyDescent="0.3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4" x14ac:dyDescent="0.3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baseColWidth="10" defaultColWidth="0" defaultRowHeight="10.199999999999999" zeroHeight="1" x14ac:dyDescent="0.25"/>
  <cols>
    <col min="1" max="1" width="3.109375" style="43" customWidth="1"/>
    <col min="2" max="2" width="13.88671875" style="43" bestFit="1" customWidth="1"/>
    <col min="3" max="3" width="24.88671875" style="43" bestFit="1" customWidth="1"/>
    <col min="4" max="4" width="6.44140625" style="43" bestFit="1" customWidth="1"/>
    <col min="5" max="5" width="1.44140625" style="43" customWidth="1"/>
    <col min="6" max="6" width="34.44140625" style="43" bestFit="1" customWidth="1"/>
    <col min="7" max="7" width="1.44140625" style="43" customWidth="1"/>
    <col min="8" max="16382" width="10.88671875" style="43" hidden="1"/>
    <col min="16383" max="16384" width="52.5546875" style="43" hidden="1" customWidth="1"/>
  </cols>
  <sheetData>
    <row r="1" spans="2:6" x14ac:dyDescent="0.25">
      <c r="F1" s="44" t="str">
        <f>"REPORT_"&amp;'SCOUT &amp; LOGISTICS'!B2&amp;TEXT('SCOUT &amp; LOGISTICS'!C2,"000")</f>
        <v>REPORT_U2025169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"U2025169"</v>
      </c>
      <c r="F3" s="45" t="str">
        <f t="shared" ref="F3:F16" si="0">""""&amp;B3&amp;"""" &amp; " : " &amp;C3&amp;","</f>
        <v>"name" : "U2025169",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"U169"</v>
      </c>
      <c r="F4" s="45" t="str">
        <f t="shared" si="0"/>
        <v>"cod" : "U169",</v>
      </c>
    </row>
    <row r="5" spans="2:6" x14ac:dyDescent="0.25">
      <c r="B5" s="43" t="s">
        <v>117</v>
      </c>
      <c r="C5" s="43" t="str">
        <f>""""&amp;LEFT('SCOUT &amp; LOGISTICS'!B2,1)&amp;""""</f>
        <v>"U"</v>
      </c>
      <c r="F5" s="45" t="str">
        <f t="shared" si="0"/>
        <v>"competition" : "U",</v>
      </c>
    </row>
    <row r="6" spans="2:6" x14ac:dyDescent="0.25">
      <c r="B6" s="43" t="s">
        <v>118</v>
      </c>
      <c r="C6" s="43" t="str">
        <f>TEXT('SCOUT &amp; LOGISTICS'!C2,"000")</f>
        <v>169</v>
      </c>
      <c r="F6" s="45" t="str">
        <f t="shared" si="0"/>
        <v>"number" : 169,</v>
      </c>
    </row>
    <row r="7" spans="2:6" x14ac:dyDescent="0.25">
      <c r="B7" s="43" t="s">
        <v>116</v>
      </c>
      <c r="C7" s="43" t="str">
        <f ca="1">""""&amp;TEXT('SCOUT &amp; LOGISTICS'!B3,"dd/mm/aaaa")&amp;""""</f>
        <v>"04/02/2026"</v>
      </c>
      <c r="F7" s="45" t="str">
        <f t="shared" ca="1" si="0"/>
        <v>"date" : "04/02/2026",</v>
      </c>
    </row>
    <row r="8" spans="2:6" x14ac:dyDescent="0.25">
      <c r="B8" s="43" t="s">
        <v>125</v>
      </c>
      <c r="C8" s="43" t="str">
        <f>""""&amp;'SCOUT &amp; LOGISTICS'!D4 &amp;""""</f>
        <v>"Besiktas GAIN Istanbul"</v>
      </c>
      <c r="F8" s="45" t="str">
        <f t="shared" si="0"/>
        <v>"home_team" : "Besiktas GAIN Istanbul",</v>
      </c>
    </row>
    <row r="9" spans="2:6" x14ac:dyDescent="0.25">
      <c r="B9" s="43" t="s">
        <v>126</v>
      </c>
      <c r="C9" s="43" t="str">
        <f>""""&amp;'SCOUT &amp; LOGISTICS'!D5&amp;""""</f>
        <v>"Turk Telekom Ankara"</v>
      </c>
      <c r="F9" s="45" t="str">
        <f t="shared" si="0"/>
        <v>"away_team" : "Turk Telekom Ankara",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"CAN KUTLUATA"</v>
      </c>
      <c r="F10" s="45" t="str">
        <f t="shared" si="0"/>
        <v>"Data_entry" : "CAN KUTLUATA",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"AHMET GEZINTI"</v>
      </c>
      <c r="F11" s="45" t="str">
        <f t="shared" si="0"/>
        <v>"Caller_1" : "AHMET GEZINTI",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"MURAT KUS"</v>
      </c>
      <c r="F12" s="45" t="str">
        <f t="shared" si="0"/>
        <v>"Caller_2" : "MURAT KUS",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"ZAFER RIFAI"</v>
      </c>
      <c r="F13" s="45" t="str">
        <f t="shared" si="0"/>
        <v>"Timerkeeper" : "ZAFER RIFAI",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"GULIZ ADILLER"</v>
      </c>
      <c r="F14" s="45" t="str">
        <f t="shared" si="0"/>
        <v>"Shotclock" : "GULIZ ADILLER",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""</v>
      </c>
      <c r="F15" s="45" t="str">
        <f t="shared" si="0"/>
        <v>"IRS" : "",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"OSCAR CUESTA"</v>
      </c>
      <c r="F16" s="45" t="str">
        <f t="shared" si="0"/>
        <v>"Live_Game_Manager" : "OSCAR CUESTA",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648</v>
      </c>
      <c r="F25" s="45" t="str">
        <f t="shared" ref="F25:F48" si="1">""""&amp;C25&amp;"""" &amp; " : " &amp;D25&amp;","</f>
        <v>"total_actions" : 648,</v>
      </c>
    </row>
    <row r="26" spans="2:6" x14ac:dyDescent="0.25">
      <c r="C26" s="43" t="s">
        <v>132</v>
      </c>
      <c r="D26" s="43">
        <f>'SCOUT &amp; LOGISTICS'!F3</f>
        <v>2</v>
      </c>
      <c r="F26" s="45" t="str">
        <f t="shared" si="1"/>
        <v>"total_correcions" : 2,</v>
      </c>
    </row>
    <row r="27" spans="2:6" x14ac:dyDescent="0.25">
      <c r="C27" s="43" t="s">
        <v>133</v>
      </c>
      <c r="D27" s="43" t="str">
        <f>""""&amp;IF(OR(D25="",D25=0),"",TEXT(D26/D25,"0,0%"))&amp;""""</f>
        <v>"0,3%"</v>
      </c>
      <c r="F27" s="45" t="str">
        <f t="shared" si="1"/>
        <v>"%_corrections" : "0,3%",</v>
      </c>
    </row>
    <row r="28" spans="2:6" x14ac:dyDescent="0.25">
      <c r="C28" s="43" t="s">
        <v>125</v>
      </c>
      <c r="D28" s="43">
        <f>IF('SCOUT &amp; LOGISTICS'!AA17="","",'SCOUT &amp; LOGISTICS'!AA17)</f>
        <v>1</v>
      </c>
      <c r="F28" s="45" t="str">
        <f t="shared" si="1"/>
        <v>"home_team" : 1,</v>
      </c>
    </row>
    <row r="29" spans="2:6" x14ac:dyDescent="0.25">
      <c r="C29" s="43" t="s">
        <v>134</v>
      </c>
      <c r="D29" s="43">
        <f>IF('SCOUT &amp; LOGISTICS'!AA18="","",'SCOUT &amp; LOGISTICS'!AA18)</f>
        <v>1</v>
      </c>
      <c r="F29" s="45" t="str">
        <f t="shared" si="1"/>
        <v>"no_team" : 1,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1</v>
      </c>
      <c r="F31" s="45" t="str">
        <f t="shared" si="1"/>
        <v>"q1" : 1,</v>
      </c>
    </row>
    <row r="32" spans="2:6" x14ac:dyDescent="0.25">
      <c r="C32" s="43" t="s">
        <v>136</v>
      </c>
      <c r="D32" s="43">
        <f>'SCOUT &amp; LOGISTICS'!AG18</f>
        <v>1</v>
      </c>
      <c r="F32" s="45" t="str">
        <f t="shared" si="1"/>
        <v>"q2" : 1,</v>
      </c>
    </row>
    <row r="33" spans="3:6" x14ac:dyDescent="0.25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5">
      <c r="C34" s="43" t="s">
        <v>138</v>
      </c>
      <c r="D34" s="43">
        <f>'SCOUT &amp; LOGISTICS'!AG20</f>
        <v>0</v>
      </c>
      <c r="F34" s="45" t="str">
        <f t="shared" si="1"/>
        <v>"q4" : 0,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2</v>
      </c>
      <c r="F37" s="45" t="str">
        <f t="shared" si="1"/>
        <v>"scoresheet_corrections" : 2,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1</v>
      </c>
      <c r="F39" s="45" t="str">
        <f t="shared" si="1"/>
        <v>"missidentity" : 1,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1</v>
      </c>
      <c r="F46" s="45" t="str">
        <f t="shared" si="1"/>
        <v>"part_of_a_sequence" : 1,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"Good game! "</v>
      </c>
      <c r="F51" s="45" t="str">
        <f>""""&amp;B51&amp;"""" &amp; " : " &amp;C51&amp;","</f>
        <v>"comments" : "Good game! ",</v>
      </c>
    </row>
    <row r="52" spans="2:6" x14ac:dyDescent="0.25">
      <c r="B52" s="43" t="s">
        <v>153</v>
      </c>
      <c r="C52" s="43" t="str">
        <f>TEXT('SCOUT &amp; LOGISTICS'!F1,"0,0")</f>
        <v>17_169_BES_TTK_U2025</v>
      </c>
      <c r="F52" s="45" t="str">
        <f>""""&amp;B52&amp;"""" &amp; " : " &amp;C52</f>
        <v>"result" : 17_169_BES_TTK_U2025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baseColWidth="10" defaultColWidth="0" defaultRowHeight="12.6" zeroHeight="1" x14ac:dyDescent="0.2"/>
  <cols>
    <col min="1" max="1" width="5.109375" style="47" customWidth="1"/>
    <col min="2" max="2" width="2.88671875" style="47" customWidth="1"/>
    <col min="3" max="31" width="3.109375" style="47" customWidth="1"/>
    <col min="32" max="32" width="5.5546875" style="47" customWidth="1"/>
    <col min="33" max="16384" width="6.5546875" style="47" hidden="1"/>
  </cols>
  <sheetData>
    <row r="1" spans="1:33" s="48" customFormat="1" ht="11.1" customHeight="1" x14ac:dyDescent="0.2"/>
    <row r="2" spans="1:33" ht="42.6" customHeight="1" thickBot="1" x14ac:dyDescent="0.25">
      <c r="A2" s="48"/>
      <c r="B2" s="199" t="s">
        <v>708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48"/>
    </row>
    <row r="3" spans="1:33" ht="27" customHeight="1" thickBot="1" x14ac:dyDescent="0.25">
      <c r="A3" s="48"/>
      <c r="B3" s="208" t="str">
        <f>"GAME: "&amp; LEFT('SCOUT &amp; LOGISTICS'!B2,1) &amp; TEXT('SCOUT &amp; LOGISTICS'!C2,"000") &amp; " " &amp; IF(LEFT('SCOUT &amp; LOGISTICS'!B2,1)="U","(EUROCUP)","(EUROLEAGUE)")</f>
        <v>GAME: U169 (EUROCUP)</v>
      </c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48"/>
    </row>
    <row r="4" spans="1:33" ht="14.25" customHeight="1" thickBot="1" x14ac:dyDescent="0.25">
      <c r="A4" s="48"/>
      <c r="B4" s="194" t="str">
        <f ca="1">"DATE: " &amp; TEXT('SCOUT &amp; LOGISTICS'!B3,"dd/mm")</f>
        <v>DATE: 04/02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48"/>
    </row>
    <row r="5" spans="1:33" ht="20.100000000000001" customHeight="1" thickBot="1" x14ac:dyDescent="0.25">
      <c r="A5" s="48"/>
      <c r="B5" s="209" t="s">
        <v>62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 t="s">
        <v>63</v>
      </c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48"/>
    </row>
    <row r="6" spans="1:33" ht="23.1" customHeight="1" thickBot="1" x14ac:dyDescent="0.25">
      <c r="A6" s="48"/>
      <c r="B6" s="212" t="str">
        <f>PROPER('SCOUT &amp; LOGISTICS'!D4)</f>
        <v>Besiktas Gain Istanbul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 t="str">
        <f>PROPER('SCOUT &amp; LOGISTICS'!D5)</f>
        <v>Turk Telekom Ankara</v>
      </c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48"/>
    </row>
    <row r="7" spans="1:33" ht="19.5" customHeight="1" thickBot="1" x14ac:dyDescent="0.25">
      <c r="A7" s="48"/>
      <c r="B7" s="204" t="str">
        <f>'SCOUT &amp; LOGISTICS'!B6</f>
        <v>Data entry</v>
      </c>
      <c r="C7" s="204"/>
      <c r="D7" s="204"/>
      <c r="E7" s="204"/>
      <c r="F7" s="204"/>
      <c r="G7" s="204" t="str">
        <f>'SCOUT &amp; LOGISTICS'!B7</f>
        <v>Caller 1</v>
      </c>
      <c r="H7" s="204"/>
      <c r="I7" s="204"/>
      <c r="J7" s="204"/>
      <c r="K7" s="204"/>
      <c r="L7" s="204" t="str">
        <f>'SCOUT &amp; LOGISTICS'!B8</f>
        <v>Caller 2</v>
      </c>
      <c r="M7" s="204"/>
      <c r="N7" s="204"/>
      <c r="O7" s="204"/>
      <c r="P7" s="204"/>
      <c r="Q7" s="204" t="str">
        <f>'SCOUT &amp; LOGISTICS'!B9</f>
        <v>Timerkeeper</v>
      </c>
      <c r="R7" s="204"/>
      <c r="S7" s="204"/>
      <c r="T7" s="204"/>
      <c r="U7" s="204"/>
      <c r="V7" s="204" t="str">
        <f>'SCOUT &amp; LOGISTICS'!B10</f>
        <v>Shotclock</v>
      </c>
      <c r="W7" s="204"/>
      <c r="X7" s="204"/>
      <c r="Y7" s="204"/>
      <c r="Z7" s="204"/>
      <c r="AA7" s="204" t="str">
        <f>'SCOUT &amp; LOGISTICS'!B11</f>
        <v>IRS</v>
      </c>
      <c r="AB7" s="204"/>
      <c r="AC7" s="204"/>
      <c r="AD7" s="204"/>
      <c r="AE7" s="204"/>
      <c r="AF7" s="48"/>
    </row>
    <row r="8" spans="1:33" ht="36" customHeight="1" thickBot="1" x14ac:dyDescent="0.25">
      <c r="A8" s="48"/>
      <c r="B8" s="206" t="str">
        <f>IF('SCOUT &amp; LOGISTICS'!D6="","",'SCOUT &amp; LOGISTICS'!D6)</f>
        <v>CAN KUTLUATA</v>
      </c>
      <c r="C8" s="206"/>
      <c r="D8" s="206"/>
      <c r="E8" s="206"/>
      <c r="F8" s="206"/>
      <c r="G8" s="206" t="str">
        <f>IF('SCOUT &amp; LOGISTICS'!D7="","",'SCOUT &amp; LOGISTICS'!D7)</f>
        <v>AHMET GEZINTI</v>
      </c>
      <c r="H8" s="206"/>
      <c r="I8" s="206"/>
      <c r="J8" s="206"/>
      <c r="K8" s="206"/>
      <c r="L8" s="206" t="str">
        <f>IF('SCOUT &amp; LOGISTICS'!D8="","",'SCOUT &amp; LOGISTICS'!D8)</f>
        <v>MURAT KUS</v>
      </c>
      <c r="M8" s="206"/>
      <c r="N8" s="206"/>
      <c r="O8" s="206"/>
      <c r="P8" s="206"/>
      <c r="Q8" s="206" t="str">
        <f>IF('SCOUT &amp; LOGISTICS'!D9="","",'SCOUT &amp; LOGISTICS'!D9)</f>
        <v>ZAFER RIFAI</v>
      </c>
      <c r="R8" s="206"/>
      <c r="S8" s="206"/>
      <c r="T8" s="206"/>
      <c r="U8" s="206"/>
      <c r="V8" s="206" t="str">
        <f>IF('SCOUT &amp; LOGISTICS'!D10="","",'SCOUT &amp; LOGISTICS'!D10)</f>
        <v>GULIZ ADILLER</v>
      </c>
      <c r="W8" s="206"/>
      <c r="X8" s="206"/>
      <c r="Y8" s="206"/>
      <c r="Z8" s="206"/>
      <c r="AA8" s="206" t="str">
        <f>IF('SCOUT &amp; LOGISTICS'!D11="","",'SCOUT &amp; LOGISTICS'!D11)</f>
        <v/>
      </c>
      <c r="AB8" s="206"/>
      <c r="AC8" s="206"/>
      <c r="AD8" s="206"/>
      <c r="AE8" s="206"/>
      <c r="AF8" s="48"/>
    </row>
    <row r="9" spans="1:33" ht="13.2" thickBot="1" x14ac:dyDescent="0.25">
      <c r="A9" s="48"/>
      <c r="B9" s="200" t="str">
        <f>IF(OR('SCOUT &amp; LOGISTICS'!D14="",'SCOUT &amp; LOGISTICS'!D14=0),"",'SCOUT &amp; LOGISTICS'!B14 &amp; ": " &amp; 'SCOUT &amp; LOGISTICS'!D14) &amp; "     "</f>
        <v xml:space="preserve">L G M: : OSCAR CUESTA     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48"/>
    </row>
    <row r="10" spans="1:33" s="48" customFormat="1" ht="13.2" thickBot="1" x14ac:dyDescent="0.25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</row>
    <row r="11" spans="1:33" ht="20.100000000000001" customHeight="1" thickBot="1" x14ac:dyDescent="0.25">
      <c r="A11" s="48"/>
      <c r="B11" s="194" t="s">
        <v>13</v>
      </c>
      <c r="C11" s="194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48"/>
    </row>
    <row r="12" spans="1:33" ht="21" customHeight="1" thickBot="1" x14ac:dyDescent="0.25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00000000000001" customHeight="1" thickBot="1" x14ac:dyDescent="0.25">
      <c r="A13" s="48"/>
      <c r="B13" s="207" t="str">
        <f>IF('SCOUT &amp; LOGISTICS'!I12="","",'SCOUT &amp; LOGISTICS'!I12)</f>
        <v>OK</v>
      </c>
      <c r="C13" s="207"/>
      <c r="D13" s="207"/>
      <c r="E13" s="207"/>
      <c r="F13" s="207"/>
      <c r="G13" s="207"/>
      <c r="H13" s="207" t="str">
        <f>IF('SCOUT &amp; LOGISTICS'!J12="","",'SCOUT &amp; LOGISTICS'!J12)</f>
        <v>YES</v>
      </c>
      <c r="I13" s="207"/>
      <c r="J13" s="207"/>
      <c r="K13" s="207"/>
      <c r="L13" s="207"/>
      <c r="M13" s="207"/>
      <c r="N13" s="207" t="str">
        <f>IF('SCOUT &amp; LOGISTICS'!K12="","",'SCOUT &amp; LOGISTICS'!K12)</f>
        <v>GOOD</v>
      </c>
      <c r="O13" s="207"/>
      <c r="P13" s="207"/>
      <c r="Q13" s="207"/>
      <c r="R13" s="207"/>
      <c r="S13" s="207"/>
      <c r="T13" s="207" t="str">
        <f>IF('SCOUT &amp; LOGISTICS'!L12="","",'SCOUT &amp; LOGISTICS'!L12)</f>
        <v>FAST</v>
      </c>
      <c r="U13" s="207"/>
      <c r="V13" s="207"/>
      <c r="W13" s="207"/>
      <c r="X13" s="207"/>
      <c r="Y13" s="207"/>
      <c r="Z13" s="207" t="str">
        <f>IF('SCOUT &amp; LOGISTICS'!M12="","",'SCOUT &amp; LOGISTICS'!M12)</f>
        <v>NO</v>
      </c>
      <c r="AA13" s="207"/>
      <c r="AB13" s="207"/>
      <c r="AC13" s="207"/>
      <c r="AD13" s="207"/>
      <c r="AE13" s="207"/>
      <c r="AF13" s="48"/>
    </row>
    <row r="14" spans="1:33" s="48" customFormat="1" ht="13.2" thickBot="1" x14ac:dyDescent="0.25"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</row>
    <row r="15" spans="1:33" ht="20.100000000000001" customHeight="1" thickBot="1" x14ac:dyDescent="0.25">
      <c r="A15" s="48"/>
      <c r="B15" s="194" t="s">
        <v>45</v>
      </c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48"/>
    </row>
    <row r="16" spans="1:33" ht="21" customHeight="1" thickBot="1" x14ac:dyDescent="0.25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00000000000001" customHeight="1" thickBot="1" x14ac:dyDescent="0.25">
      <c r="A17" s="48"/>
      <c r="B17" s="204">
        <f>'SCOUT &amp; LOGISTICS'!D3</f>
        <v>648</v>
      </c>
      <c r="C17" s="204"/>
      <c r="D17" s="204"/>
      <c r="E17" s="204"/>
      <c r="F17" s="204"/>
      <c r="G17" s="204"/>
      <c r="H17" s="204"/>
      <c r="I17" s="204"/>
      <c r="J17" s="204"/>
      <c r="K17" s="204"/>
      <c r="L17" s="204">
        <f>'SCOUT &amp; LOGISTICS'!F3</f>
        <v>2</v>
      </c>
      <c r="M17" s="204"/>
      <c r="N17" s="204"/>
      <c r="O17" s="204"/>
      <c r="P17" s="204"/>
      <c r="Q17" s="204"/>
      <c r="R17" s="204"/>
      <c r="S17" s="204"/>
      <c r="T17" s="204"/>
      <c r="U17" s="204"/>
      <c r="V17" s="205">
        <f>IF(OR(B17="",B17=0),"",L17/B17)</f>
        <v>3.0864197530864196E-3</v>
      </c>
      <c r="W17" s="205"/>
      <c r="X17" s="205"/>
      <c r="Y17" s="205"/>
      <c r="Z17" s="205"/>
      <c r="AA17" s="205"/>
      <c r="AB17" s="205"/>
      <c r="AC17" s="205"/>
      <c r="AD17" s="205"/>
      <c r="AE17" s="205"/>
      <c r="AF17" s="48"/>
    </row>
    <row r="18" spans="1:32" s="48" customFormat="1" ht="13.2" thickBot="1" x14ac:dyDescent="0.25"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</row>
    <row r="19" spans="1:32" ht="21" customHeight="1" thickBot="1" x14ac:dyDescent="0.25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00000000000001" customHeight="1" thickBot="1" x14ac:dyDescent="0.25">
      <c r="A20" s="48"/>
      <c r="B20" s="197">
        <f>IF('SCOUT &amp; LOGISTICS'!AA17="","",'SCOUT &amp; LOGISTICS'!AA17)</f>
        <v>1</v>
      </c>
      <c r="C20" s="197"/>
      <c r="D20" s="197"/>
      <c r="E20" s="197"/>
      <c r="F20" s="197"/>
      <c r="G20" s="197"/>
      <c r="H20" s="197"/>
      <c r="I20" s="197"/>
      <c r="J20" s="197"/>
      <c r="K20" s="197"/>
      <c r="L20" s="197">
        <f>IF('SCOUT &amp; LOGISTICS'!AA18="","",'SCOUT &amp; LOGISTICS'!AA18)</f>
        <v>1</v>
      </c>
      <c r="M20" s="197"/>
      <c r="N20" s="197"/>
      <c r="O20" s="197"/>
      <c r="P20" s="197"/>
      <c r="Q20" s="197"/>
      <c r="R20" s="197"/>
      <c r="S20" s="197"/>
      <c r="T20" s="197"/>
      <c r="U20" s="197"/>
      <c r="V20" s="197">
        <f>IF('SCOUT &amp; LOGISTICS'!AA19="","",'SCOUT &amp; LOGISTICS'!AA19)</f>
        <v>0</v>
      </c>
      <c r="W20" s="197"/>
      <c r="X20" s="197"/>
      <c r="Y20" s="197"/>
      <c r="Z20" s="197"/>
      <c r="AA20" s="197"/>
      <c r="AB20" s="197"/>
      <c r="AC20" s="197"/>
      <c r="AD20" s="197"/>
      <c r="AE20" s="197"/>
      <c r="AF20" s="48"/>
    </row>
    <row r="21" spans="1:32" ht="21" customHeight="1" thickBot="1" x14ac:dyDescent="0.25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00000000000001" customHeight="1" thickBot="1" x14ac:dyDescent="0.25">
      <c r="A22" s="48"/>
      <c r="B22" s="197">
        <f>'SCOUT &amp; LOGISTICS'!AG17</f>
        <v>1</v>
      </c>
      <c r="C22" s="197"/>
      <c r="D22" s="197"/>
      <c r="E22" s="197"/>
      <c r="F22" s="197"/>
      <c r="G22" s="197"/>
      <c r="H22" s="197">
        <f>'SCOUT &amp; LOGISTICS'!AG18</f>
        <v>1</v>
      </c>
      <c r="I22" s="197"/>
      <c r="J22" s="197"/>
      <c r="K22" s="197"/>
      <c r="L22" s="197"/>
      <c r="M22" s="197"/>
      <c r="N22" s="197">
        <f>'SCOUT &amp; LOGISTICS'!AG19</f>
        <v>0</v>
      </c>
      <c r="O22" s="197"/>
      <c r="P22" s="197"/>
      <c r="Q22" s="197"/>
      <c r="R22" s="197"/>
      <c r="S22" s="197"/>
      <c r="T22" s="197">
        <f>'SCOUT &amp; LOGISTICS'!AG20</f>
        <v>0</v>
      </c>
      <c r="U22" s="197"/>
      <c r="V22" s="197"/>
      <c r="W22" s="197"/>
      <c r="X22" s="197"/>
      <c r="Y22" s="197"/>
      <c r="Z22" s="197">
        <f>IF('SCOUT &amp; LOGISTICS'!AG21="","",'SCOUT &amp; LOGISTICS'!AG21)</f>
        <v>0</v>
      </c>
      <c r="AA22" s="197"/>
      <c r="AB22" s="197"/>
      <c r="AC22" s="197"/>
      <c r="AD22" s="197"/>
      <c r="AE22" s="197"/>
      <c r="AF22" s="48"/>
    </row>
    <row r="23" spans="1:32" s="48" customFormat="1" ht="13.2" thickBot="1" x14ac:dyDescent="0.25"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</row>
    <row r="24" spans="1:32" ht="21" customHeight="1" thickBot="1" x14ac:dyDescent="0.25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00000000000001" customHeight="1" thickBot="1" x14ac:dyDescent="0.25">
      <c r="A25" s="48"/>
      <c r="B25" s="197">
        <f>'SCOUT &amp; LOGISTICS'!Y17</f>
        <v>2</v>
      </c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>
        <f>'SCOUT &amp; LOGISTICS'!Y18</f>
        <v>0</v>
      </c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48"/>
    </row>
    <row r="26" spans="1:32" ht="21" customHeight="1" thickBot="1" x14ac:dyDescent="0.25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3" t="s">
        <v>161</v>
      </c>
      <c r="AB26" s="198"/>
      <c r="AC26" s="198"/>
      <c r="AD26" s="198"/>
      <c r="AE26" s="198"/>
      <c r="AF26" s="48"/>
    </row>
    <row r="27" spans="1:32" ht="20.100000000000001" customHeight="1" thickBot="1" x14ac:dyDescent="0.25">
      <c r="A27" s="48"/>
      <c r="B27" s="197">
        <f>'SCOUT &amp; LOGISTICS'!AC18</f>
        <v>1</v>
      </c>
      <c r="C27" s="197"/>
      <c r="D27" s="197"/>
      <c r="E27" s="197"/>
      <c r="F27" s="197"/>
      <c r="G27" s="197">
        <f>'SCOUT &amp; LOGISTICS'!AC22</f>
        <v>0</v>
      </c>
      <c r="H27" s="197"/>
      <c r="I27" s="197"/>
      <c r="J27" s="197"/>
      <c r="K27" s="197"/>
      <c r="L27" s="197">
        <f>'SCOUT &amp; LOGISTICS'!AC23</f>
        <v>1</v>
      </c>
      <c r="M27" s="197"/>
      <c r="N27" s="197"/>
      <c r="O27" s="197"/>
      <c r="P27" s="197"/>
      <c r="Q27" s="197">
        <f>'SCOUT &amp; LOGISTICS'!AC21</f>
        <v>0</v>
      </c>
      <c r="R27" s="197"/>
      <c r="S27" s="197"/>
      <c r="T27" s="197"/>
      <c r="U27" s="197"/>
      <c r="V27" s="197">
        <f>'SCOUT &amp; LOGISTICS'!AC27</f>
        <v>0</v>
      </c>
      <c r="W27" s="197"/>
      <c r="X27" s="197"/>
      <c r="Y27" s="197"/>
      <c r="Z27" s="197"/>
      <c r="AA27" s="197">
        <f>'SCOUT &amp; LOGISTICS'!AC17+'SCOUT &amp; LOGISTICS'!AC20</f>
        <v>0</v>
      </c>
      <c r="AB27" s="197"/>
      <c r="AC27" s="197"/>
      <c r="AD27" s="197"/>
      <c r="AE27" s="197"/>
      <c r="AF27" s="48"/>
    </row>
    <row r="28" spans="1:32" ht="21" customHeight="1" thickBot="1" x14ac:dyDescent="0.25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3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00000000000001" customHeight="1" thickBot="1" x14ac:dyDescent="0.25">
      <c r="A29" s="48"/>
      <c r="B29" s="197">
        <f>'SCOUT &amp; LOGISTICS'!AC25</f>
        <v>0</v>
      </c>
      <c r="C29" s="197"/>
      <c r="D29" s="197"/>
      <c r="E29" s="197"/>
      <c r="F29" s="197"/>
      <c r="G29" s="197">
        <f>'SCOUT &amp; LOGISTICS'!AC24</f>
        <v>0</v>
      </c>
      <c r="H29" s="197"/>
      <c r="I29" s="197"/>
      <c r="J29" s="197"/>
      <c r="K29" s="197"/>
      <c r="L29" s="197">
        <f>'SCOUT &amp; LOGISTICS'!$AC$29</f>
        <v>0</v>
      </c>
      <c r="M29" s="197"/>
      <c r="N29" s="197"/>
      <c r="O29" s="197"/>
      <c r="P29" s="197"/>
      <c r="Q29" s="197">
        <f>'SCOUT &amp; LOGISTICS'!AC28</f>
        <v>0</v>
      </c>
      <c r="R29" s="197"/>
      <c r="S29" s="197"/>
      <c r="T29" s="197"/>
      <c r="U29" s="197"/>
      <c r="V29" s="197">
        <f>'SCOUT &amp; LOGISTICS'!AC19</f>
        <v>0</v>
      </c>
      <c r="W29" s="197"/>
      <c r="X29" s="197"/>
      <c r="Y29" s="197"/>
      <c r="Z29" s="197"/>
      <c r="AA29" s="197">
        <f>'SCOUT &amp; LOGISTICS'!AC26</f>
        <v>0</v>
      </c>
      <c r="AB29" s="197"/>
      <c r="AC29" s="197"/>
      <c r="AD29" s="197"/>
      <c r="AE29" s="197"/>
      <c r="AF29" s="48"/>
    </row>
    <row r="30" spans="1:32" s="48" customFormat="1" ht="13.2" thickBot="1" x14ac:dyDescent="0.25"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</row>
    <row r="31" spans="1:32" s="52" customFormat="1" ht="20.100000000000001" customHeight="1" thickBot="1" x14ac:dyDescent="0.25">
      <c r="A31" s="51"/>
      <c r="B31" s="194" t="s">
        <v>80</v>
      </c>
      <c r="C31" s="194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51"/>
    </row>
    <row r="32" spans="1:32" ht="87.6" customHeight="1" thickBot="1" x14ac:dyDescent="0.25">
      <c r="A32" s="48"/>
      <c r="B32" s="195" t="str">
        <f>IF('SCOUT &amp; LOGISTICS'!M4="","",'SCOUT &amp; LOGISTICS'!M4)</f>
        <v xml:space="preserve">Good game! </v>
      </c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48"/>
    </row>
    <row r="33" spans="1:32" ht="20.100000000000001" customHeight="1" thickBot="1" x14ac:dyDescent="0.25">
      <c r="A33" s="48"/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48"/>
    </row>
    <row r="34" spans="1:32" ht="20.100000000000001" customHeight="1" thickBot="1" x14ac:dyDescent="0.25">
      <c r="A34" s="48"/>
      <c r="B34" s="194" t="s">
        <v>81</v>
      </c>
      <c r="C34" s="194"/>
      <c r="D34" s="194"/>
      <c r="E34" s="194"/>
      <c r="F34" s="194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25">
      <c r="A35" s="48"/>
      <c r="B35" s="196">
        <f>'SCOUT &amp; LOGISTICS'!M7</f>
        <v>3.308641975308642</v>
      </c>
      <c r="C35" s="196"/>
      <c r="D35" s="196"/>
      <c r="E35" s="196"/>
      <c r="F35" s="196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" customHeight="1" x14ac:dyDescent="0.2">
      <c r="A36" s="48"/>
      <c r="B36" s="210"/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0"/>
      <c r="AB36" s="210"/>
      <c r="AC36" s="210"/>
      <c r="AD36" s="210"/>
      <c r="AE36" s="210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scale="99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8E90A9502D2DBE448A9AAF14207EB784" ma:contentTypeVersion="13" ma:contentTypeDescription="Crear nuevo documento." ma:contentTypeScope="" ma:versionID="852fe9ee1a3e76b961a3a564b5cab3cd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954069cb0d0ad98d6bfaa71528164d31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as de imagen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7CCBD3B2-7D7A-4718-892E-1DF72147F335}"/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  <ds:schemaRef ds:uri="54eaeb27-407e-4594-8513-05236ac1c663"/>
    <ds:schemaRef ds:uri="1694b618-8e81-416b-aa01-0d9b54a17456"/>
  </ds:schemaRefs>
</ds:datastoreItem>
</file>

<file path=customXml/itemProps3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Oscar Cuesta</cp:lastModifiedBy>
  <cp:lastPrinted>2026-02-04T22:05:12Z</cp:lastPrinted>
  <dcterms:created xsi:type="dcterms:W3CDTF">2023-09-19T19:50:35Z</dcterms:created>
  <dcterms:modified xsi:type="dcterms:W3CDTF">2026-02-04T22:06:11Z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  <property fmtid="{D5CDD505-2E9C-101B-9397-08002B2CF9AE}" pid="3" name="MediaServiceImageTags">
    <vt:lpwstr/>
  </property>
</Properties>
</file>