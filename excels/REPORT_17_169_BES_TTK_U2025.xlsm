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E68DACCB-BC77-423C-A13C-7CECDD831C46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D10" i="1"/>
  <c r="D9" i="1"/>
  <c r="D8" i="1"/>
  <c r="D7" i="1"/>
  <c r="D6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<sst xmlns="http://schemas.openxmlformats.org/spreadsheetml/2006/main" count="3321" uniqueCount="826">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</sst>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C2" sqref="C2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17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17_169_BES_TTK_U2025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169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46057.833333333336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Besiktas GAIN Istanbul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BES</v>
      </c>
      <c r="I4" s="5"/>
      <c r="J4" s="119" t="s">
        <v>714</v>
      </c>
      <c r="K4" s="54" t="s">
        <v>743</v>
      </c>
      <c r="L4" s="5"/>
      <c r="M4" s="185"/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Turk Telekom Ankara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TTK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/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disablePrompts="1"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REPORT_U2025169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"U2025169"</v>
      </c>
      <c r="F3" s="45" t="str">
        <f t="shared" ref="F3:F16" si="0">""""&amp;B3&amp;"""" &amp; " : " &amp;C3&amp;","</f>
        <v>"name" : "U2025169",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"U169"</v>
      </c>
      <c r="F4" s="45" t="str">
        <f t="shared" si="0"/>
        <v>"cod" : "U169",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169</v>
      </c>
      <c r="F6" s="45" t="str">
        <f t="shared" si="0"/>
        <v>"number" : 169,</v>
      </c>
    </row>
    <row r="7" spans="2:6" x14ac:dyDescent="0.2">
      <c r="B7" s="43" t="s">
        <v>116</v>
      </c>
      <c r="C7" s="43" t="str">
        <f ca="1">""""&amp;TEXT('SCOUT &amp; LOGISTICS'!B3,"dd/mm/aaaa")&amp;""""</f>
        <v>"04/02/Wednesday"</v>
      </c>
      <c r="F7" s="45" t="str">
        <f t="shared" ca="1" si="0"/>
        <v>"date" : "04/02/Wednesday",</v>
      </c>
    </row>
    <row r="8" spans="2:6" x14ac:dyDescent="0.2">
      <c r="B8" s="43" t="s">
        <v>125</v>
      </c>
      <c r="C8" s="43" t="str">
        <f>""""&amp;'SCOUT &amp; LOGISTICS'!D4 &amp;""""</f>
        <v>"Besiktas GAIN Istanbul"</v>
      </c>
      <c r="F8" s="45" t="str">
        <f t="shared" si="0"/>
        <v>"home_team" : "Besiktas GAIN Istanbul",</v>
      </c>
    </row>
    <row r="9" spans="2:6" x14ac:dyDescent="0.2">
      <c r="B9" s="43" t="s">
        <v>126</v>
      </c>
      <c r="C9" s="43" t="str">
        <f>""""&amp;'SCOUT &amp; LOGISTICS'!D5&amp;""""</f>
        <v>"Turk Telekom Ankara"</v>
      </c>
      <c r="F9" s="45" t="str">
        <f t="shared" si="0"/>
        <v>"away_team" : "Turk Telekom Ankara",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""</v>
      </c>
      <c r="F16" s="45" t="str">
        <f t="shared" si="0"/>
        <v>"Live_Game_Manager" : "",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">
      <c r="B52" s="43" t="s">
        <v>153</v>
      </c>
      <c r="C52" s="43" t="str">
        <f>TEXT('SCOUT &amp; LOGISTICS'!F1,"0,0")</f>
        <v>17_169_BES_TTK_U2025</v>
      </c>
      <c r="F52" s="45" t="str">
        <f>""""&amp;B52&amp;"""" &amp; " : " &amp;C52</f>
        <v>"result" : 17_169_BES_TTK_U2025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U169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04/02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Besiktas Gain Istanbul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Turk Telekom Ankara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/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3656F81-527C-4E5C-93F5-9D1C2F11A1B6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2026-01-07T21:16:31Z</cp:lastPrinted>
  <dcterms:created xsi:type="dcterms:W3CDTF">2023-09-19T19:50:35Z</dcterms:created>
  <dcterms:modified xsi:type="dcterms:W3CDTF">2026-01-07T21:16:39Z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