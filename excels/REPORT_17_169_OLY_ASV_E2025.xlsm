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6" documentId="8_{B324C8B9-D692-4648-BCF5-E2AB31EAD7BF}" xr6:coauthVersionLast="47" xr6:coauthVersionMax="47" xr10:uidLastSave="{8AC3CD3E-81CA-49B1-A975-D16F68FC52E6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 a="1"/>
  <c r="B3" i="1" s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4" i="2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<sst xmlns="http://schemas.openxmlformats.org/spreadsheetml/2006/main" count="3250" uniqueCount="759">
  <si>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</si>
  <si>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</si>
  <si>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</si>
  <si>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</si>
  <si>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</si>
  <si>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</si>
  <si>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</si>
  <si>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</si>
  <si>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</si>
  <si>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</si>
  <si>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</si>
  <si>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</si>
  <si>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</si>
  <si>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</si>
  <si>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</si>
  <si>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</si>
  <si>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</si>
  <si>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</si>
  <si>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</si>
  <si>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</si>
  <si>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</si>
  <si>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</si>
  <si>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</si>
  <si>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</si>
  <si>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</si>
  <si>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</si>
  <si>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</si>
  <si>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</si>
  <si>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</si>
  <si>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</si>
  <si>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</si>
  <si>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</si>
  <si>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</si>
  <si>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</si>
  <si>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</si>
  <si>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</si>
  <si>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</si>
  <si>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</si>
  <si>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</si>
  <si>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</si>
  <si>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</si>
  <si>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</si>
  <si>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</si>
  <si>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</si>
  <si>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</si>
  <si>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</si>
  <si>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</si>
  <si>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</si>
  <si>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</si>
  <si>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</si>
  <si>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</si>
  <si>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</si>
  <si>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</si>
  <si>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</si>
  <si>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</si>
  <si>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</si>
  <si>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</si>
  <si>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</si>
  <si>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</si>
  <si>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</si>
  <si>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</si>
  <si>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</si>
  <si>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</si>
  <si>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</si>
  <si>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</si>
  <si>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</si>
  <si>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</si>
  <si>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</si>
  <si>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</si>
  <si>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</si>
  <si>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</si>
  <si>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</si>
  <si>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</si>
  <si>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</si>
  <si>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</si>
  <si>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</si>
  <si>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</si>
  <si>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</si>
  <si>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</si>
  <si>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</si>
  <si>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</si>
  <si>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</si>
  <si>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</si>
  <si>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</si>
  <si>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</si>
  <si>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</si>
  <si>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</si>
  <si>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</si>
  <si>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</si>
  <si>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</si>
  <si>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</si>
  <si>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</si>
  <si>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</si>
  <si>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</si>
  <si>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</si>
  <si>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</si>
  <si>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</si>
  <si>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</si>
  <si>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</si>
  <si>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</si>
  <si>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</si>
  <si>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</si>
  <si>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</si>
  <si>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</si>
  <si>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</si>
  <si>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</si>
  <si>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</si>
  <si>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</si>
  <si>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</si>
  <si>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</si>
  <si>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</si>
  <si>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</si>
  <si>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</si>
  <si>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</si>
  <si>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</si>
  <si>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</si>
  <si>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</si>
  <si>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</si>
  <si>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</si>
  <si>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</si>
  <si>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</si>
  <si>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</si>
  <si>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</si>
  <si>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</si>
  <si>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</si>
  <si>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</si>
  <si>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</si>
  <si>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</si>
  <si>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</si>
  <si>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</si>
  <si>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</si>
  <si>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</si>
  <si>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</si>
  <si>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</si>
  <si>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</si>
  <si>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</si>
  <si>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</si>
  <si>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</si>
  <si>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</si>
  <si>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</si>
  <si>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</si>
  <si>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</si>
  <si>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</si>
  <si>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</si>
  <si>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</si>
  <si>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</si>
  <si>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</si>
  <si>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</si>
  <si>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</si>
  <si>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</si>
  <si>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</si>
  <si>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</si>
  <si>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</si>
  <si>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</si>
  <si>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</si>
  <si>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</si>
  <si>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</si>
  <si>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</si>
  <si>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</si>
  <si>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</si>
  <si>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</si>
  <si>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</si>
  <si>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</si>
  <si>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</si>
  <si>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</si>
  <si>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</si>
  <si>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</si>
  <si>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</si>
  <si>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</si>
  <si>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</si>
  <si>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</si>
  <si>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</si>
  <si>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</si>
  <si>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</si>
  <si>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</si>
  <si>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</si>
  <si>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</si>
  <si>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</si>
  <si>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</si>
  <si>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</si>
  <si>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</si>
  <si>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</si>
  <si>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</si>
  <si>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</si>
  <si>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</si>
  <si>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</si>
  <si>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</si>
  <si>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</si>
  <si>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</si>
  <si>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</si>
  <si>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</si>
  <si>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</si>
  <si>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</si>
  <si>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</si>
  <si>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</si>
  <si>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</si>
  <si>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</si>
  <si>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</si>
  <si>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</si>
  <si>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</si>
  <si>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</si>
  <si>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</si>
  <si>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</si>
  <si>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</si>
  <si>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</si>
  <si>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</si>
  <si>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</si>
  <si>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</si>
  <si>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</si>
  <si>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</si>
  <si>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</si>
  <si>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</si>
  <si>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</si>
  <si>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</si>
  <si>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</si>
  <si>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</si>
  <si>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</si>
  <si>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</si>
  <si>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</si>
  <si>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</si>
  <si>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</si>
  <si>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</si>
  <si>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</si>
  <si>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</si>
  <si>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</si>
  <si>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</si>
  <si>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</si>
  <si>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</si>
  <si>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</si>
  <si>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</si>
  <si>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</si>
  <si>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</si>
  <si>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</si>
  <si>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</si>
  <si>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</si>
  <si>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</si>
  <si>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</si>
  <si>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</si>
  <si>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</si>
  <si>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</si>
  <si>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</si>
  <si>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</si>
  <si>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</si>
  <si>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</si>
  <si>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</si>
  <si>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</si>
  <si>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</si>
  <si>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</si>
  <si>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</si>
  <si>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</si>
  <si>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</si>
  <si>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</si>
  <si>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</si>
  <si>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</si>
  <si>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</si>
  <si>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</si>
  <si>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</si>
  <si>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</si>
  <si>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</si>
  <si>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</si>
  <si>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</si>
  <si>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</si>
  <si>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</si>
  <si>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</si>
  <si>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</si>
  <si>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</si>
  <si>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</si>
  <si>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</si>
  <si>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</si>
  <si>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</si>
  <si>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</si>
  <si>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</si>
  <si>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</si>
  <si>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</si>
  <si>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</si>
  <si>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</si>
  <si>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</si>
  <si>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</si>
  <si>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</si>
  <si>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</si>
  <si>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</si>
  <si>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</si>
  <si>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</si>
  <si>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</si>
  <si>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</si>
  <si>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</si>
  <si>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</si>
  <si>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</si>
  <si>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</si>
  <si>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</si>
  <si>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</si>
  <si>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</si>
  <si>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</si>
  <si>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</si>
  <si>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</si>
  <si>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</si>
  <si>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</si>
  <si>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</si>
  <si>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</si>
  <si>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</si>
  <si>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</si>
  <si>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</si>
  <si>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</si>
  <si>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</si>
  <si>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</si>
  <si>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</si>
  <si>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</si>
  <si>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</si>
  <si>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</si>
  <si>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</si>
  <si>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</si>
  <si>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</si>
  <si>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</si>
  <si>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</si>
  <si>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</si>
  <si>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</si>
  <si>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</si>
  <si>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</si>
  <si>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</si>
  <si>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</si>
  <si>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</si>
  <si>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</si>
  <si>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</si>
  <si>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</si>
  <si>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</si>
  <si>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</si>
  <si>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</si>
  <si>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</si>
  <si>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</si>
  <si>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</si>
  <si>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</si>
  <si>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</si>
  <si>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</si>
  <si>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</si>
  <si>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</si>
  <si>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</si>
  <si>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</si>
  <si>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</si>
  <si>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</si>
  <si>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</si>
  <si>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</si>
  <si>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</si>
  <si>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</si>
  <si>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</si>
  <si>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</si>
  <si>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</si>
  <si>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</si>
  <si>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</si>
  <si>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</si>
  <si>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</si>
  <si>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</si>
  <si>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</si>
  <si>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</si>
  <si>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</si>
  <si>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</si>
  <si>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</si>
  <si>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</si>
  <si>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</si>
  <si>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</si>
  <si>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</si>
  <si>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</si>
  <si>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</si>
  <si>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</si>
  <si>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</si>
  <si>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</si>
  <si>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</si>
  <si>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</si>
  <si>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</si>
  <si>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</si>
  <si>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</si>
  <si>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</si>
  <si>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</si>
  <si>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</si>
  <si>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</si>
  <si>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</si>
  <si>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</si>
  <si>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</si>
  <si>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</si>
  <si>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</si>
  <si>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</si>
  <si>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</si>
  <si>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</si>
  <si>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</si>
  <si>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</si>
  <si>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</si>
  <si>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</si>
  <si>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</si>
  <si>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</si>
  <si>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</si>
  <si>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</si>
  <si>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</si>
  <si>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</si>
  <si>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</si>
  <si>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</si>
  <si>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</si>
  <si>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</si>
  <si>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</si>
  <si>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</si>
  <si>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</si>
  <si>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</si>
  <si>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</si>
  <si>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</si>
  <si>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</si>
  <si>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</si>
  <si>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</si>
  <si>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</si>
  <si>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</si>
  <si>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</si>
  <si>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</si>
  <si>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</si>
  <si>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</si>
  <si>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</si>
  <si>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</si>
  <si>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</si>
  <si>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</si>
  <si>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</si>
  <si>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</si>
  <si>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</si>
  <si>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</si>
  <si>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</si>
  <si>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</si>
  <si>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</si>
  <si>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</si>
  <si>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</si>
  <si>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</si>
  <si>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</si>
  <si>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</si>
  <si>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</si>
  <si>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</si>
  <si>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</si>
  <si>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</si>
  <si>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</si>
  <si>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</si>
  <si>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</si>
  <si>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</si>
  <si>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</si>
  <si>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</si>
  <si>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</si>
  <si>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</si>
  <si>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</si>
  <si>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</si>
  <si>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</si>
  <si>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</si>
  <si>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</si>
  <si>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</si>
  <si>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</si>
  <si>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</si>
  <si>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</si>
  <si>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</si>
  <si>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</si>
  <si>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</si>
  <si>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</si>
  <si>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</si>
  <si>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</si>
  <si>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</si>
  <si>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</si>
  <si>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</si>
  <si>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</si>
  <si>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</si>
  <si>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</si>
  <si>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</si>
  <si>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</si>
  <si>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</si>
  <si>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</si>
  <si>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</si>
  <si>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</si>
  <si>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</si>
  <si>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</si>
  <si>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</si>
  <si>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</si>
  <si>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</si>
  <si>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</si>
  <si>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</si>
  <si>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</si>
  <si>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</si>
  <si>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</si>
  <si>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</si>
  <si>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</si>
  <si>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</si>
  <si>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</si>
  <si>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</si>
  <si>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</si>
  <si>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</si>
  <si>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</si>
  <si>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</si>
  <si>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</si>
  <si>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</si>
  <si>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</si>
  <si>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</si>
  <si>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</si>
  <si>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</si>
  <si>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</si>
  <si>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</si>
  <si>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</si>
  <si>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</si>
  <si>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</si>
  <si>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</si>
  <si>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</si>
  <si>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</si>
  <si>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</si>
  <si>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</si>
  <si>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</si>
  <si>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</si>
  <si>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</si>
  <si>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</si>
  <si>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</si>
  <si>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</si>
  <si>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</si>
  <si>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</si>
  <si>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</si>
  <si>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</si>
  <si>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</si>
  <si>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</si>
  <si>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</si>
  <si>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</si>
  <si>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</si>
  <si>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</si>
  <si>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</si>
  <si>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</si>
  <si>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</si>
  <si>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</si>
  <si>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</si>
  <si>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</si>
  <si>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</si>
  <si>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</si>
  <si>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</si>
  <si>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</si>
  <si>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</si>
  <si>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</si>
  <si>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</si>
  <si>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</si>
  <si>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</si>
  <si>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</si>
  <si>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</si>
  <si>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</si>
  <si>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</si>
  <si>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</si>
  <si>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</si>
  <si>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</si>
  <si>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</si>
  <si>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</si>
  <si>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</si>
  <si>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</si>
  <si>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</si>
  <si>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</si>
  <si>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</si>
  <si>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</si>
  <si>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</si>
  <si>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</si>
  <si>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</si>
  <si>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</si>
  <si>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</si>
  <si>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</si>
  <si>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</si>
  <si>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</si>
  <si>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</si>
  <si>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</si>
  <si>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</si>
  <si>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</si>
  <si>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</si>
  <si>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</si>
  <si>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</si>
  <si>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</si>
  <si>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</si>
  <si>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</si>
  <si>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</si>
  <si>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</si>
  <si>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</si>
  <si>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</si>
  <si>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</si>
  <si>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</si>
  <si>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</si>
  <si>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</si>
  <si>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</si>
  <si>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</si>
  <si>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</si>
  <si>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</si>
  <si>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</si>
  <si>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</si>
  <si>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</si>
  <si>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</si>
  <si>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</si>
  <si>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</si>
  <si>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</si>
  <si>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</si>
  <si>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</si>
  <si>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</si>
  <si>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</si>
  <si>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</si>
  <si>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</si>
  <si>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</si>
  <si>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</si>
  <si>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</si>
  <si>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</si>
  <si>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</si>
  <si>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</si>
  <si>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</si>
  <si>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</si>
  <si>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</si>
  <si>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</si>
  <si>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</si>
  <si>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</si>
  <si>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</si>
  <si>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</si>
  <si>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</si>
  <si>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</si>
  <si>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</si>
  <si>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</si>
  <si>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</si>
  <si>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</si>
  <si>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</si>
  <si>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</si>
  <si>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</si>
  <si>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</si>
  <si>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</si>
  <si>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</si>
  <si>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</si>
  <si>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</si>
  <si>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</si>
  <si>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</si>
  <si>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</si>
  <si>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</si>
  <si>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</si>
  <si>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</si>
  <si>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</si>
  <si>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</si>
  <si>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</si>
  <si>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</si>
  <si>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</si>
  <si>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</si>
  <si>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</si>
  <si>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</si>
  <si>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</si>
  <si>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</si>
  <si>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</si>
  <si>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</si>
  <si>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</si>
  <si>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</si>
  <si>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</si>
  <si>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</si>
  <si>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</si>
  <si>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</si>
  <si>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</si>
  <si>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</si>
  <si>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</si>
  <si>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</si>
  <si>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</si>
  <si>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</si>
  <si>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</si>
  <si>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</si>
  <si>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</si>
  <si>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</si>
  <si>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</si>
  <si>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</si>
  <si>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</si>
  <si>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</si>
  <si>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</si>
  <si>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</si>
  <si>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</si>
  <si>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</si>
  <si>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</si>
  <si>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</si>
  <si>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</si>
  <si>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</si>
  <si>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</si>
  <si>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</si>
  <si>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</si>
  <si>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</si>
  <si>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</si>
  <si>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</si>
  <si>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</si>
  <si>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</si>
  <si>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</si>
  <si>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</si>
  <si>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</si>
  <si>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</si>
  <si>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</si>
  <si>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</si>
  <si>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</si>
  <si>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</si>
  <si>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</si>
  <si>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</si>
  <si>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</si>
  <si>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</si>
  <si>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</si>
  <si>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</si>
  <si>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</si>
  <si>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</si>
  <si>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</si>
  <si>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</si>
  <si>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</si>
  <si>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</si>
  <si>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</si>
  <si>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</si>
  <si>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</si>
  <si>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</si>
  <si>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</si>
  <si>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</si>
  <si>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</si>
  <si>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</si>
  <si>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</si>
  <si>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</si>
  <si>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</si>
  <si>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</si>
  <si>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</si>
  <si>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</si>
  <si>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</si>
  <si>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</si>
  <si>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</si>
  <si>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</si>
  <si>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</si>
  <si>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</si>
  <si>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</si>
  <si>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</si>
  <si>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</si>
  <si>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</si>
  <si>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</si>
  <si>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</si>
  <si>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</si>
  <si>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</si>
  <si>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</si>
  <si>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</si>
  <si>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</si>
  <si>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</si>
  <si>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</si>
  <si>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</si>
  <si>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</si>
  <si>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</si>
  <si>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</si>
  <si>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</si>
  <si>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</si>
  <si>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</si>
  <si>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</si>
  <si>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</si>
  <si>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</si>
  <si>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</si>
  <si>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</si>
  <si>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</si>
  <si>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</si>
  <si>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</si>
  <si>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</si>
  <si>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</si>
  <si>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</si>
  <si>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</si>
  <si>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</si>
  <si>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</si>
  <si>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</si>
  <si>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</si>
  <si>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</si>
  <si>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</si>
  <si>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KONSTANTINOS KRANIOTIS</t>
  </si>
  <si>
    <t>MARIA ALEXANDRA CHRISTOLIAKOU</t>
  </si>
  <si>
    <t>ATHINA KAROUMPALOU</t>
  </si>
  <si>
    <t>ANGELOS KALOGERAKOS</t>
  </si>
  <si>
    <t>SOLON MINAS</t>
  </si>
  <si>
    <t>THEODOROS DELIGIANNIS</t>
  </si>
  <si>
    <t>ELOI VERGE</t>
  </si>
  <si>
    <t>09:40</t>
  </si>
  <si>
    <t>Fantastic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</si>
</sst>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D3" sqref="D3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17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17_169_OLY_ASV_E2025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169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 cm="1">
        <f t="array" aca="1" ref="B3" ca="1">IF(ISERROR(K1VLOOKUP($B$2&amp;TEXT($C$2,"000"),GAMES!$A$3:$I$562,8,FALSE)),NOW(),VLOOKUP($B$2&amp;TEXT($C$2,"000"),GAMES!$A$3:$I$562,8,FALSE))</f>
        <v>46010.932694560186</v>
      </c>
      <c r="C3" s="178"/>
      <c r="D3" s="39">
        <v>566</v>
      </c>
      <c r="E3" s="29"/>
      <c r="F3" s="26">
        <f>SUBTOTAL(3,I17:I106)</f>
        <v>1</v>
      </c>
      <c r="G3" s="27">
        <f>IF(OR(D3="",D3=0),"",F3/D3)</f>
        <v>1.7667844522968198E-3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Olympiacos Piraeus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OLY</v>
      </c>
      <c r="I4" s="5"/>
      <c r="J4" s="119" t="s">
        <v>714</v>
      </c>
      <c r="K4" s="54" t="s">
        <v>742</v>
      </c>
      <c r="L4" s="5"/>
      <c r="M4" s="185" t="s">
        <v>758</v>
      </c>
      <c r="N4" s="186"/>
      <c r="O4" s="2"/>
      <c r="P4" s="2"/>
      <c r="Q4" s="84" t="s">
        <v>175</v>
      </c>
      <c r="R4" s="94">
        <f>(IF(G3="",0,G3))</f>
        <v>1.7667844522968198E-3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0.17667844522968199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750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751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0.67667844522968201</v>
      </c>
      <c r="N7" s="58"/>
      <c r="O7" s="2"/>
      <c r="P7" s="2"/>
      <c r="Q7" s="86">
        <f>SUM(R5,S5,AC16)</f>
        <v>0.67667844522968201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752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0.67667844522968201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753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754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169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756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</v>
      </c>
      <c r="J15" s="24">
        <f>SUBTOTAL(3,J17:J106)</f>
        <v>1</v>
      </c>
      <c r="K15" s="24">
        <f>SUBTOTAL(3,K17:K106)</f>
        <v>1</v>
      </c>
      <c r="L15" s="24">
        <f>SUBTOTAL(3,L17:L106)</f>
        <v>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</v>
      </c>
      <c r="Z16" s="90" t="s">
        <v>110</v>
      </c>
      <c r="AA16" s="75">
        <f>SUM(AA17:AA24)</f>
        <v>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169</v>
      </c>
      <c r="D17" s="32" t="s">
        <v>757</v>
      </c>
      <c r="E17" s="33">
        <v>4</v>
      </c>
      <c r="F17" s="36">
        <v>76</v>
      </c>
      <c r="G17" s="36">
        <v>56</v>
      </c>
      <c r="H17" s="38" t="str">
        <f>IF(I17="","",$I$14)</f>
        <v>SCOUTING</v>
      </c>
      <c r="I17" s="34">
        <v>425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REPORT_E2025169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"E2025169"</v>
      </c>
      <c r="F3" s="45" t="str">
        <f t="shared" ref="F3:F16" si="0">""""&amp;B3&amp;"""" &amp; " : " &amp;C3&amp;","</f>
        <v>"name" : "E2025169",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"E169"</v>
      </c>
      <c r="F4" s="45" t="str">
        <f t="shared" si="0"/>
        <v>"cod" : "E169",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169</v>
      </c>
      <c r="F6" s="45" t="str">
        <f t="shared" si="0"/>
        <v>"number" : 169,</v>
      </c>
    </row>
    <row r="7" spans="2:6" x14ac:dyDescent="0.25">
      <c r="B7" s="43" t="s">
        <v>116</v>
      </c>
      <c r="C7" s="43" t="str">
        <f ca="1">""""&amp;TEXT('SCOUT &amp; LOGISTICS'!B3,"dd/mm/aaaa")&amp;""""</f>
        <v>"19/12/2025"</v>
      </c>
      <c r="F7" s="45" t="str">
        <f t="shared" ca="1" si="0"/>
        <v>"date" : "19/12/2025",</v>
      </c>
    </row>
    <row r="8" spans="2:6" x14ac:dyDescent="0.25">
      <c r="B8" s="43" t="s">
        <v>125</v>
      </c>
      <c r="C8" s="43" t="str">
        <f>""""&amp;'SCOUT &amp; LOGISTICS'!D4 &amp;""""</f>
        <v>"Olympiacos Piraeus"</v>
      </c>
      <c r="F8" s="45" t="str">
        <f t="shared" si="0"/>
        <v>"home_team" : "Olympiacos Piraeus",</v>
      </c>
    </row>
    <row r="9" spans="2:6" x14ac:dyDescent="0.25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"KONSTANTINOS KRANIOTIS"</v>
      </c>
      <c r="F10" s="45" t="str">
        <f t="shared" si="0"/>
        <v>"Data_entry" : "KONSTANTINOS KRANIOTIS",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"MARIA ALEXANDRA CHRISTOLIAKOU"</v>
      </c>
      <c r="F11" s="45" t="str">
        <f t="shared" si="0"/>
        <v>"Caller_1" : "MARIA ALEXANDRA CHRISTOLIAKOU",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"ATHINA KAROUMPALOU"</v>
      </c>
      <c r="F12" s="45" t="str">
        <f t="shared" si="0"/>
        <v>"Caller_2" : "ATHINA KAROUMPALOU",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"ANGELOS KALOGERAKOS"</v>
      </c>
      <c r="F13" s="45" t="str">
        <f t="shared" si="0"/>
        <v>"Timerkeeper" : "ANGELOS KALOGERAKOS",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"SOLON MINAS"</v>
      </c>
      <c r="F14" s="45" t="str">
        <f t="shared" si="0"/>
        <v>"Shotclock" : "SOLON MINAS",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"THEODOROS DELIGIANNIS"</v>
      </c>
      <c r="F15" s="45" t="str">
        <f t="shared" si="0"/>
        <v>"IRS" : "THEODOROS DELIGIANNIS",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566</v>
      </c>
      <c r="F25" s="45" t="str">
        <f t="shared" ref="F25:F48" si="1">""""&amp;C25&amp;"""" &amp; " : " &amp;D25&amp;","</f>
        <v>"total_actions" : 566,</v>
      </c>
    </row>
    <row r="26" spans="2:6" x14ac:dyDescent="0.25">
      <c r="C26" s="43" t="s">
        <v>132</v>
      </c>
      <c r="D26" s="43">
        <f>'SCOUT &amp; LOGISTICS'!F3</f>
        <v>1</v>
      </c>
      <c r="F26" s="45" t="str">
        <f t="shared" si="1"/>
        <v>"total_correcions" : 1,</v>
      </c>
    </row>
    <row r="27" spans="2:6" x14ac:dyDescent="0.25">
      <c r="C27" s="43" t="s">
        <v>133</v>
      </c>
      <c r="D27" s="43" t="str">
        <f>""""&amp;IF(OR(D25="",D25=0),"",TEXT(D26/D25,"0,0%"))&amp;""""</f>
        <v>"0,2%"</v>
      </c>
      <c r="F27" s="45" t="str">
        <f t="shared" si="1"/>
        <v>"%_corrections" : "0,2%",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</v>
      </c>
      <c r="F37" s="45" t="str">
        <f t="shared" si="1"/>
        <v>"scoresheet_corrections" : 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"Fantastic job! Keep it up!"</v>
      </c>
      <c r="F51" s="45" t="str">
        <f>""""&amp;B51&amp;"""" &amp; " : " &amp;C51&amp;","</f>
        <v>"comments" : "Fantastic job! Keep it up!",</v>
      </c>
    </row>
    <row r="52" spans="2:6" x14ac:dyDescent="0.25">
      <c r="B52" s="43" t="s">
        <v>153</v>
      </c>
      <c r="C52" s="43" t="str">
        <f>TEXT('SCOUT &amp; LOGISTICS'!F1,"0,0")</f>
        <v>17_169_OLY_ASV_E2025</v>
      </c>
      <c r="F52" s="45" t="str">
        <f>""""&amp;B52&amp;"""" &amp; " : " &amp;C52</f>
        <v>"result" : 17_169_OLY_ASV_E2025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E169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19/12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Olympiacos Piraeus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KONSTANTINOS KRANIOTIS</v>
      </c>
      <c r="C8" s="201"/>
      <c r="D8" s="201"/>
      <c r="E8" s="201"/>
      <c r="F8" s="201"/>
      <c r="G8" s="201" t="str">
        <f>IF('SCOUT &amp; LOGISTICS'!D7="","",'SCOUT &amp; LOGISTICS'!D7)</f>
        <v>MARIA ALEXANDRA CHRISTOLIAKOU</v>
      </c>
      <c r="H8" s="201"/>
      <c r="I8" s="201"/>
      <c r="J8" s="201"/>
      <c r="K8" s="201"/>
      <c r="L8" s="201" t="str">
        <f>IF('SCOUT &amp; LOGISTICS'!D8="","",'SCOUT &amp; LOGISTICS'!D8)</f>
        <v>ATHINA KAROUMPALOU</v>
      </c>
      <c r="M8" s="201"/>
      <c r="N8" s="201"/>
      <c r="O8" s="201"/>
      <c r="P8" s="201"/>
      <c r="Q8" s="201" t="str">
        <f>IF('SCOUT &amp; LOGISTICS'!D9="","",'SCOUT &amp; LOGISTICS'!D9)</f>
        <v>ANGELOS KALOGERAKOS</v>
      </c>
      <c r="R8" s="201"/>
      <c r="S8" s="201"/>
      <c r="T8" s="201"/>
      <c r="U8" s="201"/>
      <c r="V8" s="201" t="str">
        <f>IF('SCOUT &amp; LOGISTICS'!D10="","",'SCOUT &amp; LOGISTICS'!D10)</f>
        <v>SOLON MINAS</v>
      </c>
      <c r="W8" s="201"/>
      <c r="X8" s="201"/>
      <c r="Y8" s="201"/>
      <c r="Z8" s="201"/>
      <c r="AA8" s="201" t="str">
        <f>IF('SCOUT &amp; LOGISTICS'!D11="","",'SCOUT &amp; LOGISTICS'!D11)</f>
        <v>THEODOROS DELIGIANNIS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566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1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1.7667844522968198E-3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1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1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1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Fantastic job!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0.67667844522968201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B27D735A-8369-4D1F-A0AE-B88254B8496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2025-12-19T21:23:08Z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