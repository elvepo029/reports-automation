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6" documentId="8_{B324C8B9-D692-4648-BCF5-E2AB31EAD7BF}" xr6:coauthVersionLast="47" xr6:coauthVersionMax="47" xr10:uidLastSave="{8AC3CD3E-81CA-49B1-A975-D16F68FC52E6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<sst xmlns="http://schemas.openxmlformats.org/spreadsheetml/2006/main" count="3250" uniqueCount="759">
  <si>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</si>
  <si>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</si>
  <si>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</si>
  <si>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</si>
  <si>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</si>
  <si>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</si>
  <si>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</si>
  <si>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</si>
  <si>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</si>
  <si>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</si>
  <si>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</si>
  <si>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</si>
  <si>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</si>
  <si>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</si>
  <si>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</si>
  <si>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</si>
  <si>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</si>
  <si>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</si>
  <si>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</si>
  <si>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</si>
  <si>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</si>
  <si>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</si>
  <si>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</si>
  <si>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</si>
  <si>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</si>
  <si>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</si>
  <si>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</si>
  <si>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</si>
  <si>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</si>
  <si>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</si>
  <si>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</si>
  <si>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</si>
  <si>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</si>
  <si>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</si>
  <si>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</si>
  <si>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</si>
  <si>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</si>
  <si>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</si>
  <si>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</si>
  <si>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</si>
  <si>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</si>
  <si>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</si>
  <si>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</si>
  <si>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</si>
  <si>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</si>
  <si>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</si>
  <si>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</si>
  <si>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</si>
  <si>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</si>
  <si>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</si>
  <si>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</si>
  <si>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</si>
  <si>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</si>
  <si>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</si>
  <si>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</si>
  <si>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</si>
  <si>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</si>
  <si>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</si>
  <si>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</si>
  <si>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</si>
  <si>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</si>
  <si>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</si>
  <si>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</si>
  <si>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</si>
  <si>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</si>
  <si>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</si>
  <si>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</si>
  <si>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</si>
  <si>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</si>
  <si>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</si>
  <si>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</si>
  <si>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</si>
  <si>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</si>
  <si>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</si>
  <si>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</si>
  <si>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</si>
  <si>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</si>
  <si>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</si>
  <si>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</si>
  <si>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</si>
  <si>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</si>
  <si>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</si>
  <si>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</si>
  <si>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</si>
  <si>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</si>
  <si>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</si>
  <si>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</si>
  <si>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</si>
  <si>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</si>
  <si>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</si>
  <si>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</si>
  <si>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</si>
  <si>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</si>
  <si>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</si>
  <si>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</si>
  <si>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</si>
  <si>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</si>
  <si>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</si>
  <si>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</si>
  <si>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</si>
  <si>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</si>
  <si>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</si>
  <si>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</si>
  <si>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</si>
  <si>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</si>
  <si>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</si>
  <si>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</si>
  <si>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</si>
  <si>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</si>
  <si>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</si>
  <si>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</si>
  <si>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</si>
  <si>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</si>
  <si>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</si>
  <si>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</si>
  <si>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</si>
  <si>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</si>
  <si>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</si>
  <si>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</si>
  <si>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</si>
  <si>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</si>
  <si>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</si>
  <si>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</si>
  <si>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</si>
  <si>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</si>
  <si>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</si>
  <si>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</si>
  <si>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</si>
  <si>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</si>
  <si>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</si>
  <si>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</si>
  <si>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</si>
  <si>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</si>
  <si>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</si>
  <si>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</si>
  <si>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</si>
  <si>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</si>
  <si>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</si>
  <si>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</si>
  <si>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</si>
  <si>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</si>
  <si>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</si>
  <si>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</si>
  <si>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</si>
  <si>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</si>
  <si>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</si>
  <si>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</si>
  <si>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</si>
  <si>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</si>
  <si>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</si>
  <si>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</si>
  <si>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</si>
  <si>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</si>
  <si>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</si>
  <si>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</si>
  <si>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</si>
  <si>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</si>
  <si>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</si>
  <si>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</si>
  <si>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</si>
  <si>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</si>
  <si>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</si>
  <si>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</si>
  <si>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</si>
  <si>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</si>
  <si>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</si>
  <si>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</si>
  <si>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</si>
  <si>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</si>
  <si>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</si>
  <si>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</si>
  <si>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</si>
  <si>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</si>
  <si>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</si>
  <si>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</si>
  <si>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</si>
  <si>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</si>
  <si>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</si>
  <si>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</si>
  <si>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</si>
  <si>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</si>
  <si>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</si>
  <si>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</si>
  <si>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</si>
  <si>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</si>
  <si>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</si>
  <si>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</si>
  <si>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</si>
  <si>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</si>
  <si>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</si>
  <si>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</si>
  <si>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</si>
  <si>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</si>
  <si>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</si>
  <si>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</si>
  <si>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</si>
  <si>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</si>
  <si>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</si>
  <si>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</si>
  <si>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</si>
  <si>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</si>
  <si>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</si>
  <si>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</si>
  <si>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</si>
  <si>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</si>
  <si>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</si>
  <si>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</si>
  <si>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</si>
  <si>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</si>
  <si>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</si>
  <si>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</si>
  <si>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</si>
  <si>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</si>
  <si>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</si>
  <si>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</si>
  <si>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</si>
  <si>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</si>
  <si>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</si>
  <si>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</si>
  <si>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</si>
  <si>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</si>
  <si>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</si>
  <si>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</si>
  <si>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</si>
  <si>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</si>
  <si>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</si>
  <si>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</si>
  <si>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</si>
  <si>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</si>
  <si>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</si>
  <si>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</si>
  <si>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</si>
  <si>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</si>
  <si>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</si>
  <si>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</si>
  <si>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</si>
  <si>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</si>
  <si>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</si>
  <si>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</si>
  <si>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</si>
  <si>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</si>
  <si>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</si>
  <si>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</si>
  <si>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</si>
  <si>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</si>
  <si>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</si>
  <si>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</si>
  <si>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</si>
  <si>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</si>
  <si>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</si>
  <si>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</si>
  <si>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</si>
  <si>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</si>
  <si>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</si>
  <si>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</si>
  <si>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</si>
  <si>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</si>
  <si>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</si>
  <si>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</si>
  <si>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</si>
  <si>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</si>
  <si>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</si>
  <si>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</si>
  <si>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</si>
  <si>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</si>
  <si>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</si>
  <si>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</si>
  <si>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</si>
  <si>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</si>
  <si>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</si>
  <si>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</si>
  <si>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</si>
  <si>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</si>
  <si>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</si>
  <si>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</si>
  <si>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</si>
  <si>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</si>
  <si>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</si>
  <si>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</si>
  <si>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</si>
  <si>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</si>
  <si>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</si>
  <si>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</si>
  <si>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</si>
  <si>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</si>
  <si>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</si>
  <si>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</si>
  <si>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</si>
  <si>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</si>
  <si>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</si>
  <si>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</si>
  <si>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</si>
  <si>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</si>
  <si>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</si>
  <si>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</si>
  <si>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</si>
  <si>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</si>
  <si>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</si>
  <si>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</si>
  <si>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</si>
  <si>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</si>
  <si>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</si>
  <si>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</si>
  <si>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</si>
  <si>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</si>
  <si>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</si>
  <si>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</si>
  <si>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</si>
  <si>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</si>
  <si>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</si>
  <si>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</si>
  <si>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</si>
  <si>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</si>
  <si>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</si>
  <si>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</si>
  <si>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</si>
  <si>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</si>
  <si>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</si>
  <si>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</si>
  <si>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</si>
  <si>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</si>
  <si>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</si>
  <si>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</si>
  <si>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</si>
  <si>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</si>
  <si>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</si>
  <si>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</si>
  <si>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</si>
  <si>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</si>
  <si>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</si>
  <si>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</si>
  <si>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</si>
  <si>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</si>
  <si>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</si>
  <si>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</si>
  <si>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</si>
  <si>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</si>
  <si>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</si>
  <si>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</si>
  <si>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</si>
  <si>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</si>
  <si>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</si>
  <si>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</si>
  <si>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</si>
  <si>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</si>
  <si>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</si>
  <si>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</si>
  <si>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</si>
  <si>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</si>
  <si>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</si>
  <si>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</si>
  <si>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</si>
  <si>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</si>
  <si>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</si>
  <si>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</si>
  <si>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</si>
  <si>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</si>
  <si>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</si>
  <si>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</si>
  <si>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</si>
  <si>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</si>
  <si>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</si>
  <si>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</si>
  <si>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</si>
  <si>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</si>
  <si>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</si>
  <si>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</si>
  <si>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</si>
  <si>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</si>
  <si>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</si>
  <si>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</si>
  <si>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</si>
  <si>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</si>
  <si>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</si>
  <si>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</si>
  <si>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</si>
  <si>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</si>
  <si>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</si>
  <si>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</si>
  <si>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</si>
  <si>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</si>
  <si>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</si>
  <si>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</si>
  <si>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</si>
  <si>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</si>
  <si>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</si>
  <si>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</si>
  <si>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</si>
  <si>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</si>
  <si>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</si>
  <si>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</si>
  <si>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</si>
  <si>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</si>
  <si>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</si>
  <si>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</si>
  <si>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</si>
  <si>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</si>
  <si>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</si>
  <si>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</si>
  <si>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</si>
  <si>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</si>
  <si>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</si>
  <si>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</si>
  <si>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</si>
  <si>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</si>
  <si>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</si>
  <si>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</si>
  <si>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</si>
  <si>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</si>
  <si>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</si>
  <si>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</si>
  <si>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</si>
  <si>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</si>
  <si>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</si>
  <si>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</si>
  <si>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</si>
  <si>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</si>
  <si>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</si>
  <si>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</si>
  <si>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</si>
  <si>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</si>
  <si>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</si>
  <si>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</si>
  <si>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</si>
  <si>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</si>
  <si>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</si>
  <si>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</si>
  <si>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</si>
  <si>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</si>
  <si>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</si>
  <si>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</si>
  <si>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</si>
  <si>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</si>
  <si>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</si>
  <si>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</si>
  <si>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</si>
  <si>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</si>
  <si>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</si>
  <si>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</si>
  <si>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</si>
  <si>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</si>
  <si>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</si>
  <si>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</si>
  <si>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</si>
  <si>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</si>
  <si>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</si>
  <si>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</si>
  <si>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</si>
  <si>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</si>
  <si>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</si>
  <si>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</si>
  <si>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</si>
  <si>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</si>
  <si>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</si>
  <si>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</si>
  <si>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</si>
  <si>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</si>
  <si>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</si>
  <si>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</si>
  <si>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</si>
  <si>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</si>
  <si>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</si>
  <si>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</si>
  <si>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</si>
  <si>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</si>
  <si>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</si>
  <si>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</si>
  <si>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</si>
  <si>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</si>
  <si>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</si>
  <si>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</si>
  <si>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</si>
  <si>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</si>
  <si>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</si>
  <si>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</si>
  <si>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</si>
  <si>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</si>
  <si>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</si>
  <si>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</si>
  <si>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</si>
  <si>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</si>
  <si>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</si>
  <si>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</si>
  <si>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</si>
  <si>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</si>
  <si>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</si>
  <si>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</si>
  <si>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</si>
  <si>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</si>
  <si>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</si>
  <si>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</si>
  <si>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</si>
  <si>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</si>
  <si>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</si>
  <si>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</si>
  <si>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</si>
  <si>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</si>
  <si>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</si>
  <si>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</si>
  <si>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</si>
  <si>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</si>
  <si>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</si>
  <si>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</si>
  <si>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</si>
  <si>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</si>
  <si>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</si>
  <si>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</si>
  <si>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</si>
  <si>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</si>
  <si>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</si>
  <si>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</si>
  <si>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</si>
  <si>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</si>
  <si>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</si>
  <si>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</si>
  <si>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</si>
  <si>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</si>
  <si>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</si>
  <si>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</si>
  <si>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</si>
  <si>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</si>
  <si>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</si>
  <si>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</si>
  <si>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</si>
  <si>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</si>
  <si>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</si>
  <si>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</si>
  <si>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</si>
  <si>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</si>
  <si>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</si>
  <si>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</si>
  <si>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</si>
  <si>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</si>
  <si>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</si>
  <si>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</si>
  <si>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</si>
  <si>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</si>
  <si>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</si>
  <si>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</si>
  <si>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</si>
  <si>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</si>
  <si>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</si>
  <si>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</si>
  <si>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</si>
  <si>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</si>
  <si>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</si>
  <si>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</si>
  <si>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</si>
  <si>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</si>
  <si>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</si>
  <si>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</si>
  <si>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</si>
  <si>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</si>
  <si>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</si>
  <si>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</si>
  <si>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</si>
  <si>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</si>
  <si>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</si>
  <si>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</si>
  <si>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</si>
  <si>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</si>
  <si>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</si>
  <si>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</si>
  <si>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</si>
  <si>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</si>
  <si>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</si>
  <si>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</si>
  <si>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</si>
  <si>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</si>
  <si>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</si>
  <si>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</si>
  <si>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</si>
  <si>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</si>
  <si>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</si>
  <si>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</si>
  <si>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</si>
  <si>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</si>
  <si>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</si>
  <si>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</si>
  <si>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</si>
  <si>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</si>
  <si>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</si>
  <si>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</si>
  <si>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</si>
  <si>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</si>
  <si>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</si>
  <si>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</si>
  <si>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</si>
  <si>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</si>
  <si>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</si>
  <si>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</si>
  <si>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</si>
  <si>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</si>
  <si>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</si>
  <si>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</si>
  <si>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</si>
  <si>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</si>
  <si>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</si>
  <si>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</si>
  <si>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</si>
  <si>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</si>
  <si>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</si>
  <si>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</si>
  <si>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</si>
  <si>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</si>
  <si>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</si>
  <si>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</si>
  <si>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</si>
  <si>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</si>
  <si>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</si>
  <si>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</si>
  <si>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</si>
  <si>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</si>
  <si>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</si>
  <si>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</si>
  <si>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</si>
  <si>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</si>
  <si>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</si>
  <si>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</si>
  <si>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</si>
  <si>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</si>
  <si>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</si>
  <si>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</si>
  <si>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</si>
  <si>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</si>
  <si>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</si>
  <si>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</si>
  <si>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</si>
  <si>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</si>
  <si>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</si>
  <si>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</si>
  <si>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</si>
  <si>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</si>
  <si>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</si>
  <si>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</si>
  <si>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</si>
  <si>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</si>
  <si>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</si>
  <si>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</si>
  <si>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</si>
  <si>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</si>
  <si>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</si>
  <si>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</si>
  <si>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</si>
  <si>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</si>
  <si>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</si>
  <si>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</si>
  <si>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</si>
  <si>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</si>
  <si>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</si>
  <si>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</si>
  <si>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</si>
  <si>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</si>
  <si>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</si>
  <si>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</si>
  <si>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</si>
  <si>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</si>
  <si>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</si>
  <si>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</si>
  <si>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</si>
  <si>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</si>
  <si>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</si>
  <si>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</si>
  <si>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</si>
  <si>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</si>
  <si>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</si>
  <si>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</si>
  <si>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</si>
  <si>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</si>
  <si>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</si>
  <si>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</si>
  <si>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</si>
  <si>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</si>
  <si>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</si>
  <si>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</si>
  <si>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</si>
  <si>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</si>
  <si>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</si>
  <si>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</si>
  <si>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</si>
  <si>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</si>
  <si>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</si>
  <si>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</si>
  <si>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</si>
  <si>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</si>
  <si>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</si>
  <si>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</si>
  <si>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</si>
  <si>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</si>
  <si>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</si>
  <si>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</si>
  <si>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</si>
  <si>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</si>
  <si>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</si>
  <si>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</si>
  <si>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</si>
  <si>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</si>
  <si>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</si>
  <si>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</si>
  <si>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</si>
  <si>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</si>
  <si>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</si>
  <si>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</si>
  <si>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</si>
  <si>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</si>
  <si>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</si>
  <si>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</si>
  <si>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</si>
  <si>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</si>
  <si>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</si>
  <si>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</si>
  <si>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</si>
  <si>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</si>
  <si>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</si>
  <si>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</si>
  <si>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</si>
  <si>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</si>
  <si>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</si>
  <si>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</si>
  <si>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</si>
  <si>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</si>
  <si>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</si>
  <si>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</si>
  <si>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</si>
  <si>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</si>
  <si>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</si>
  <si>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</si>
  <si>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</si>
  <si>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</si>
  <si>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</si>
  <si>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</si>
  <si>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</si>
  <si>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</si>
  <si>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</si>
  <si>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</si>
  <si>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</si>
  <si>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</si>
  <si>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</si>
  <si>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</si>
  <si>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</si>
  <si>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</si>
  <si>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</si>
  <si>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</si>
  <si>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</si>
  <si>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</si>
  <si>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</si>
  <si>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</si>
  <si>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</si>
  <si>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</si>
  <si>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</si>
  <si>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KONSTANTINOS KRANIOTIS</t>
  </si>
  <si>
    <t>MARIA ALEXANDRA CHRISTOLIAKOU</t>
  </si>
  <si>
    <t>ATHINA KAROUMPALOU</t>
  </si>
  <si>
    <t>ANGELOS KALOGERAKOS</t>
  </si>
  <si>
    <t>SOLON MINAS</t>
  </si>
  <si>
    <t>THEODOROS DELIGIANNIS</t>
  </si>
  <si>
    <t>ELOI VERGE</t>
  </si>
  <si>
    <t>09:40</t>
  </si>
  <si>
    <t>Fantastic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</si>
</sst>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3" sqref="D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17_169_OLY_ASV_E2025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 cm="1">
        <f t="array" aca="1" ref="B3" ca="1">IF(ISERROR(K1VLOOKUP($B$2&amp;TEXT($C$2,"000"),GAMES!$A$3:$I$562,8,FALSE)),NOW(),VLOOKUP($B$2&amp;TEXT($C$2,"000"),GAMES!$A$3:$I$562,8,FALSE))</f>
        <v>46010.932694560186</v>
      </c>
      <c r="C3" s="178"/>
      <c r="D3" s="39">
        <v>566</v>
      </c>
      <c r="E3" s="29"/>
      <c r="F3" s="26">
        <f>SUBTOTAL(3,I17:I106)</f>
        <v>1</v>
      </c>
      <c r="G3" s="27">
        <f>IF(OR(D3="",D3=0),"",F3/D3)</f>
        <v>1.7667844522968198E-3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1.7667844522968198E-3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0.17667844522968199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0.67667844522968201</v>
      </c>
      <c r="N7" s="58"/>
      <c r="O7" s="2"/>
      <c r="P7" s="2"/>
      <c r="Q7" s="86">
        <f>SUM(R5,S5,AC16)</f>
        <v>0.67667844522968201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0.67667844522968201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169</v>
      </c>
      <c r="D17" s="32" t="s">
        <v>757</v>
      </c>
      <c r="E17" s="33">
        <v>4</v>
      </c>
      <c r="F17" s="36">
        <v>76</v>
      </c>
      <c r="G17" s="36">
        <v>56</v>
      </c>
      <c r="H17" s="38" t="str">
        <f>IF(I17="","",$I$14)</f>
        <v>SCOUTING</v>
      </c>
      <c r="I17" s="34">
        <v>425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"E2025169"</v>
      </c>
      <c r="F3" s="45" t="str">
        <f t="shared" ref="F3:F16" si="0">""""&amp;B3&amp;"""" &amp; " : " &amp;C3&amp;","</f>
        <v>"name" : "E2025169",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"E169"</v>
      </c>
      <c r="F4" s="45" t="str">
        <f t="shared" si="0"/>
        <v>"cod" : "E169",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169</v>
      </c>
      <c r="F6" s="45" t="str">
        <f t="shared" si="0"/>
        <v>"number" : 169,</v>
      </c>
    </row>
    <row r="7" spans="2:6" x14ac:dyDescent="0.25">
      <c r="B7" s="43" t="s">
        <v>116</v>
      </c>
      <c r="C7" s="43" t="str">
        <f ca="1">""""&amp;TEXT('SCOUT &amp; LOGISTICS'!B3,"dd/mm/aaaa")&amp;""""</f>
        <v>"19/12/2025"</v>
      </c>
      <c r="F7" s="45" t="str">
        <f t="shared" ca="1" si="0"/>
        <v>"date" : "19/12/2025",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"MARIA ALEXANDRA CHRISTOLIAKOU"</v>
      </c>
      <c r="F11" s="45" t="str">
        <f t="shared" si="0"/>
        <v>"Caller_1" : "MARIA ALEXANDRA CHRISTOLIAKOU",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"SOLON MINAS"</v>
      </c>
      <c r="F14" s="45" t="str">
        <f t="shared" si="0"/>
        <v>"Shotclock" : "SOLON MINAS",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"THEODOROS DELIGIANNIS"</v>
      </c>
      <c r="F15" s="45" t="str">
        <f t="shared" si="0"/>
        <v>"IRS" : "THEODOROS DELIGIANNIS",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"Fantastic job! Keep it up!"</v>
      </c>
      <c r="F51" s="45" t="str">
        <f>""""&amp;B51&amp;"""" &amp; " : " &amp;C51&amp;","</f>
        <v>"comments" : "Fantastic job! Keep it up!",</v>
      </c>
    </row>
    <row r="52" spans="2:6" x14ac:dyDescent="0.25">
      <c r="B52" s="43" t="s">
        <v>153</v>
      </c>
      <c r="C52" s="43" t="str">
        <f>TEXT('SCOUT &amp; LOGISTICS'!F1,"0,0")</f>
        <v>17_169_OLY_ASV_E2025</v>
      </c>
      <c r="F52" s="45" t="str">
        <f>""""&amp;B52&amp;"""" &amp; " : " &amp;C52</f>
        <v>"result" : 17_169_OLY_ASV_E2025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E169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19/12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KONSTANTINOS KRANIOTIS</v>
      </c>
      <c r="C8" s="201"/>
      <c r="D8" s="201"/>
      <c r="E8" s="201"/>
      <c r="F8" s="201"/>
      <c r="G8" s="201" t="str">
        <f>IF('SCOUT &amp; LOGISTICS'!D7="","",'SCOUT &amp; LOGISTICS'!D7)</f>
        <v>MARIA ALEXANDRA CHRISTOLIAKOU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ANGELOS KALOGERAKOS</v>
      </c>
      <c r="R8" s="201"/>
      <c r="S8" s="201"/>
      <c r="T8" s="201"/>
      <c r="U8" s="201"/>
      <c r="V8" s="201" t="str">
        <f>IF('SCOUT &amp; LOGISTICS'!D10="","",'SCOUT &amp; LOGISTICS'!D10)</f>
        <v>SOLON MINAS</v>
      </c>
      <c r="W8" s="201"/>
      <c r="X8" s="201"/>
      <c r="Y8" s="201"/>
      <c r="Z8" s="201"/>
      <c r="AA8" s="201" t="str">
        <f>IF('SCOUT &amp; LOGISTICS'!D11="","",'SCOUT &amp; LOGISTICS'!D11)</f>
        <v>THEODOROS DELIGIANNIS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566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1.7667844522968198E-3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Fantastic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0.67667844522968201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BD65042-1738-4279-B417-C78A93789BE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2025-12-19T21:23:08Z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