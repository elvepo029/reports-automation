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Reports fets/"/>
    </mc:Choice>
  </mc:AlternateContent>
  <xr:revisionPtr revIDLastSave="1" documentId="13_ncr:1_{50EE5656-C203-401D-9899-A46189BE83D6}" xr6:coauthVersionLast="47" xr6:coauthVersionMax="47" xr10:uidLastSave="{316B6907-9E87-4CA6-9198-04C3B48C0A70}"/>
  <bookViews>
    <workbookView xWindow="-110" yWindow="-110" windowWidth="19420" windowHeight="115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1" l="1"/>
  <c r="B2" i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4" i="2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<sst xmlns="http://schemas.openxmlformats.org/spreadsheetml/2006/main" count="3339" uniqueCount="831">
  <si>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</si>
  <si>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</si>
  <si>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</si>
  <si>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</si>
  <si>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</si>
  <si>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</si>
  <si>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</si>
  <si>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</si>
  <si>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</si>
  <si>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</si>
  <si>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</si>
  <si>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</si>
  <si>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</si>
  <si>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</si>
  <si>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</si>
  <si>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</si>
  <si>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</si>
  <si>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</si>
  <si>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</si>
  <si>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</si>
  <si>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</si>
  <si>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</si>
  <si>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</si>
  <si>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</si>
  <si>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</si>
  <si>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</si>
  <si>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</si>
  <si>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</si>
  <si>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</si>
  <si>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</si>
  <si>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</si>
  <si>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</si>
  <si>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</si>
  <si>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</si>
  <si>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</si>
  <si>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</si>
  <si>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</si>
  <si>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</si>
  <si>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</si>
  <si>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</si>
  <si>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</si>
  <si>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</si>
  <si>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</si>
  <si>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</si>
  <si>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</si>
  <si>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</si>
  <si>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</si>
  <si>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</si>
  <si>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</si>
  <si>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</si>
  <si>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</si>
  <si>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</si>
  <si>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</si>
  <si>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</si>
  <si>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</si>
  <si>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</si>
  <si>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</si>
  <si>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</si>
  <si>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</si>
  <si>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</si>
  <si>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</si>
  <si>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</si>
  <si>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</si>
  <si>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</si>
  <si>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</si>
  <si>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</si>
  <si>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</si>
  <si>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</si>
  <si>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</si>
  <si>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</si>
  <si>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</si>
  <si>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</si>
  <si>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</si>
  <si>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</si>
  <si>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</si>
  <si>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</si>
  <si>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</si>
  <si>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</si>
  <si>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</si>
  <si>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</si>
  <si>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</si>
  <si>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</si>
  <si>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</si>
  <si>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</si>
  <si>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</si>
  <si>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</si>
  <si>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</si>
  <si>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</si>
  <si>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</si>
  <si>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</si>
  <si>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</si>
  <si>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</si>
  <si>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</si>
  <si>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</si>
  <si>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</si>
  <si>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</si>
  <si>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</si>
  <si>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</si>
  <si>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</si>
  <si>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</si>
  <si>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</si>
  <si>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</si>
  <si>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</si>
  <si>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</si>
  <si>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</si>
  <si>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</si>
  <si>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</si>
  <si>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</si>
  <si>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</si>
  <si>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</si>
  <si>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</si>
  <si>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</si>
  <si>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</si>
  <si>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</si>
  <si>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</si>
  <si>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</si>
  <si>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</si>
  <si>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</si>
  <si>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</si>
  <si>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</si>
  <si>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</si>
  <si>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</si>
  <si>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</si>
  <si>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</si>
  <si>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</si>
  <si>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</si>
  <si>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</si>
  <si>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</si>
  <si>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</si>
  <si>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</si>
  <si>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</si>
  <si>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</si>
  <si>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</si>
  <si>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</si>
  <si>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</si>
  <si>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</si>
  <si>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</si>
  <si>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</si>
  <si>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</si>
  <si>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</si>
  <si>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</si>
  <si>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</si>
  <si>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</si>
  <si>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</si>
  <si>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</si>
  <si>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</si>
  <si>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</si>
  <si>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</si>
  <si>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</si>
  <si>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</si>
  <si>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</si>
  <si>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</si>
  <si>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</si>
  <si>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</si>
  <si>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</si>
  <si>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</si>
  <si>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</si>
  <si>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</si>
  <si>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</si>
  <si>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</si>
  <si>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</si>
  <si>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</si>
  <si>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</si>
  <si>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</si>
  <si>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</si>
  <si>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</si>
  <si>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</si>
  <si>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</si>
  <si>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</si>
  <si>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</si>
  <si>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</si>
  <si>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</si>
  <si>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</si>
  <si>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</si>
  <si>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</si>
  <si>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</si>
  <si>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</si>
  <si>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</si>
  <si>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</si>
  <si>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</si>
  <si>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</si>
  <si>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</si>
  <si>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</si>
  <si>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</si>
  <si>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</si>
  <si>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</si>
  <si>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</si>
  <si>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</si>
  <si>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</si>
  <si>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</si>
  <si>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</si>
  <si>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</si>
  <si>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</si>
  <si>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</si>
  <si>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</si>
  <si>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</si>
  <si>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</si>
  <si>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</si>
  <si>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</si>
  <si>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</si>
  <si>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</si>
  <si>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</si>
  <si>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</si>
  <si>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</si>
  <si>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</si>
  <si>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</si>
  <si>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</si>
  <si>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</si>
  <si>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</si>
  <si>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</si>
  <si>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</si>
  <si>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</si>
  <si>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</si>
  <si>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</si>
  <si>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</si>
  <si>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</si>
  <si>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</si>
  <si>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</si>
  <si>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</si>
  <si>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</si>
  <si>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</si>
  <si>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</si>
  <si>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</si>
  <si>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</si>
  <si>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</si>
  <si>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</si>
  <si>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</si>
  <si>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</si>
  <si>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</si>
  <si>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</si>
  <si>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</si>
  <si>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</si>
  <si>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</si>
  <si>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</si>
  <si>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</si>
  <si>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</si>
  <si>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</si>
  <si>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</si>
  <si>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</si>
  <si>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</si>
  <si>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</si>
  <si>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</si>
  <si>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</si>
  <si>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</si>
  <si>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</si>
  <si>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</si>
  <si>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</si>
  <si>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</si>
  <si>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</si>
  <si>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</si>
  <si>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</si>
  <si>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</si>
  <si>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</si>
  <si>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</si>
  <si>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</si>
  <si>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</si>
  <si>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</si>
  <si>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</si>
  <si>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</si>
  <si>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</si>
  <si>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</si>
  <si>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</si>
  <si>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</si>
  <si>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</si>
  <si>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</si>
  <si>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</si>
  <si>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</si>
  <si>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</si>
  <si>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</si>
  <si>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</si>
  <si>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</si>
  <si>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</si>
  <si>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</si>
  <si>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</si>
  <si>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</si>
  <si>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</si>
  <si>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</si>
  <si>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</si>
  <si>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</si>
  <si>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</si>
  <si>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</si>
  <si>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</si>
  <si>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</si>
  <si>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</si>
  <si>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</si>
  <si>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</si>
  <si>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</si>
  <si>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</si>
  <si>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</si>
  <si>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</si>
  <si>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</si>
  <si>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</si>
  <si>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</si>
  <si>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</si>
  <si>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</si>
  <si>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</si>
  <si>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</si>
  <si>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</si>
  <si>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</si>
  <si>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</si>
  <si>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</si>
  <si>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</si>
  <si>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</si>
  <si>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</si>
  <si>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</si>
  <si>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</si>
  <si>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</si>
  <si>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</si>
  <si>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</si>
  <si>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</si>
  <si>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</si>
  <si>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</si>
  <si>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</si>
  <si>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</si>
  <si>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</si>
  <si>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</si>
  <si>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</si>
  <si>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</si>
  <si>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</si>
  <si>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</si>
  <si>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</si>
  <si>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</si>
  <si>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</si>
  <si>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</si>
  <si>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</si>
  <si>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</si>
  <si>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</si>
  <si>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</si>
  <si>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</si>
  <si>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</si>
  <si>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</si>
  <si>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</si>
  <si>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</si>
  <si>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</si>
  <si>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</si>
  <si>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</si>
  <si>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</si>
  <si>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</si>
  <si>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</si>
  <si>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</si>
  <si>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</si>
  <si>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</si>
  <si>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</si>
  <si>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</si>
  <si>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</si>
  <si>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</si>
  <si>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</si>
  <si>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</si>
  <si>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</si>
  <si>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</si>
  <si>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</si>
  <si>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</si>
  <si>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</si>
  <si>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</si>
  <si>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</si>
  <si>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</si>
  <si>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</si>
  <si>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</si>
  <si>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</si>
  <si>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</si>
  <si>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</si>
  <si>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</si>
  <si>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</si>
  <si>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</si>
  <si>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</si>
  <si>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</si>
  <si>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</si>
  <si>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</si>
  <si>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</si>
  <si>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</si>
  <si>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</si>
  <si>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</si>
  <si>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</si>
  <si>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</si>
  <si>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</si>
  <si>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</si>
  <si>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</si>
  <si>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</si>
  <si>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</si>
  <si>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</si>
  <si>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</si>
  <si>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</si>
  <si>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</si>
  <si>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</si>
  <si>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</si>
  <si>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</si>
  <si>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</si>
  <si>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</si>
  <si>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</si>
  <si>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</si>
  <si>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</si>
  <si>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</si>
  <si>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</si>
  <si>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</si>
  <si>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</si>
  <si>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</si>
  <si>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</si>
  <si>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</si>
  <si>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</si>
  <si>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</si>
  <si>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</si>
  <si>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</si>
  <si>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</si>
  <si>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</si>
  <si>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</si>
  <si>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</si>
  <si>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</si>
  <si>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</si>
  <si>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</si>
  <si>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</si>
  <si>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</si>
  <si>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</si>
  <si>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</si>
  <si>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</si>
  <si>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</si>
  <si>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</si>
  <si>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</si>
  <si>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</si>
  <si>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</si>
  <si>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</si>
  <si>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</si>
  <si>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</si>
  <si>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</si>
  <si>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</si>
  <si>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</si>
  <si>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</si>
  <si>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</si>
  <si>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</si>
  <si>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</si>
  <si>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</si>
  <si>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</si>
  <si>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</si>
  <si>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</si>
  <si>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</si>
  <si>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</si>
  <si>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</si>
  <si>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</si>
  <si>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</si>
  <si>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</si>
  <si>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</si>
  <si>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</si>
  <si>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</si>
  <si>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</si>
  <si>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</si>
  <si>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</si>
  <si>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</si>
  <si>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</si>
  <si>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</si>
  <si>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</si>
  <si>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</si>
  <si>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</si>
  <si>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</si>
  <si>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</si>
  <si>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</si>
  <si>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</si>
  <si>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</si>
  <si>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</si>
  <si>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</si>
  <si>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</si>
  <si>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</si>
  <si>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</si>
  <si>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</si>
  <si>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</si>
  <si>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</si>
  <si>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</si>
  <si>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</si>
  <si>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</si>
  <si>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</si>
  <si>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</si>
  <si>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</si>
  <si>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</si>
  <si>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</si>
  <si>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</si>
  <si>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</si>
  <si>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</si>
  <si>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</si>
  <si>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</si>
  <si>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</si>
  <si>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</si>
  <si>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</si>
  <si>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</si>
  <si>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</si>
  <si>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</si>
  <si>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</si>
  <si>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</si>
  <si>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</si>
  <si>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</si>
  <si>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</si>
  <si>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</si>
  <si>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</si>
  <si>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</si>
  <si>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</si>
  <si>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</si>
  <si>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</si>
  <si>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</si>
  <si>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</si>
  <si>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</si>
  <si>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</si>
  <si>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</si>
  <si>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</si>
  <si>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</si>
  <si>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</si>
  <si>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</si>
  <si>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</si>
  <si>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</si>
  <si>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</si>
  <si>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</si>
  <si>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</si>
  <si>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</si>
  <si>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</si>
  <si>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</si>
  <si>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</si>
  <si>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</si>
  <si>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</si>
  <si>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</si>
  <si>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</si>
  <si>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</si>
  <si>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</si>
  <si>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</si>
  <si>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</si>
  <si>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</si>
  <si>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</si>
  <si>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</si>
  <si>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</si>
  <si>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</si>
  <si>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</si>
  <si>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</si>
  <si>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</si>
  <si>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</si>
  <si>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</si>
  <si>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</si>
  <si>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</si>
  <si>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</si>
  <si>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</si>
  <si>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</si>
  <si>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</si>
  <si>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</si>
  <si>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</si>
  <si>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</si>
  <si>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</si>
  <si>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</si>
  <si>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</si>
  <si>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</si>
  <si>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</si>
  <si>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</si>
  <si>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</si>
  <si>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</si>
  <si>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</si>
  <si>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</si>
  <si>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</si>
  <si>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</si>
  <si>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</si>
  <si>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</si>
  <si>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</si>
  <si>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</si>
  <si>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</si>
  <si>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</si>
  <si>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</si>
  <si>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</si>
  <si>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</si>
  <si>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</si>
  <si>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</si>
  <si>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</si>
  <si>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</si>
  <si>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</si>
  <si>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</si>
  <si>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</si>
  <si>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</si>
  <si>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</si>
  <si>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</si>
  <si>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</si>
  <si>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</si>
  <si>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</si>
  <si>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</si>
  <si>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</si>
  <si>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</si>
  <si>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</si>
  <si>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</si>
  <si>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</si>
  <si>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</si>
  <si>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</si>
  <si>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</si>
  <si>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</si>
  <si>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</si>
  <si>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</si>
  <si>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</si>
  <si>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</si>
  <si>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</si>
  <si>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</si>
  <si>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</si>
  <si>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</si>
  <si>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</si>
  <si>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</si>
  <si>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</si>
  <si>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</si>
  <si>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</si>
  <si>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</si>
  <si>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</si>
  <si>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</si>
  <si>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</si>
  <si>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</si>
  <si>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</si>
  <si>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</si>
  <si>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</si>
  <si>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</si>
  <si>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</si>
  <si>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</si>
  <si>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</si>
  <si>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</si>
  <si>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</si>
  <si>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</si>
  <si>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</si>
  <si>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</si>
  <si>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</si>
  <si>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</si>
  <si>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</si>
  <si>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</si>
  <si>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</si>
  <si>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</si>
  <si>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</si>
  <si>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</si>
  <si>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</si>
  <si>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</si>
  <si>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</si>
  <si>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</si>
  <si>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</si>
  <si>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</si>
  <si>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</si>
  <si>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</si>
  <si>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</si>
  <si>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</si>
  <si>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</si>
  <si>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</si>
  <si>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</si>
  <si>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</si>
  <si>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</si>
  <si>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</si>
  <si>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</si>
  <si>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</si>
  <si>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</si>
  <si>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</si>
  <si>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</si>
  <si>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</si>
  <si>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</si>
  <si>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</si>
  <si>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</si>
  <si>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</si>
  <si>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</si>
  <si>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</si>
  <si>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</si>
  <si>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</si>
  <si>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</si>
  <si>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</si>
  <si>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</si>
  <si>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</si>
  <si>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</si>
  <si>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</si>
  <si>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</si>
  <si>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</si>
  <si>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</si>
  <si>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</si>
  <si>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</si>
  <si>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</si>
  <si>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</si>
  <si>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</si>
  <si>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</si>
  <si>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</si>
  <si>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</si>
  <si>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</si>
  <si>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</si>
  <si>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</si>
  <si>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</si>
  <si>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</si>
  <si>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</si>
  <si>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</si>
  <si>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</si>
  <si>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</si>
  <si>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</si>
  <si>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</si>
  <si>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</si>
  <si>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</si>
  <si>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</si>
  <si>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</si>
  <si>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</si>
  <si>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</si>
  <si>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</si>
  <si>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</si>
  <si>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</si>
  <si>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</si>
  <si>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</si>
  <si>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</si>
  <si>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</si>
  <si>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</si>
  <si>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</si>
  <si>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</si>
  <si>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</si>
  <si>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</si>
  <si>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</si>
  <si>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</si>
  <si>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</si>
  <si>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</si>
  <si>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</si>
  <si>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</si>
  <si>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</si>
  <si>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</si>
  <si>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</si>
  <si>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</si>
  <si>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</si>
  <si>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</si>
  <si>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</si>
  <si>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</si>
  <si>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</si>
  <si>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</si>
  <si>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</si>
  <si>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</si>
  <si>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</si>
  <si>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</si>
  <si>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</si>
  <si>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</si>
  <si>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</si>
  <si>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</si>
  <si>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</si>
  <si>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</si>
  <si>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</si>
  <si>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</si>
  <si>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</si>
  <si>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</si>
  <si>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</si>
  <si>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</si>
  <si>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</si>
  <si>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</si>
  <si>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</si>
  <si>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</si>
  <si>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</si>
  <si>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</si>
  <si>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</si>
  <si>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</si>
  <si>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</si>
  <si>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</si>
  <si>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</si>
  <si>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</si>
  <si>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</si>
  <si>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</si>
  <si>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</si>
  <si>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</si>
  <si>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</si>
  <si>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</si>
  <si>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</si>
  <si>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</si>
  <si>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</si>
  <si>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</si>
  <si>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</si>
  <si>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</si>
  <si>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</si>
  <si>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</si>
  <si>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</si>
  <si>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</si>
  <si>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</si>
  <si>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</si>
  <si>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</si>
  <si>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</si>
  <si>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</si>
  <si>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</si>
  <si>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</si>
  <si>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</si>
  <si>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</si>
  <si>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</si>
  <si>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</si>
  <si>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</si>
  <si>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</si>
  <si>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</si>
  <si>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</si>
  <si>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</si>
  <si>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</si>
  <si>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</si>
  <si>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</si>
  <si>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</si>
  <si>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</si>
  <si>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</si>
  <si>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</si>
  <si>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</si>
  <si>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</si>
  <si>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</si>
  <si>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</si>
  <si>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</si>
  <si>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</si>
  <si>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</si>
  <si>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</si>
  <si>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</si>
  <si>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</si>
  <si>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</si>
  <si>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</si>
  <si>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</si>
  <si>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</si>
  <si>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</si>
  <si>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</si>
  <si>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</si>
  <si>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</si>
  <si>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</si>
  <si>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</si>
  <si>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</si>
  <si>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</si>
  <si>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</si>
  <si>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</si>
  <si>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</si>
  <si>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</si>
  <si>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</si>
  <si>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</si>
  <si>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</si>
  <si>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</si>
  <si>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</si>
  <si>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</si>
  <si>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</si>
  <si>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</si>
  <si>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</si>
  <si>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</si>
  <si>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</si>
  <si>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</si>
  <si>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</si>
  <si>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</si>
  <si>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</si>
  <si>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</si>
  <si>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</si>
  <si>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</si>
  <si>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Date</t>
  </si>
  <si>
    <t>C:\Temp</t>
  </si>
  <si>
    <t>MARIO ENJUANES</t>
  </si>
  <si>
    <t>E</t>
  </si>
  <si>
    <t>0</t>
  </si>
  <si>
    <t>Very few plays to discuss, and all were questioned in time and corrected very quickly.</t>
  </si>
  <si>
    <t>VYTAUTAS RUDZEVICIUS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</si>
</sst>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0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6" fillId="18" borderId="38" xfId="0" applyFont="1" applyFill="1" applyBorder="1" applyAlignment="1">
      <alignment horizontal="center" vertical="center"/>
    </xf>
    <xf numFmtId="164" fontId="25" fillId="18" borderId="32" xfId="0" applyNumberFormat="1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J5" sqref="J5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54">
        <v>17</v>
      </c>
      <c r="D1" s="122" t="s">
        <v>827</v>
      </c>
      <c r="E1" s="123">
        <v>2025</v>
      </c>
      <c r="F1" s="119" t="str">
        <f>TEXT(C1,"00") &amp; "_" &amp; TEXT(C2,"000")&amp; "_" &amp; H4 &amp; "_" &amp; H5 &amp; "_" &amp; B2</f>
        <v>17_170_ZAL_PAR_E2025</v>
      </c>
      <c r="G1" s="5"/>
      <c r="H1" s="5"/>
      <c r="I1" s="5"/>
      <c r="J1" s="8" t="s">
        <v>707</v>
      </c>
      <c r="K1" s="120" t="s">
        <v>825</v>
      </c>
      <c r="L1" s="120"/>
      <c r="M1" s="121" t="s">
        <v>239</v>
      </c>
      <c r="N1" s="120" t="s">
        <v>825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6" t="str">
        <f>D1&amp;E1</f>
        <v>E2025</v>
      </c>
      <c r="C2" s="155">
        <v>170</v>
      </c>
      <c r="D2" s="114" t="s">
        <v>73</v>
      </c>
      <c r="E2" s="115"/>
      <c r="F2" s="55" t="s">
        <v>112</v>
      </c>
      <c r="G2" s="56" t="s">
        <v>72</v>
      </c>
      <c r="H2" s="5"/>
      <c r="I2" s="5"/>
      <c r="J2" s="8" t="s">
        <v>240</v>
      </c>
      <c r="K2" s="120"/>
      <c r="L2" s="2"/>
      <c r="M2" s="57"/>
      <c r="N2" s="120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4" t="s">
        <v>824</v>
      </c>
      <c r="C3" s="175"/>
      <c r="D3" s="39">
        <v>584</v>
      </c>
      <c r="E3" s="29"/>
      <c r="F3" s="26">
        <f>SUBTOTAL(3,I17:I106)</f>
        <v>1</v>
      </c>
      <c r="G3" s="27">
        <f>IF(OR(D3="",D3=0),"",F3/D3)</f>
        <v>1.7123287671232876E-3</v>
      </c>
      <c r="H3" s="5"/>
      <c r="I3" s="5"/>
      <c r="J3" s="118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6" t="s">
        <v>163</v>
      </c>
      <c r="N3" s="177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78" t="str">
        <f>IF(ISERROR(VLOOKUP(H4,Teams!$B$2:$C$44,2,FALSE)),"Local Team",VLOOKUP(H4,Teams!$B$2:$C$44,2,FALSE))</f>
        <v>Zalgiris Kaunas</v>
      </c>
      <c r="E4" s="179"/>
      <c r="F4" s="179"/>
      <c r="G4" s="180"/>
      <c r="H4" s="117" t="str">
        <f>IF(ISERROR(VLOOKUP($B$2&amp;TEXT($C$2,"000"),GAMES!$A$3:$I$562,6,FALSE)),"LOC",VLOOKUP($B$2&amp;TEXT($C$2,"000"),GAMES!$A$3:$I$562,6,FALSE))</f>
        <v>ZAL</v>
      </c>
      <c r="I4" s="5"/>
      <c r="J4" s="118" t="s">
        <v>714</v>
      </c>
      <c r="K4" s="54" t="s">
        <v>742</v>
      </c>
      <c r="L4" s="5"/>
      <c r="M4" s="182" t="s">
        <v>829</v>
      </c>
      <c r="N4" s="183"/>
      <c r="O4" s="2"/>
      <c r="P4" s="2"/>
      <c r="Q4" s="84" t="s">
        <v>175</v>
      </c>
      <c r="R4" s="94">
        <f>(IF(G3="",0,G3))</f>
        <v>1.7123287671232876E-3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1"/>
      <c r="D5" s="188" t="str">
        <f>IF(ISERROR(VLOOKUP(H5,Teams!$B$2:$C$44,2,FALSE)),"Visitor Team",VLOOKUP(H5,Teams!$B$2:$C$44,2,FALSE))</f>
        <v>Partizan Mozzart Bet Belgrade</v>
      </c>
      <c r="E5" s="189"/>
      <c r="F5" s="189"/>
      <c r="G5" s="190"/>
      <c r="H5" s="117" t="str">
        <f>IF(ISERROR(VLOOKUP($B$2&amp;TEXT($C$2,"000"),GAMES!$A$3:$I$562,7,FALSE)),"VIS",VLOOKUP($B$2&amp;TEXT($C$2,"000"),GAMES!$A$3:$I$562,7,FALSE))</f>
        <v>PAR</v>
      </c>
      <c r="I5" s="5"/>
      <c r="J5" s="5"/>
      <c r="K5" s="5"/>
      <c r="L5" s="5"/>
      <c r="M5" s="184"/>
      <c r="N5" s="185"/>
      <c r="O5" s="2"/>
      <c r="P5" s="2"/>
      <c r="Q5" s="89" t="s">
        <v>174</v>
      </c>
      <c r="R5" s="94">
        <f>R4*R3</f>
        <v>0.17123287671232876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796</v>
      </c>
      <c r="E6" s="159"/>
      <c r="F6" s="159"/>
      <c r="G6" s="160"/>
      <c r="H6" s="5"/>
      <c r="I6" s="5"/>
      <c r="J6" s="5"/>
      <c r="K6" s="5"/>
      <c r="L6" s="2"/>
      <c r="M6" s="186"/>
      <c r="N6" s="187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797</v>
      </c>
      <c r="E7" s="159"/>
      <c r="F7" s="159"/>
      <c r="G7" s="160"/>
      <c r="H7" s="127" t="s">
        <v>709</v>
      </c>
      <c r="I7" s="127" t="s">
        <v>710</v>
      </c>
      <c r="J7" s="127" t="s">
        <v>711</v>
      </c>
      <c r="K7" s="127" t="s">
        <v>712</v>
      </c>
      <c r="L7" s="127" t="s">
        <v>713</v>
      </c>
      <c r="M7" s="58">
        <f>Q7</f>
        <v>2.6712328767123288</v>
      </c>
      <c r="N7" s="58"/>
      <c r="O7" s="2"/>
      <c r="P7" s="2"/>
      <c r="Q7" s="86">
        <f>SUM(R5,S5,AC16)</f>
        <v>2.6712328767123288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798</v>
      </c>
      <c r="E8" s="162"/>
      <c r="F8" s="162"/>
      <c r="G8" s="163"/>
      <c r="H8" s="127" t="s">
        <v>746</v>
      </c>
      <c r="I8" s="127" t="s">
        <v>746</v>
      </c>
      <c r="J8" s="127" t="s">
        <v>747</v>
      </c>
      <c r="K8" s="127" t="s">
        <v>743</v>
      </c>
      <c r="L8" s="127" t="s">
        <v>744</v>
      </c>
      <c r="M8" s="127" t="s">
        <v>108</v>
      </c>
      <c r="N8" s="2"/>
      <c r="O8" s="2"/>
      <c r="P8" s="2"/>
      <c r="Q8" s="85">
        <f>SUM(R5:BA5)</f>
        <v>2.6712328767123288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830</v>
      </c>
      <c r="E9" s="159"/>
      <c r="F9" s="159"/>
      <c r="G9" s="160"/>
      <c r="H9" s="128" t="str">
        <f>VLOOKUP($H$4,Teams!$B$3:$O$44,3,FALSE)</f>
        <v>GIEDRE GARCINSKAITE</v>
      </c>
      <c r="I9" s="128" t="str">
        <f>VLOOKUP($H$4,Teams!$B$3:$O$44,3,FALSE)</f>
        <v>GIEDRE GARCINSKAITE</v>
      </c>
      <c r="J9" s="128" t="str">
        <f>VLOOKUP($H$4,Teams!$B$3:$O$44,5,FALSE)</f>
        <v>AUKSE ZAKRIENE</v>
      </c>
      <c r="K9" s="128" t="str">
        <f>VLOOKUP($H$4,Teams!$B$3:$O$44,6,FALSE)</f>
        <v>GINTARE BUKARTAITE</v>
      </c>
      <c r="L9" s="128" t="str">
        <f>VLOOKUP($H$4,Teams!$B$3:$O$44,7,FALSE)</f>
        <v>MINDAUGAS RUDZEVICIUS</v>
      </c>
      <c r="M9" s="129" t="str">
        <f>VLOOKUP($H$4,Teams!$B$3:$O$44,8,FALSE)</f>
        <v>NERIJUS MAINONIS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58" t="s">
        <v>800</v>
      </c>
      <c r="E10" s="159"/>
      <c r="F10" s="159"/>
      <c r="G10" s="160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64" t="s">
        <v>801</v>
      </c>
      <c r="E11" s="165"/>
      <c r="F11" s="165"/>
      <c r="G11" s="16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170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826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170</v>
      </c>
      <c r="D17" s="32" t="s">
        <v>828</v>
      </c>
      <c r="E17" s="33">
        <v>3</v>
      </c>
      <c r="F17" s="36">
        <v>0</v>
      </c>
      <c r="G17" s="36">
        <v>0</v>
      </c>
      <c r="H17" s="38" t="str">
        <f>IF(I17="","",$I$14)</f>
        <v>SCOUTING</v>
      </c>
      <c r="I17" s="34">
        <v>276</v>
      </c>
      <c r="J17" s="13" t="s">
        <v>4</v>
      </c>
      <c r="K17" s="13" t="s">
        <v>62</v>
      </c>
      <c r="L17" s="13" t="s">
        <v>7</v>
      </c>
      <c r="M17" s="13" t="s">
        <v>27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59DFF9E3-F90E-4A3D-ACE3-A8F8CA0D8C4C}">
      <formula1>$AP$17:$AP$18</formula1>
    </dataValidation>
    <dataValidation type="list" allowBlank="1" showInputMessage="1" showErrorMessage="1" sqref="M12 J12" xr:uid="{5A6654CA-6B20-467C-9220-0A15D6093041}">
      <formula1>$AR$17:$AR$18</formula1>
    </dataValidation>
    <dataValidation type="list" allowBlank="1" showInputMessage="1" showErrorMessage="1" sqref="K12" xr:uid="{3AC3D5B3-3992-4FDB-9066-C5A6248F1A04}">
      <formula1>$AT$17:$AT$19</formula1>
    </dataValidation>
    <dataValidation type="list" allowBlank="1" showInputMessage="1" showErrorMessage="1" sqref="L12" xr:uid="{27B7F927-27B2-4D38-B439-0F1D30FDC2EA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48" customWidth="1"/>
    <col min="3" max="3" width="23.54296875" style="148" bestFit="1" customWidth="1"/>
    <col min="4" max="15" width="14" style="25" customWidth="1"/>
  </cols>
  <sheetData>
    <row r="1" spans="2:15" ht="13" thickBot="1" x14ac:dyDescent="0.3">
      <c r="D1" s="124">
        <v>1</v>
      </c>
      <c r="E1" s="125"/>
      <c r="F1" s="125"/>
      <c r="G1" s="125"/>
      <c r="H1" s="126"/>
      <c r="I1" s="125"/>
      <c r="J1" s="124">
        <v>2</v>
      </c>
      <c r="K1" s="125"/>
      <c r="L1" s="125"/>
      <c r="M1" s="125"/>
      <c r="N1" s="125"/>
      <c r="O1" s="126"/>
    </row>
    <row r="2" spans="2:15" ht="13" thickBot="1" x14ac:dyDescent="0.3">
      <c r="B2" s="148" t="s">
        <v>176</v>
      </c>
      <c r="D2" s="124" t="s">
        <v>709</v>
      </c>
      <c r="E2" s="125" t="s">
        <v>710</v>
      </c>
      <c r="F2" s="125" t="s">
        <v>711</v>
      </c>
      <c r="G2" s="125" t="s">
        <v>712</v>
      </c>
      <c r="H2" s="126" t="s">
        <v>713</v>
      </c>
      <c r="I2" s="125" t="s">
        <v>716</v>
      </c>
      <c r="J2" s="124" t="s">
        <v>709</v>
      </c>
      <c r="K2" s="125" t="s">
        <v>710</v>
      </c>
      <c r="L2" s="125" t="s">
        <v>711</v>
      </c>
      <c r="M2" s="125" t="s">
        <v>712</v>
      </c>
      <c r="N2" s="126" t="s">
        <v>713</v>
      </c>
      <c r="O2" s="126" t="s">
        <v>716</v>
      </c>
    </row>
    <row r="3" spans="2:15" x14ac:dyDescent="0.25">
      <c r="B3" s="149" t="s">
        <v>177</v>
      </c>
      <c r="C3" s="150" t="s">
        <v>227</v>
      </c>
      <c r="D3" s="130" t="s">
        <v>802</v>
      </c>
      <c r="E3" s="131" t="s">
        <v>803</v>
      </c>
      <c r="F3" s="131" t="s">
        <v>804</v>
      </c>
      <c r="G3" s="131" t="s">
        <v>805</v>
      </c>
      <c r="H3" s="131" t="s">
        <v>806</v>
      </c>
      <c r="I3" s="132" t="s">
        <v>807</v>
      </c>
      <c r="J3" s="133"/>
      <c r="K3" s="131"/>
      <c r="L3" s="131"/>
      <c r="M3" s="131"/>
      <c r="N3" s="132"/>
      <c r="O3" s="132"/>
    </row>
    <row r="4" spans="2:15" x14ac:dyDescent="0.25">
      <c r="B4" s="151" t="s">
        <v>178</v>
      </c>
      <c r="C4" s="148" t="s">
        <v>223</v>
      </c>
      <c r="D4" s="134" t="s">
        <v>763</v>
      </c>
      <c r="E4" s="135" t="s">
        <v>764</v>
      </c>
      <c r="F4" s="135" t="s">
        <v>765</v>
      </c>
      <c r="G4" s="135" t="s">
        <v>766</v>
      </c>
      <c r="H4" s="135" t="s">
        <v>767</v>
      </c>
      <c r="I4" s="136" t="s">
        <v>768</v>
      </c>
      <c r="J4" s="137"/>
      <c r="K4" s="135"/>
      <c r="L4" s="135"/>
      <c r="M4" s="135"/>
      <c r="N4" s="138"/>
      <c r="O4" s="136"/>
    </row>
    <row r="5" spans="2:15" x14ac:dyDescent="0.25">
      <c r="B5" s="151" t="s">
        <v>179</v>
      </c>
      <c r="C5" s="148" t="s">
        <v>219</v>
      </c>
      <c r="D5" s="134"/>
      <c r="E5" s="135"/>
      <c r="F5" s="135"/>
      <c r="G5" s="135"/>
      <c r="H5" s="135"/>
      <c r="I5" s="136"/>
      <c r="J5" s="137"/>
      <c r="K5" s="135"/>
      <c r="L5" s="135"/>
      <c r="M5" s="135"/>
      <c r="N5" s="138"/>
      <c r="O5" s="136"/>
    </row>
    <row r="6" spans="2:15" x14ac:dyDescent="0.25">
      <c r="B6" s="151" t="s">
        <v>180</v>
      </c>
      <c r="C6" s="148" t="s">
        <v>221</v>
      </c>
      <c r="D6" s="134" t="s">
        <v>786</v>
      </c>
      <c r="E6" s="135" t="s">
        <v>787</v>
      </c>
      <c r="F6" s="135" t="s">
        <v>788</v>
      </c>
      <c r="G6" s="135" t="s">
        <v>779</v>
      </c>
      <c r="H6" s="135" t="s">
        <v>778</v>
      </c>
      <c r="I6" s="136" t="s">
        <v>789</v>
      </c>
      <c r="J6" s="137"/>
      <c r="K6" s="135"/>
      <c r="L6" s="135"/>
      <c r="M6" s="135"/>
      <c r="N6" s="138"/>
      <c r="O6" s="136"/>
    </row>
    <row r="7" spans="2:15" x14ac:dyDescent="0.25">
      <c r="B7" s="151" t="s">
        <v>181</v>
      </c>
      <c r="C7" s="148" t="s">
        <v>226</v>
      </c>
      <c r="D7" s="134" t="s">
        <v>729</v>
      </c>
      <c r="E7" s="135" t="s">
        <v>753</v>
      </c>
      <c r="F7" s="135" t="s">
        <v>754</v>
      </c>
      <c r="G7" s="135" t="s">
        <v>755</v>
      </c>
      <c r="H7" s="135" t="s">
        <v>756</v>
      </c>
      <c r="I7" s="135" t="s">
        <v>823</v>
      </c>
      <c r="J7" s="137"/>
      <c r="K7" s="135"/>
      <c r="L7" s="135"/>
      <c r="M7" s="135"/>
      <c r="N7" s="138"/>
      <c r="O7" s="136"/>
    </row>
    <row r="8" spans="2:15" x14ac:dyDescent="0.25">
      <c r="B8" s="151" t="s">
        <v>182</v>
      </c>
      <c r="C8" s="148" t="s">
        <v>217</v>
      </c>
      <c r="D8" s="134" t="s">
        <v>735</v>
      </c>
      <c r="E8" s="135" t="s">
        <v>769</v>
      </c>
      <c r="F8" s="135" t="s">
        <v>770</v>
      </c>
      <c r="G8" s="135" t="s">
        <v>771</v>
      </c>
      <c r="H8" s="135" t="s">
        <v>772</v>
      </c>
      <c r="I8" s="136" t="s">
        <v>740</v>
      </c>
      <c r="J8" s="137" t="s">
        <v>717</v>
      </c>
      <c r="K8" s="135" t="s">
        <v>718</v>
      </c>
      <c r="L8" s="135" t="s">
        <v>719</v>
      </c>
      <c r="M8" s="135" t="s">
        <v>720</v>
      </c>
      <c r="N8" s="138" t="s">
        <v>721</v>
      </c>
      <c r="O8" s="136" t="s">
        <v>722</v>
      </c>
    </row>
    <row r="9" spans="2:15" x14ac:dyDescent="0.25">
      <c r="B9" s="151" t="s">
        <v>183</v>
      </c>
      <c r="C9" s="148" t="s">
        <v>233</v>
      </c>
      <c r="D9" s="134" t="s">
        <v>817</v>
      </c>
      <c r="E9" s="135" t="s">
        <v>818</v>
      </c>
      <c r="F9" s="135" t="s">
        <v>819</v>
      </c>
      <c r="G9" s="135" t="s">
        <v>820</v>
      </c>
      <c r="H9" s="135" t="s">
        <v>821</v>
      </c>
      <c r="I9" s="136" t="s">
        <v>822</v>
      </c>
      <c r="J9" s="137"/>
      <c r="K9" s="135"/>
      <c r="L9" s="135"/>
      <c r="M9" s="135"/>
      <c r="N9" s="138"/>
      <c r="O9" s="136"/>
    </row>
    <row r="10" spans="2:15" x14ac:dyDescent="0.25">
      <c r="B10" s="151" t="s">
        <v>184</v>
      </c>
      <c r="C10" s="148" t="s">
        <v>218</v>
      </c>
      <c r="D10" s="134" t="s">
        <v>808</v>
      </c>
      <c r="E10" s="135" t="s">
        <v>809</v>
      </c>
      <c r="F10" s="135" t="s">
        <v>810</v>
      </c>
      <c r="G10" s="135" t="s">
        <v>811</v>
      </c>
      <c r="H10" s="135" t="s">
        <v>812</v>
      </c>
      <c r="I10" s="136" t="s">
        <v>813</v>
      </c>
      <c r="J10" s="137"/>
      <c r="K10" s="135"/>
      <c r="L10" s="135"/>
      <c r="M10" s="135"/>
      <c r="N10" s="138"/>
      <c r="O10" s="136"/>
    </row>
    <row r="11" spans="2:15" x14ac:dyDescent="0.25">
      <c r="B11" s="151" t="s">
        <v>185</v>
      </c>
      <c r="C11" s="148" t="s">
        <v>222</v>
      </c>
      <c r="D11" s="134"/>
      <c r="E11" s="135"/>
      <c r="F11" s="135"/>
      <c r="G11" s="135"/>
      <c r="H11" s="135"/>
      <c r="I11" s="136"/>
      <c r="J11" s="137"/>
      <c r="K11" s="135"/>
      <c r="L11" s="135"/>
      <c r="M11" s="135"/>
      <c r="N11" s="138"/>
      <c r="O11" s="136"/>
    </row>
    <row r="12" spans="2:15" x14ac:dyDescent="0.25">
      <c r="B12" s="151" t="s">
        <v>186</v>
      </c>
      <c r="C12" s="148" t="s">
        <v>224</v>
      </c>
      <c r="D12" s="134" t="s">
        <v>723</v>
      </c>
      <c r="E12" s="135" t="s">
        <v>724</v>
      </c>
      <c r="F12" s="135" t="s">
        <v>725</v>
      </c>
      <c r="G12" s="135" t="s">
        <v>726</v>
      </c>
      <c r="H12" s="135" t="s">
        <v>727</v>
      </c>
      <c r="I12" s="136" t="s">
        <v>728</v>
      </c>
      <c r="J12" s="137"/>
      <c r="K12" s="135"/>
      <c r="L12" s="135"/>
      <c r="M12" s="135"/>
      <c r="N12" s="138"/>
      <c r="O12" s="136"/>
    </row>
    <row r="13" spans="2:15" x14ac:dyDescent="0.25">
      <c r="B13" s="151" t="s">
        <v>187</v>
      </c>
      <c r="C13" s="148" t="s">
        <v>229</v>
      </c>
      <c r="D13" s="134" t="s">
        <v>757</v>
      </c>
      <c r="E13" s="135" t="s">
        <v>758</v>
      </c>
      <c r="F13" s="135" t="s">
        <v>759</v>
      </c>
      <c r="G13" s="135" t="s">
        <v>760</v>
      </c>
      <c r="H13" s="135" t="s">
        <v>761</v>
      </c>
      <c r="I13" s="136" t="s">
        <v>762</v>
      </c>
      <c r="J13" s="137"/>
      <c r="K13" s="135" t="s">
        <v>773</v>
      </c>
      <c r="L13" s="135"/>
      <c r="M13" s="135"/>
      <c r="N13" s="138"/>
      <c r="O13" s="136"/>
    </row>
    <row r="14" spans="2:15" x14ac:dyDescent="0.25">
      <c r="B14" s="151" t="s">
        <v>188</v>
      </c>
      <c r="C14" s="148" t="s">
        <v>234</v>
      </c>
      <c r="D14" s="134" t="s">
        <v>780</v>
      </c>
      <c r="E14" s="135" t="s">
        <v>781</v>
      </c>
      <c r="F14" s="135" t="s">
        <v>782</v>
      </c>
      <c r="G14" s="135" t="s">
        <v>783</v>
      </c>
      <c r="H14" s="135" t="s">
        <v>784</v>
      </c>
      <c r="I14" s="136" t="s">
        <v>785</v>
      </c>
      <c r="J14" s="137"/>
      <c r="K14" s="135" t="s">
        <v>774</v>
      </c>
      <c r="L14" s="135"/>
      <c r="M14" s="135"/>
      <c r="N14" s="138"/>
      <c r="O14" s="136"/>
    </row>
    <row r="15" spans="2:15" x14ac:dyDescent="0.25">
      <c r="B15" s="151" t="s">
        <v>189</v>
      </c>
      <c r="C15" s="148" t="s">
        <v>230</v>
      </c>
      <c r="D15" s="134" t="s">
        <v>729</v>
      </c>
      <c r="E15" s="135" t="s">
        <v>730</v>
      </c>
      <c r="F15" s="135" t="s">
        <v>731</v>
      </c>
      <c r="G15" s="135" t="s">
        <v>732</v>
      </c>
      <c r="H15" s="135" t="s">
        <v>733</v>
      </c>
      <c r="I15" s="136" t="s">
        <v>734</v>
      </c>
      <c r="J15" s="137"/>
      <c r="K15" s="135" t="s">
        <v>775</v>
      </c>
      <c r="L15" s="135"/>
      <c r="M15" s="135"/>
      <c r="N15" s="138"/>
      <c r="O15" s="136"/>
    </row>
    <row r="16" spans="2:15" x14ac:dyDescent="0.25">
      <c r="B16" s="151" t="s">
        <v>190</v>
      </c>
      <c r="C16" s="148" t="s">
        <v>232</v>
      </c>
      <c r="D16" s="134" t="s">
        <v>746</v>
      </c>
      <c r="E16" s="135" t="s">
        <v>745</v>
      </c>
      <c r="F16" s="135" t="s">
        <v>747</v>
      </c>
      <c r="G16" s="135" t="s">
        <v>743</v>
      </c>
      <c r="H16" s="135" t="s">
        <v>744</v>
      </c>
      <c r="I16" s="135" t="s">
        <v>779</v>
      </c>
      <c r="J16" s="137"/>
      <c r="K16" s="135" t="s">
        <v>776</v>
      </c>
      <c r="L16" s="135"/>
      <c r="M16" s="135"/>
      <c r="N16" s="138"/>
      <c r="O16" s="136"/>
    </row>
    <row r="17" spans="2:15" x14ac:dyDescent="0.25">
      <c r="B17" s="151" t="s">
        <v>191</v>
      </c>
      <c r="C17" s="148" t="s">
        <v>231</v>
      </c>
      <c r="D17" s="134" t="s">
        <v>748</v>
      </c>
      <c r="E17" s="135" t="s">
        <v>749</v>
      </c>
      <c r="F17" s="135" t="s">
        <v>750</v>
      </c>
      <c r="G17" s="135" t="s">
        <v>751</v>
      </c>
      <c r="H17" s="135" t="s">
        <v>752</v>
      </c>
      <c r="I17" s="136"/>
      <c r="J17" s="137"/>
      <c r="K17" s="135" t="s">
        <v>777</v>
      </c>
      <c r="L17" s="135"/>
      <c r="M17" s="135"/>
      <c r="N17" s="138"/>
      <c r="O17" s="136"/>
    </row>
    <row r="18" spans="2:15" x14ac:dyDescent="0.25">
      <c r="B18" s="151" t="s">
        <v>192</v>
      </c>
      <c r="C18" s="148" t="s">
        <v>220</v>
      </c>
      <c r="D18" s="134" t="s">
        <v>790</v>
      </c>
      <c r="E18" s="135" t="s">
        <v>791</v>
      </c>
      <c r="F18" s="135" t="s">
        <v>792</v>
      </c>
      <c r="G18" s="135" t="s">
        <v>793</v>
      </c>
      <c r="H18" s="135" t="s">
        <v>794</v>
      </c>
      <c r="I18" s="136" t="s">
        <v>795</v>
      </c>
      <c r="J18" s="137"/>
      <c r="K18" s="135"/>
      <c r="L18" s="135"/>
      <c r="M18" s="135"/>
      <c r="N18" s="138"/>
      <c r="O18" s="136"/>
    </row>
    <row r="19" spans="2:15" x14ac:dyDescent="0.25">
      <c r="B19" s="151" t="s">
        <v>193</v>
      </c>
      <c r="C19" s="148" t="s">
        <v>228</v>
      </c>
      <c r="D19" s="134" t="s">
        <v>814</v>
      </c>
      <c r="E19" s="135" t="s">
        <v>791</v>
      </c>
      <c r="F19" s="135" t="s">
        <v>815</v>
      </c>
      <c r="G19" s="135" t="s">
        <v>816</v>
      </c>
      <c r="H19" s="135" t="s">
        <v>794</v>
      </c>
      <c r="I19" s="136" t="s">
        <v>795</v>
      </c>
      <c r="J19" s="137" t="s">
        <v>773</v>
      </c>
      <c r="K19" s="135" t="s">
        <v>774</v>
      </c>
      <c r="L19" s="135" t="s">
        <v>775</v>
      </c>
      <c r="M19" s="135" t="s">
        <v>776</v>
      </c>
      <c r="N19" s="138" t="s">
        <v>777</v>
      </c>
      <c r="O19" s="136"/>
    </row>
    <row r="20" spans="2:15" x14ac:dyDescent="0.25">
      <c r="B20" s="151" t="s">
        <v>194</v>
      </c>
      <c r="C20" s="148" t="s">
        <v>225</v>
      </c>
      <c r="D20" s="134" t="s">
        <v>735</v>
      </c>
      <c r="E20" s="135" t="s">
        <v>736</v>
      </c>
      <c r="F20" s="135" t="s">
        <v>737</v>
      </c>
      <c r="G20" s="135" t="s">
        <v>738</v>
      </c>
      <c r="H20" s="135" t="s">
        <v>739</v>
      </c>
      <c r="I20" s="136" t="s">
        <v>740</v>
      </c>
      <c r="J20" s="137"/>
      <c r="K20" s="135"/>
      <c r="L20" s="135"/>
      <c r="M20" s="135"/>
      <c r="N20" s="138"/>
      <c r="O20" s="136"/>
    </row>
    <row r="21" spans="2:15" x14ac:dyDescent="0.25">
      <c r="B21" s="151" t="s">
        <v>195</v>
      </c>
      <c r="C21" s="148" t="s">
        <v>235</v>
      </c>
      <c r="D21" s="134"/>
      <c r="E21" s="135"/>
      <c r="F21" s="135"/>
      <c r="G21" s="135"/>
      <c r="H21" s="135"/>
      <c r="I21" s="136"/>
      <c r="J21" s="137"/>
      <c r="K21" s="135"/>
      <c r="L21" s="135"/>
      <c r="M21" s="135"/>
      <c r="N21" s="138"/>
      <c r="O21" s="136"/>
    </row>
    <row r="22" spans="2:15" ht="13" thickBot="1" x14ac:dyDescent="0.3">
      <c r="B22" s="152" t="s">
        <v>196</v>
      </c>
      <c r="C22" s="153" t="s">
        <v>236</v>
      </c>
      <c r="D22" s="139" t="s">
        <v>796</v>
      </c>
      <c r="E22" s="140" t="s">
        <v>797</v>
      </c>
      <c r="F22" s="140" t="s">
        <v>798</v>
      </c>
      <c r="G22" s="140" t="s">
        <v>799</v>
      </c>
      <c r="H22" s="140" t="s">
        <v>800</v>
      </c>
      <c r="I22" s="141" t="s">
        <v>801</v>
      </c>
      <c r="J22" s="142"/>
      <c r="K22" s="140"/>
      <c r="L22" s="140"/>
      <c r="M22" s="140"/>
      <c r="N22" s="143"/>
      <c r="O22" s="141"/>
    </row>
    <row r="23" spans="2:15" x14ac:dyDescent="0.25">
      <c r="B23" s="149" t="s">
        <v>197</v>
      </c>
      <c r="C23" s="150" t="s">
        <v>241</v>
      </c>
      <c r="D23" s="144"/>
      <c r="E23" s="145"/>
      <c r="F23" s="145"/>
      <c r="G23" s="145"/>
      <c r="H23" s="145"/>
      <c r="I23" s="145"/>
      <c r="J23" s="145"/>
      <c r="K23" s="145"/>
      <c r="L23" s="145"/>
      <c r="M23" s="145"/>
      <c r="N23" s="146"/>
      <c r="O23" s="147"/>
    </row>
    <row r="24" spans="2:15" x14ac:dyDescent="0.25">
      <c r="B24" s="151" t="s">
        <v>198</v>
      </c>
      <c r="C24" s="148" t="s">
        <v>242</v>
      </c>
      <c r="D24" s="134"/>
      <c r="E24" s="135"/>
      <c r="F24" s="135"/>
      <c r="G24" s="135"/>
      <c r="H24" s="135"/>
      <c r="I24" s="135"/>
      <c r="J24" s="135"/>
      <c r="K24" s="135"/>
      <c r="L24" s="135"/>
      <c r="M24" s="135"/>
      <c r="N24" s="138"/>
      <c r="O24" s="136"/>
    </row>
    <row r="25" spans="2:15" x14ac:dyDescent="0.25">
      <c r="B25" s="151" t="s">
        <v>199</v>
      </c>
      <c r="C25" s="148" t="s">
        <v>244</v>
      </c>
      <c r="D25" s="134"/>
      <c r="E25" s="135"/>
      <c r="F25" s="135"/>
      <c r="G25" s="135"/>
      <c r="H25" s="135"/>
      <c r="I25" s="135"/>
      <c r="J25" s="135"/>
      <c r="K25" s="135"/>
      <c r="L25" s="135"/>
      <c r="M25" s="135"/>
      <c r="N25" s="138"/>
      <c r="O25" s="136"/>
    </row>
    <row r="26" spans="2:15" x14ac:dyDescent="0.25">
      <c r="B26" s="151" t="s">
        <v>200</v>
      </c>
      <c r="C26" s="148" t="s">
        <v>247</v>
      </c>
      <c r="D26" s="134"/>
      <c r="E26" s="135"/>
      <c r="F26" s="135"/>
      <c r="G26" s="135"/>
      <c r="H26" s="135"/>
      <c r="I26" s="135"/>
      <c r="J26" s="135"/>
      <c r="K26" s="135"/>
      <c r="L26" s="135"/>
      <c r="M26" s="135"/>
      <c r="N26" s="138"/>
      <c r="O26" s="136"/>
    </row>
    <row r="27" spans="2:15" x14ac:dyDescent="0.25">
      <c r="B27" s="151" t="s">
        <v>201</v>
      </c>
      <c r="C27" s="148" t="s">
        <v>245</v>
      </c>
      <c r="D27" s="134"/>
      <c r="E27" s="135"/>
      <c r="F27" s="135"/>
      <c r="G27" s="135"/>
      <c r="H27" s="135"/>
      <c r="I27" s="135"/>
      <c r="J27" s="135"/>
      <c r="K27" s="135"/>
      <c r="L27" s="135"/>
      <c r="M27" s="135"/>
      <c r="N27" s="138"/>
      <c r="O27" s="136"/>
    </row>
    <row r="28" spans="2:15" x14ac:dyDescent="0.25">
      <c r="B28" s="151" t="s">
        <v>202</v>
      </c>
      <c r="C28" s="148" t="s">
        <v>258</v>
      </c>
      <c r="D28" s="134"/>
      <c r="E28" s="135"/>
      <c r="F28" s="135"/>
      <c r="G28" s="135"/>
      <c r="H28" s="135"/>
      <c r="I28" s="135"/>
      <c r="J28" s="135"/>
      <c r="K28" s="135"/>
      <c r="L28" s="135"/>
      <c r="M28" s="135"/>
      <c r="N28" s="138"/>
      <c r="O28" s="136"/>
    </row>
    <row r="29" spans="2:15" x14ac:dyDescent="0.25">
      <c r="B29" s="151" t="s">
        <v>203</v>
      </c>
      <c r="C29" s="148" t="s">
        <v>260</v>
      </c>
      <c r="D29" s="134"/>
      <c r="E29" s="135"/>
      <c r="F29" s="135"/>
      <c r="G29" s="135"/>
      <c r="H29" s="135"/>
      <c r="I29" s="135"/>
      <c r="J29" s="135"/>
      <c r="K29" s="135"/>
      <c r="L29" s="135"/>
      <c r="M29" s="135"/>
      <c r="N29" s="138"/>
      <c r="O29" s="136"/>
    </row>
    <row r="30" spans="2:15" x14ac:dyDescent="0.25">
      <c r="B30" s="151" t="s">
        <v>204</v>
      </c>
      <c r="C30" s="148" t="s">
        <v>249</v>
      </c>
      <c r="D30" s="134" t="s">
        <v>746</v>
      </c>
      <c r="E30" s="135" t="s">
        <v>745</v>
      </c>
      <c r="F30" s="135" t="s">
        <v>747</v>
      </c>
      <c r="G30" s="135" t="s">
        <v>743</v>
      </c>
      <c r="H30" s="135" t="s">
        <v>744</v>
      </c>
      <c r="I30" s="135"/>
      <c r="J30" s="135"/>
      <c r="K30" s="135"/>
      <c r="L30" s="135"/>
      <c r="M30" s="135"/>
      <c r="N30" s="138"/>
      <c r="O30" s="136"/>
    </row>
    <row r="31" spans="2:15" x14ac:dyDescent="0.25">
      <c r="B31" s="151" t="s">
        <v>205</v>
      </c>
      <c r="C31" s="148" t="s">
        <v>252</v>
      </c>
      <c r="D31" s="134"/>
      <c r="E31" s="135"/>
      <c r="F31" s="135"/>
      <c r="G31" s="135"/>
      <c r="H31" s="135"/>
      <c r="I31" s="135"/>
      <c r="J31" s="135"/>
      <c r="K31" s="135"/>
      <c r="L31" s="135"/>
      <c r="M31" s="135"/>
      <c r="N31" s="138"/>
      <c r="O31" s="136"/>
    </row>
    <row r="32" spans="2:15" x14ac:dyDescent="0.25">
      <c r="B32" s="151" t="s">
        <v>206</v>
      </c>
      <c r="C32" s="148" t="s">
        <v>246</v>
      </c>
      <c r="D32" s="134"/>
      <c r="E32" s="135"/>
      <c r="F32" s="135"/>
      <c r="G32" s="135"/>
      <c r="H32" s="135"/>
      <c r="I32" s="135"/>
      <c r="J32" s="135"/>
      <c r="K32" s="135"/>
      <c r="L32" s="135"/>
      <c r="M32" s="135"/>
      <c r="N32" s="138"/>
      <c r="O32" s="136"/>
    </row>
    <row r="33" spans="2:15" x14ac:dyDescent="0.25">
      <c r="B33" s="151" t="s">
        <v>207</v>
      </c>
      <c r="C33" s="148" t="s">
        <v>250</v>
      </c>
      <c r="D33" s="134"/>
      <c r="E33" s="135"/>
      <c r="F33" s="135"/>
      <c r="G33" s="135"/>
      <c r="H33" s="135"/>
      <c r="I33" s="135"/>
      <c r="J33" s="135"/>
      <c r="K33" s="135"/>
      <c r="L33" s="135"/>
      <c r="M33" s="135"/>
      <c r="N33" s="138"/>
      <c r="O33" s="136"/>
    </row>
    <row r="34" spans="2:15" x14ac:dyDescent="0.25">
      <c r="B34" s="151" t="s">
        <v>208</v>
      </c>
      <c r="C34" s="148" t="s">
        <v>251</v>
      </c>
      <c r="D34" s="134"/>
      <c r="E34" s="135"/>
      <c r="F34" s="135"/>
      <c r="G34" s="135"/>
      <c r="H34" s="135"/>
      <c r="I34" s="135"/>
      <c r="J34" s="135"/>
      <c r="K34" s="135"/>
      <c r="L34" s="135"/>
      <c r="M34" s="135"/>
      <c r="N34" s="138"/>
      <c r="O34" s="136"/>
    </row>
    <row r="35" spans="2:15" x14ac:dyDescent="0.25">
      <c r="B35" s="151" t="s">
        <v>209</v>
      </c>
      <c r="C35" s="148" t="s">
        <v>243</v>
      </c>
      <c r="D35" s="134"/>
      <c r="E35" s="135"/>
      <c r="F35" s="135"/>
      <c r="G35" s="135"/>
      <c r="H35" s="135"/>
      <c r="I35" s="135"/>
      <c r="J35" s="135"/>
      <c r="K35" s="135"/>
      <c r="L35" s="135"/>
      <c r="M35" s="135"/>
      <c r="N35" s="138"/>
      <c r="O35" s="136"/>
    </row>
    <row r="36" spans="2:15" x14ac:dyDescent="0.25">
      <c r="B36" s="151" t="s">
        <v>210</v>
      </c>
      <c r="C36" s="148" t="s">
        <v>253</v>
      </c>
      <c r="D36" s="134"/>
      <c r="E36" s="135"/>
      <c r="F36" s="135"/>
      <c r="G36" s="135"/>
      <c r="H36" s="135"/>
      <c r="I36" s="135"/>
      <c r="J36" s="135"/>
      <c r="K36" s="135"/>
      <c r="L36" s="135"/>
      <c r="M36" s="135"/>
      <c r="N36" s="138"/>
      <c r="O36" s="136"/>
    </row>
    <row r="37" spans="2:15" x14ac:dyDescent="0.25">
      <c r="B37" s="151" t="s">
        <v>211</v>
      </c>
      <c r="C37" s="148" t="s">
        <v>254</v>
      </c>
      <c r="D37" s="134"/>
      <c r="E37" s="135"/>
      <c r="F37" s="135"/>
      <c r="G37" s="135"/>
      <c r="H37" s="135"/>
      <c r="I37" s="135"/>
      <c r="J37" s="135"/>
      <c r="K37" s="135"/>
      <c r="L37" s="135"/>
      <c r="M37" s="135"/>
      <c r="N37" s="138"/>
      <c r="O37" s="136"/>
    </row>
    <row r="38" spans="2:15" x14ac:dyDescent="0.25">
      <c r="B38" s="151" t="s">
        <v>212</v>
      </c>
      <c r="C38" s="148" t="s">
        <v>248</v>
      </c>
      <c r="D38" s="134"/>
      <c r="E38" s="135"/>
      <c r="F38" s="135"/>
      <c r="G38" s="135"/>
      <c r="H38" s="135"/>
      <c r="I38" s="135"/>
      <c r="J38" s="135"/>
      <c r="K38" s="135"/>
      <c r="L38" s="135"/>
      <c r="M38" s="135"/>
      <c r="N38" s="138"/>
      <c r="O38" s="136"/>
    </row>
    <row r="39" spans="2:15" x14ac:dyDescent="0.25">
      <c r="B39" s="151" t="s">
        <v>213</v>
      </c>
      <c r="C39" s="148" t="s">
        <v>257</v>
      </c>
      <c r="D39" s="134"/>
      <c r="E39" s="135"/>
      <c r="F39" s="135"/>
      <c r="G39" s="135"/>
      <c r="H39" s="135"/>
      <c r="I39" s="135"/>
      <c r="J39" s="135"/>
      <c r="K39" s="135"/>
      <c r="L39" s="135"/>
      <c r="M39" s="135"/>
      <c r="N39" s="138"/>
      <c r="O39" s="136"/>
    </row>
    <row r="40" spans="2:15" x14ac:dyDescent="0.25">
      <c r="B40" s="151" t="s">
        <v>214</v>
      </c>
      <c r="C40" s="148" t="s">
        <v>255</v>
      </c>
      <c r="D40" s="134"/>
      <c r="E40" s="135"/>
      <c r="F40" s="135"/>
      <c r="G40" s="135"/>
      <c r="H40" s="135"/>
      <c r="I40" s="135"/>
      <c r="J40" s="135"/>
      <c r="K40" s="135"/>
      <c r="L40" s="135"/>
      <c r="M40" s="135"/>
      <c r="N40" s="138"/>
      <c r="O40" s="136"/>
    </row>
    <row r="41" spans="2:15" x14ac:dyDescent="0.25">
      <c r="B41" s="151" t="s">
        <v>215</v>
      </c>
      <c r="C41" s="148" t="s">
        <v>259</v>
      </c>
      <c r="D41" s="134"/>
      <c r="E41" s="135"/>
      <c r="F41" s="135"/>
      <c r="G41" s="135"/>
      <c r="H41" s="135"/>
      <c r="I41" s="135"/>
      <c r="J41" s="135"/>
      <c r="K41" s="135"/>
      <c r="L41" s="135"/>
      <c r="M41" s="135"/>
      <c r="N41" s="138"/>
      <c r="O41" s="136"/>
    </row>
    <row r="42" spans="2:15" x14ac:dyDescent="0.25">
      <c r="B42" s="151" t="s">
        <v>216</v>
      </c>
      <c r="C42" s="148" t="s">
        <v>256</v>
      </c>
      <c r="D42" s="134"/>
      <c r="E42" s="135"/>
      <c r="F42" s="135"/>
      <c r="G42" s="135"/>
      <c r="H42" s="135"/>
      <c r="I42" s="135"/>
      <c r="J42" s="135"/>
      <c r="K42" s="135"/>
      <c r="L42" s="135"/>
      <c r="M42" s="135"/>
      <c r="N42" s="138"/>
      <c r="O42" s="136"/>
    </row>
    <row r="43" spans="2:15" x14ac:dyDescent="0.25">
      <c r="B43" s="151" t="s">
        <v>237</v>
      </c>
      <c r="C43" s="148" t="s">
        <v>705</v>
      </c>
      <c r="D43" s="134"/>
      <c r="E43" s="135"/>
      <c r="F43" s="135"/>
      <c r="G43" s="135"/>
      <c r="H43" s="135"/>
      <c r="I43" s="135"/>
      <c r="J43" s="135"/>
      <c r="K43" s="135"/>
      <c r="L43" s="135"/>
      <c r="M43" s="135"/>
      <c r="N43" s="138"/>
      <c r="O43" s="136"/>
    </row>
    <row r="44" spans="2:15" ht="13" thickBot="1" x14ac:dyDescent="0.3">
      <c r="B44" s="152" t="s">
        <v>238</v>
      </c>
      <c r="C44" s="153" t="s">
        <v>706</v>
      </c>
      <c r="D44" s="139"/>
      <c r="E44" s="140"/>
      <c r="F44" s="140"/>
      <c r="G44" s="140"/>
      <c r="H44" s="140"/>
      <c r="I44" s="140"/>
      <c r="J44" s="140"/>
      <c r="K44" s="140"/>
      <c r="L44" s="140"/>
      <c r="M44" s="140"/>
      <c r="N44" s="143"/>
      <c r="O44" s="141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2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REPORT_E2025170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"E2025170"</v>
      </c>
      <c r="F3" s="45" t="str">
        <f t="shared" ref="F3:F16" si="0">""""&amp;B3&amp;"""" &amp; " : " &amp;C3&amp;","</f>
        <v>"name" : "E2025170",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"E170"</v>
      </c>
      <c r="F4" s="45" t="str">
        <f t="shared" si="0"/>
        <v>"cod" : "E170",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170</v>
      </c>
      <c r="F6" s="45" t="str">
        <f t="shared" si="0"/>
        <v>"number" : 170,</v>
      </c>
    </row>
    <row r="7" spans="2:6" x14ac:dyDescent="0.25">
      <c r="B7" s="43" t="s">
        <v>116</v>
      </c>
      <c r="C7" s="43" t="str">
        <f>""""&amp;TEXT('SCOUT &amp; LOGISTICS'!B3,"dd/mm/aaaa")&amp;""""</f>
        <v>"Date"</v>
      </c>
      <c r="F7" s="45" t="str">
        <f t="shared" si="0"/>
        <v>"date" : "Date",</v>
      </c>
    </row>
    <row r="8" spans="2:6" x14ac:dyDescent="0.25">
      <c r="B8" s="43" t="s">
        <v>125</v>
      </c>
      <c r="C8" s="43" t="str">
        <f>""""&amp;'SCOUT &amp; LOGISTICS'!D4 &amp;""""</f>
        <v>"Zalgiris Kaunas"</v>
      </c>
      <c r="F8" s="45" t="str">
        <f t="shared" si="0"/>
        <v>"home_team" : "Zalgiris Kaunas",</v>
      </c>
    </row>
    <row r="9" spans="2:6" x14ac:dyDescent="0.25">
      <c r="B9" s="43" t="s">
        <v>126</v>
      </c>
      <c r="C9" s="43" t="str">
        <f>""""&amp;'SCOUT &amp; LOGISTICS'!D5&amp;""""</f>
        <v>"Partizan Mozzart Bet Belgrade"</v>
      </c>
      <c r="F9" s="45" t="str">
        <f t="shared" si="0"/>
        <v>"away_team" : "Partizan Mozzart Bet Belgrade",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"GIEDRE GARCINSKAITE"</v>
      </c>
      <c r="F10" s="45" t="str">
        <f t="shared" si="0"/>
        <v>"Data_entry" : "GIEDRE GARCINSKAITE",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"RASA KIZIKAITE"</v>
      </c>
      <c r="F11" s="45" t="str">
        <f t="shared" si="0"/>
        <v>"Caller_1" : "RASA KIZIKAITE",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"AUKSE ZAKRIENE"</v>
      </c>
      <c r="F12" s="45" t="str">
        <f t="shared" si="0"/>
        <v>"Caller_2" : "AUKSE ZAKRIENE",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"VYTAUTAS RUDZEVICIUS"</v>
      </c>
      <c r="F13" s="45" t="str">
        <f t="shared" si="0"/>
        <v>"Timerkeeper" : "VYTAUTAS RUDZEVICIUS",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"MINDAUGAS RUDZEVICIUS"</v>
      </c>
      <c r="F14" s="45" t="str">
        <f t="shared" si="0"/>
        <v>"Shotclock" : "MINDAUGAS RUDZEVICIUS",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"NERIJUS MAINONIS"</v>
      </c>
      <c r="F15" s="45" t="str">
        <f t="shared" si="0"/>
        <v>"IRS" : "NERIJUS MAINONIS",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584</v>
      </c>
      <c r="F25" s="45" t="str">
        <f t="shared" ref="F25:F48" si="1">""""&amp;C25&amp;"""" &amp; " : " &amp;D25&amp;","</f>
        <v>"total_actions" : 584,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"0,2%"</v>
      </c>
      <c r="F27" s="45" t="str">
        <f t="shared" si="1"/>
        <v>"%_corrections" : "0,2%",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few plays to discuss, and all were questioned in time and corrected very quickly."</v>
      </c>
      <c r="F51" s="45" t="str">
        <f>""""&amp;B51&amp;"""" &amp; " : " &amp;C51&amp;","</f>
        <v>"comments" : "Very few plays to discuss, and all were questioned in time and corrected very quickly.",</v>
      </c>
    </row>
    <row r="52" spans="2:6" x14ac:dyDescent="0.25">
      <c r="B52" s="43" t="s">
        <v>153</v>
      </c>
      <c r="C52" s="43" t="str">
        <f>TEXT('SCOUT &amp; LOGISTICS'!F1,"0,0")</f>
        <v>17_170_ZAL_PAR_E2025</v>
      </c>
      <c r="F52" s="45" t="str">
        <f>""""&amp;B52&amp;"""" &amp; " : " &amp;C52</f>
        <v>"result" : 17_170_ZAL_PAR_E2025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205" t="s">
        <v>708</v>
      </c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  <c r="AB2" s="205"/>
      <c r="AC2" s="205"/>
      <c r="AD2" s="205"/>
      <c r="AE2" s="205"/>
      <c r="AF2" s="48"/>
    </row>
    <row r="3" spans="1:33" ht="27" customHeight="1" thickBot="1" x14ac:dyDescent="0.5">
      <c r="A3" s="48"/>
      <c r="B3" s="199" t="str">
        <f>"GAME: "&amp; LEFT('SCOUT &amp; LOGISTICS'!B2,1) &amp; TEXT('SCOUT &amp; LOGISTICS'!C2,"000") &amp; " " &amp; IF(LEFT('SCOUT &amp; LOGISTICS'!B2,1)="U","(EUROCUP)","(EUROLEAGUE)")</f>
        <v>GAME: E170 (EUROLEAGUE)</v>
      </c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  <c r="AE3" s="199"/>
      <c r="AF3" s="48"/>
    </row>
    <row r="4" spans="1:33" ht="14.25" customHeight="1" thickBot="1" x14ac:dyDescent="0.5">
      <c r="A4" s="48"/>
      <c r="B4" s="197" t="str">
        <f>"DATE: " &amp; TEXT('SCOUT &amp; LOGISTICS'!B3,"dd/mm")</f>
        <v>DATE: Date</v>
      </c>
      <c r="C4" s="197"/>
      <c r="D4" s="197"/>
      <c r="E4" s="197"/>
      <c r="F4" s="197"/>
      <c r="G4" s="197"/>
      <c r="H4" s="197"/>
      <c r="I4" s="197"/>
      <c r="J4" s="197"/>
      <c r="K4" s="197"/>
      <c r="L4" s="197"/>
      <c r="M4" s="197"/>
      <c r="N4" s="197"/>
      <c r="O4" s="197"/>
      <c r="P4" s="197"/>
      <c r="Q4" s="197"/>
      <c r="R4" s="197"/>
      <c r="S4" s="197"/>
      <c r="T4" s="197"/>
      <c r="U4" s="197"/>
      <c r="V4" s="197"/>
      <c r="W4" s="197"/>
      <c r="X4" s="197"/>
      <c r="Y4" s="197"/>
      <c r="Z4" s="197"/>
      <c r="AA4" s="197"/>
      <c r="AB4" s="197"/>
      <c r="AC4" s="197"/>
      <c r="AD4" s="197"/>
      <c r="AE4" s="197"/>
      <c r="AF4" s="48"/>
    </row>
    <row r="5" spans="1:33" ht="20.149999999999999" customHeight="1" thickBot="1" x14ac:dyDescent="0.5">
      <c r="A5" s="48"/>
      <c r="B5" s="201" t="s">
        <v>62</v>
      </c>
      <c r="C5" s="201"/>
      <c r="D5" s="201"/>
      <c r="E5" s="201"/>
      <c r="F5" s="201"/>
      <c r="G5" s="201"/>
      <c r="H5" s="201"/>
      <c r="I5" s="201"/>
      <c r="J5" s="201"/>
      <c r="K5" s="201"/>
      <c r="L5" s="201"/>
      <c r="M5" s="201"/>
      <c r="N5" s="201"/>
      <c r="O5" s="201"/>
      <c r="P5" s="201"/>
      <c r="Q5" s="201" t="s">
        <v>63</v>
      </c>
      <c r="R5" s="201"/>
      <c r="S5" s="201"/>
      <c r="T5" s="201"/>
      <c r="U5" s="201"/>
      <c r="V5" s="201"/>
      <c r="W5" s="201"/>
      <c r="X5" s="201"/>
      <c r="Y5" s="201"/>
      <c r="Z5" s="201"/>
      <c r="AA5" s="201"/>
      <c r="AB5" s="201"/>
      <c r="AC5" s="201"/>
      <c r="AD5" s="201"/>
      <c r="AE5" s="201"/>
      <c r="AF5" s="48"/>
    </row>
    <row r="6" spans="1:33" ht="23.15" customHeight="1" thickBot="1" x14ac:dyDescent="0.5">
      <c r="A6" s="48"/>
      <c r="B6" s="194" t="str">
        <f>PROPER('SCOUT &amp; LOGISTICS'!D4)</f>
        <v>Zalgiris Kaunas</v>
      </c>
      <c r="C6" s="194"/>
      <c r="D6" s="194"/>
      <c r="E6" s="194"/>
      <c r="F6" s="194"/>
      <c r="G6" s="194"/>
      <c r="H6" s="194"/>
      <c r="I6" s="194"/>
      <c r="J6" s="194"/>
      <c r="K6" s="194"/>
      <c r="L6" s="194"/>
      <c r="M6" s="194"/>
      <c r="N6" s="194"/>
      <c r="O6" s="194"/>
      <c r="P6" s="194"/>
      <c r="Q6" s="194" t="str">
        <f>PROPER('SCOUT &amp; LOGISTICS'!D5)</f>
        <v>Partizan Mozzart Bet Belgrade</v>
      </c>
      <c r="R6" s="194"/>
      <c r="S6" s="194"/>
      <c r="T6" s="194"/>
      <c r="U6" s="194"/>
      <c r="V6" s="194"/>
      <c r="W6" s="194"/>
      <c r="X6" s="194"/>
      <c r="Y6" s="194"/>
      <c r="Z6" s="194"/>
      <c r="AA6" s="194"/>
      <c r="AB6" s="194"/>
      <c r="AC6" s="194"/>
      <c r="AD6" s="194"/>
      <c r="AE6" s="194"/>
      <c r="AF6" s="48"/>
    </row>
    <row r="7" spans="1:33" ht="19.5" customHeight="1" thickBot="1" x14ac:dyDescent="0.5">
      <c r="A7" s="48"/>
      <c r="B7" s="200" t="str">
        <f>'SCOUT &amp; LOGISTICS'!B6</f>
        <v>Data entry</v>
      </c>
      <c r="C7" s="200"/>
      <c r="D7" s="200"/>
      <c r="E7" s="200"/>
      <c r="F7" s="200"/>
      <c r="G7" s="200" t="str">
        <f>'SCOUT &amp; LOGISTICS'!B7</f>
        <v>Caller 1</v>
      </c>
      <c r="H7" s="200"/>
      <c r="I7" s="200"/>
      <c r="J7" s="200"/>
      <c r="K7" s="200"/>
      <c r="L7" s="200" t="str">
        <f>'SCOUT &amp; LOGISTICS'!B8</f>
        <v>Caller 2</v>
      </c>
      <c r="M7" s="200"/>
      <c r="N7" s="200"/>
      <c r="O7" s="200"/>
      <c r="P7" s="200"/>
      <c r="Q7" s="200" t="str">
        <f>'SCOUT &amp; LOGISTICS'!B9</f>
        <v>Timerkeeper</v>
      </c>
      <c r="R7" s="200"/>
      <c r="S7" s="200"/>
      <c r="T7" s="200"/>
      <c r="U7" s="200"/>
      <c r="V7" s="200" t="str">
        <f>'SCOUT &amp; LOGISTICS'!B10</f>
        <v>Shotclock</v>
      </c>
      <c r="W7" s="200"/>
      <c r="X7" s="200"/>
      <c r="Y7" s="200"/>
      <c r="Z7" s="200"/>
      <c r="AA7" s="200" t="str">
        <f>'SCOUT &amp; LOGISTICS'!B11</f>
        <v>IRS</v>
      </c>
      <c r="AB7" s="200"/>
      <c r="AC7" s="200"/>
      <c r="AD7" s="200"/>
      <c r="AE7" s="200"/>
      <c r="AF7" s="48"/>
    </row>
    <row r="8" spans="1:33" ht="36" customHeight="1" thickBot="1" x14ac:dyDescent="0.5">
      <c r="A8" s="48"/>
      <c r="B8" s="198" t="str">
        <f>IF('SCOUT &amp; LOGISTICS'!D6="","",'SCOUT &amp; LOGISTICS'!D6)</f>
        <v>GIEDRE GARCINSKAITE</v>
      </c>
      <c r="C8" s="198"/>
      <c r="D8" s="198"/>
      <c r="E8" s="198"/>
      <c r="F8" s="198"/>
      <c r="G8" s="198" t="str">
        <f>IF('SCOUT &amp; LOGISTICS'!D7="","",'SCOUT &amp; LOGISTICS'!D7)</f>
        <v>RASA KIZIKAITE</v>
      </c>
      <c r="H8" s="198"/>
      <c r="I8" s="198"/>
      <c r="J8" s="198"/>
      <c r="K8" s="198"/>
      <c r="L8" s="198" t="str">
        <f>IF('SCOUT &amp; LOGISTICS'!D8="","",'SCOUT &amp; LOGISTICS'!D8)</f>
        <v>AUKSE ZAKRIENE</v>
      </c>
      <c r="M8" s="198"/>
      <c r="N8" s="198"/>
      <c r="O8" s="198"/>
      <c r="P8" s="198"/>
      <c r="Q8" s="198" t="str">
        <f>IF('SCOUT &amp; LOGISTICS'!D9="","",'SCOUT &amp; LOGISTICS'!D9)</f>
        <v>VYTAUTAS RUDZEVICIUS</v>
      </c>
      <c r="R8" s="198"/>
      <c r="S8" s="198"/>
      <c r="T8" s="198"/>
      <c r="U8" s="198"/>
      <c r="V8" s="198" t="str">
        <f>IF('SCOUT &amp; LOGISTICS'!D10="","",'SCOUT &amp; LOGISTICS'!D10)</f>
        <v>MINDAUGAS RUDZEVICIUS</v>
      </c>
      <c r="W8" s="198"/>
      <c r="X8" s="198"/>
      <c r="Y8" s="198"/>
      <c r="Z8" s="198"/>
      <c r="AA8" s="198" t="str">
        <f>IF('SCOUT &amp; LOGISTICS'!D11="","",'SCOUT &amp; LOGISTICS'!D11)</f>
        <v>NERIJUS MAINONIS</v>
      </c>
      <c r="AB8" s="198"/>
      <c r="AC8" s="198"/>
      <c r="AD8" s="198"/>
      <c r="AE8" s="198"/>
      <c r="AF8" s="48"/>
    </row>
    <row r="9" spans="1:33" ht="16" thickBot="1" x14ac:dyDescent="0.5">
      <c r="A9" s="48"/>
      <c r="B9" s="206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6"/>
      <c r="D9" s="206"/>
      <c r="E9" s="206"/>
      <c r="F9" s="206"/>
      <c r="G9" s="206"/>
      <c r="H9" s="206"/>
      <c r="I9" s="206"/>
      <c r="J9" s="206"/>
      <c r="K9" s="206"/>
      <c r="L9" s="206"/>
      <c r="M9" s="206"/>
      <c r="N9" s="206"/>
      <c r="O9" s="206"/>
      <c r="P9" s="206"/>
      <c r="Q9" s="206"/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  <c r="AD9" s="206"/>
      <c r="AE9" s="206"/>
      <c r="AF9" s="48"/>
    </row>
    <row r="10" spans="1:33" s="48" customFormat="1" ht="16" thickBot="1" x14ac:dyDescent="0.5">
      <c r="B10" s="193"/>
      <c r="C10" s="193"/>
      <c r="D10" s="193"/>
      <c r="E10" s="193"/>
      <c r="F10" s="193"/>
      <c r="G10" s="193"/>
      <c r="H10" s="193"/>
      <c r="I10" s="193"/>
      <c r="J10" s="193"/>
      <c r="K10" s="193"/>
      <c r="L10" s="193"/>
      <c r="M10" s="193"/>
      <c r="N10" s="193"/>
      <c r="O10" s="193"/>
      <c r="P10" s="193"/>
      <c r="Q10" s="193"/>
      <c r="R10" s="193"/>
      <c r="S10" s="193"/>
      <c r="T10" s="193"/>
      <c r="U10" s="193"/>
      <c r="V10" s="193"/>
      <c r="W10" s="193"/>
      <c r="X10" s="193"/>
      <c r="Y10" s="193"/>
      <c r="Z10" s="193"/>
      <c r="AA10" s="193"/>
      <c r="AB10" s="193"/>
      <c r="AC10" s="193"/>
      <c r="AD10" s="193"/>
      <c r="AE10" s="193"/>
    </row>
    <row r="11" spans="1:33" ht="20.149999999999999" customHeight="1" thickBot="1" x14ac:dyDescent="0.5">
      <c r="A11" s="48"/>
      <c r="B11" s="197" t="s">
        <v>13</v>
      </c>
      <c r="C11" s="197"/>
      <c r="D11" s="197"/>
      <c r="E11" s="197"/>
      <c r="F11" s="197"/>
      <c r="G11" s="197"/>
      <c r="H11" s="197"/>
      <c r="I11" s="197"/>
      <c r="J11" s="197"/>
      <c r="K11" s="197"/>
      <c r="L11" s="197"/>
      <c r="M11" s="197"/>
      <c r="N11" s="197"/>
      <c r="O11" s="197"/>
      <c r="P11" s="197"/>
      <c r="Q11" s="197"/>
      <c r="R11" s="197"/>
      <c r="S11" s="197"/>
      <c r="T11" s="197"/>
      <c r="U11" s="197"/>
      <c r="V11" s="197"/>
      <c r="W11" s="197"/>
      <c r="X11" s="197"/>
      <c r="Y11" s="197"/>
      <c r="Z11" s="197"/>
      <c r="AA11" s="197"/>
      <c r="AB11" s="197"/>
      <c r="AC11" s="197"/>
      <c r="AD11" s="197"/>
      <c r="AE11" s="197"/>
      <c r="AF11" s="48"/>
    </row>
    <row r="12" spans="1:33" ht="21" customHeight="1" thickBot="1" x14ac:dyDescent="0.5">
      <c r="A12" s="48"/>
      <c r="B12" s="195" t="str">
        <f>'SCOUT &amp; LOGISTICS'!I11</f>
        <v>ARRIVAL TIME</v>
      </c>
      <c r="C12" s="195"/>
      <c r="D12" s="195"/>
      <c r="E12" s="195"/>
      <c r="F12" s="195"/>
      <c r="G12" s="195"/>
      <c r="H12" s="195" t="str">
        <f>'SCOUT &amp; LOGISTICS'!J11</f>
        <v>CHECK LIST ON TIME</v>
      </c>
      <c r="I12" s="195"/>
      <c r="J12" s="195"/>
      <c r="K12" s="195"/>
      <c r="L12" s="195"/>
      <c r="M12" s="195"/>
      <c r="N12" s="195" t="str">
        <f>'SCOUT &amp; LOGISTICS'!K11</f>
        <v>COMMUNICATION</v>
      </c>
      <c r="O12" s="195"/>
      <c r="P12" s="195"/>
      <c r="Q12" s="195"/>
      <c r="R12" s="195"/>
      <c r="S12" s="195"/>
      <c r="T12" s="195" t="str">
        <f>'SCOUT &amp; LOGISTICS'!L11</f>
        <v>CORRECTIONS</v>
      </c>
      <c r="U12" s="195"/>
      <c r="V12" s="195"/>
      <c r="W12" s="195"/>
      <c r="X12" s="195"/>
      <c r="Y12" s="195"/>
      <c r="Z12" s="195" t="str">
        <f>'SCOUT &amp; LOGISTICS'!M11</f>
        <v>RESCOUTED</v>
      </c>
      <c r="AA12" s="195"/>
      <c r="AB12" s="195"/>
      <c r="AC12" s="195"/>
      <c r="AD12" s="195"/>
      <c r="AE12" s="195"/>
      <c r="AF12" s="48"/>
    </row>
    <row r="13" spans="1:33" ht="20.149999999999999" customHeight="1" thickBot="1" x14ac:dyDescent="0.5">
      <c r="A13" s="48"/>
      <c r="B13" s="202" t="str">
        <f>IF('SCOUT &amp; LOGISTICS'!I12="","",'SCOUT &amp; LOGISTICS'!I12)</f>
        <v>OK</v>
      </c>
      <c r="C13" s="202"/>
      <c r="D13" s="202"/>
      <c r="E13" s="202"/>
      <c r="F13" s="202"/>
      <c r="G13" s="202"/>
      <c r="H13" s="202" t="str">
        <f>IF('SCOUT &amp; LOGISTICS'!J12="","",'SCOUT &amp; LOGISTICS'!J12)</f>
        <v>YES</v>
      </c>
      <c r="I13" s="202"/>
      <c r="J13" s="202"/>
      <c r="K13" s="202"/>
      <c r="L13" s="202"/>
      <c r="M13" s="202"/>
      <c r="N13" s="202" t="str">
        <f>IF('SCOUT &amp; LOGISTICS'!K12="","",'SCOUT &amp; LOGISTICS'!K12)</f>
        <v>GOOD</v>
      </c>
      <c r="O13" s="202"/>
      <c r="P13" s="202"/>
      <c r="Q13" s="202"/>
      <c r="R13" s="202"/>
      <c r="S13" s="202"/>
      <c r="T13" s="202" t="str">
        <f>IF('SCOUT &amp; LOGISTICS'!L12="","",'SCOUT &amp; LOGISTICS'!L12)</f>
        <v>FAST</v>
      </c>
      <c r="U13" s="202"/>
      <c r="V13" s="202"/>
      <c r="W13" s="202"/>
      <c r="X13" s="202"/>
      <c r="Y13" s="202"/>
      <c r="Z13" s="202" t="str">
        <f>IF('SCOUT &amp; LOGISTICS'!M12="","",'SCOUT &amp; LOGISTICS'!M12)</f>
        <v>NO</v>
      </c>
      <c r="AA13" s="202"/>
      <c r="AB13" s="202"/>
      <c r="AC13" s="202"/>
      <c r="AD13" s="202"/>
      <c r="AE13" s="202"/>
      <c r="AF13" s="48"/>
    </row>
    <row r="14" spans="1:33" s="48" customFormat="1" ht="16" thickBot="1" x14ac:dyDescent="0.5">
      <c r="B14" s="193"/>
      <c r="C14" s="193"/>
      <c r="D14" s="193"/>
      <c r="E14" s="193"/>
      <c r="F14" s="193"/>
      <c r="G14" s="193"/>
      <c r="H14" s="193"/>
      <c r="I14" s="193"/>
      <c r="J14" s="193"/>
      <c r="K14" s="193"/>
      <c r="L14" s="193"/>
      <c r="M14" s="193"/>
      <c r="N14" s="193"/>
      <c r="O14" s="193"/>
      <c r="P14" s="193"/>
      <c r="Q14" s="193"/>
      <c r="R14" s="193"/>
      <c r="S14" s="193"/>
      <c r="T14" s="193"/>
      <c r="U14" s="193"/>
      <c r="V14" s="193"/>
      <c r="W14" s="193"/>
      <c r="X14" s="193"/>
      <c r="Y14" s="193"/>
      <c r="Z14" s="193"/>
      <c r="AA14" s="193"/>
      <c r="AB14" s="193"/>
      <c r="AC14" s="193"/>
      <c r="AD14" s="193"/>
      <c r="AE14" s="193"/>
    </row>
    <row r="15" spans="1:33" ht="20.149999999999999" customHeight="1" thickBot="1" x14ac:dyDescent="0.5">
      <c r="A15" s="48"/>
      <c r="B15" s="197" t="s">
        <v>45</v>
      </c>
      <c r="C15" s="197"/>
      <c r="D15" s="197"/>
      <c r="E15" s="197"/>
      <c r="F15" s="197"/>
      <c r="G15" s="197"/>
      <c r="H15" s="197"/>
      <c r="I15" s="197"/>
      <c r="J15" s="197"/>
      <c r="K15" s="197"/>
      <c r="L15" s="197"/>
      <c r="M15" s="197"/>
      <c r="N15" s="197"/>
      <c r="O15" s="197"/>
      <c r="P15" s="197"/>
      <c r="Q15" s="197"/>
      <c r="R15" s="197"/>
      <c r="S15" s="197"/>
      <c r="T15" s="197"/>
      <c r="U15" s="197"/>
      <c r="V15" s="197"/>
      <c r="W15" s="197"/>
      <c r="X15" s="197"/>
      <c r="Y15" s="197"/>
      <c r="Z15" s="197"/>
      <c r="AA15" s="197"/>
      <c r="AB15" s="197"/>
      <c r="AC15" s="197"/>
      <c r="AD15" s="197"/>
      <c r="AE15" s="197"/>
      <c r="AF15" s="48"/>
    </row>
    <row r="16" spans="1:33" ht="21" customHeight="1" thickBot="1" x14ac:dyDescent="0.5">
      <c r="A16" s="48"/>
      <c r="B16" s="195" t="s">
        <v>82</v>
      </c>
      <c r="C16" s="195"/>
      <c r="D16" s="195"/>
      <c r="E16" s="195"/>
      <c r="F16" s="195"/>
      <c r="G16" s="195"/>
      <c r="H16" s="195"/>
      <c r="I16" s="195"/>
      <c r="J16" s="195"/>
      <c r="K16" s="195"/>
      <c r="L16" s="195" t="s">
        <v>83</v>
      </c>
      <c r="M16" s="195"/>
      <c r="N16" s="195"/>
      <c r="O16" s="195"/>
      <c r="P16" s="195"/>
      <c r="Q16" s="195"/>
      <c r="R16" s="195"/>
      <c r="S16" s="195"/>
      <c r="T16" s="195"/>
      <c r="U16" s="195"/>
      <c r="V16" s="195" t="s">
        <v>85</v>
      </c>
      <c r="W16" s="195"/>
      <c r="X16" s="195"/>
      <c r="Y16" s="195"/>
      <c r="Z16" s="195"/>
      <c r="AA16" s="195"/>
      <c r="AB16" s="195"/>
      <c r="AC16" s="195"/>
      <c r="AD16" s="195"/>
      <c r="AE16" s="195"/>
      <c r="AF16" s="48"/>
      <c r="AG16" s="47" t="s">
        <v>84</v>
      </c>
    </row>
    <row r="17" spans="1:32" ht="20.149999999999999" customHeight="1" thickBot="1" x14ac:dyDescent="0.5">
      <c r="A17" s="48"/>
      <c r="B17" s="200">
        <f>'SCOUT &amp; LOGISTICS'!D3</f>
        <v>584</v>
      </c>
      <c r="C17" s="200"/>
      <c r="D17" s="200"/>
      <c r="E17" s="200"/>
      <c r="F17" s="200"/>
      <c r="G17" s="200"/>
      <c r="H17" s="200"/>
      <c r="I17" s="200"/>
      <c r="J17" s="200"/>
      <c r="K17" s="200"/>
      <c r="L17" s="200">
        <f>'SCOUT &amp; LOGISTICS'!F3</f>
        <v>1</v>
      </c>
      <c r="M17" s="200"/>
      <c r="N17" s="200"/>
      <c r="O17" s="200"/>
      <c r="P17" s="200"/>
      <c r="Q17" s="200"/>
      <c r="R17" s="200"/>
      <c r="S17" s="200"/>
      <c r="T17" s="200"/>
      <c r="U17" s="200"/>
      <c r="V17" s="203">
        <f>IF(OR(B17="",B17=0),"",L17/B17)</f>
        <v>1.7123287671232876E-3</v>
      </c>
      <c r="W17" s="203"/>
      <c r="X17" s="203"/>
      <c r="Y17" s="203"/>
      <c r="Z17" s="203"/>
      <c r="AA17" s="203"/>
      <c r="AB17" s="203"/>
      <c r="AC17" s="203"/>
      <c r="AD17" s="203"/>
      <c r="AE17" s="203"/>
      <c r="AF17" s="48"/>
    </row>
    <row r="18" spans="1:32" s="48" customFormat="1" ht="16" thickBot="1" x14ac:dyDescent="0.5">
      <c r="B18" s="193"/>
      <c r="C18" s="193"/>
      <c r="D18" s="193"/>
      <c r="E18" s="193"/>
      <c r="F18" s="193"/>
      <c r="G18" s="193"/>
      <c r="H18" s="193"/>
      <c r="I18" s="193"/>
      <c r="J18" s="193"/>
      <c r="K18" s="193"/>
      <c r="L18" s="193"/>
      <c r="M18" s="193"/>
      <c r="N18" s="193"/>
      <c r="O18" s="193"/>
      <c r="P18" s="193"/>
      <c r="Q18" s="193"/>
      <c r="R18" s="193"/>
      <c r="S18" s="193"/>
      <c r="T18" s="193"/>
      <c r="U18" s="193"/>
      <c r="V18" s="193"/>
      <c r="W18" s="193"/>
      <c r="X18" s="193"/>
      <c r="Y18" s="193"/>
      <c r="Z18" s="193"/>
      <c r="AA18" s="193"/>
      <c r="AB18" s="193"/>
      <c r="AC18" s="193"/>
      <c r="AD18" s="193"/>
      <c r="AE18" s="193"/>
    </row>
    <row r="19" spans="1:32" ht="21" customHeight="1" thickBot="1" x14ac:dyDescent="0.5">
      <c r="A19" s="48"/>
      <c r="B19" s="195" t="str">
        <f>'SCOUT &amp; LOGISTICS'!Z17</f>
        <v>AWAY TEAM</v>
      </c>
      <c r="C19" s="195"/>
      <c r="D19" s="195"/>
      <c r="E19" s="195"/>
      <c r="F19" s="195"/>
      <c r="G19" s="195"/>
      <c r="H19" s="195"/>
      <c r="I19" s="195"/>
      <c r="J19" s="195"/>
      <c r="K19" s="195"/>
      <c r="L19" s="195" t="str">
        <f>'SCOUT &amp; LOGISTICS'!Z18</f>
        <v>HOME TEAM</v>
      </c>
      <c r="M19" s="195"/>
      <c r="N19" s="195"/>
      <c r="O19" s="195"/>
      <c r="P19" s="195"/>
      <c r="Q19" s="195" t="s">
        <v>63</v>
      </c>
      <c r="R19" s="195"/>
      <c r="S19" s="195"/>
      <c r="T19" s="195"/>
      <c r="U19" s="195"/>
      <c r="V19" s="195" t="str">
        <f>'SCOUT &amp; LOGISTICS'!Z19</f>
        <v>NO TEAM</v>
      </c>
      <c r="W19" s="195"/>
      <c r="X19" s="195"/>
      <c r="Y19" s="195"/>
      <c r="Z19" s="195"/>
      <c r="AA19" s="195"/>
      <c r="AB19" s="195"/>
      <c r="AC19" s="195"/>
      <c r="AD19" s="195"/>
      <c r="AE19" s="195"/>
      <c r="AF19" s="48"/>
    </row>
    <row r="20" spans="1:32" ht="20.149999999999999" customHeight="1" thickBot="1" x14ac:dyDescent="0.5">
      <c r="A20" s="48"/>
      <c r="B20" s="196">
        <f>IF('SCOUT &amp; LOGISTICS'!AA17="","",'SCOUT &amp; LOGISTICS'!AA17)</f>
        <v>0</v>
      </c>
      <c r="C20" s="196"/>
      <c r="D20" s="196"/>
      <c r="E20" s="196"/>
      <c r="F20" s="196"/>
      <c r="G20" s="196"/>
      <c r="H20" s="196"/>
      <c r="I20" s="196"/>
      <c r="J20" s="196"/>
      <c r="K20" s="196"/>
      <c r="L20" s="196">
        <f>IF('SCOUT &amp; LOGISTICS'!AA18="","",'SCOUT &amp; LOGISTICS'!AA18)</f>
        <v>1</v>
      </c>
      <c r="M20" s="196"/>
      <c r="N20" s="196"/>
      <c r="O20" s="196"/>
      <c r="P20" s="196"/>
      <c r="Q20" s="196"/>
      <c r="R20" s="196"/>
      <c r="S20" s="196"/>
      <c r="T20" s="196"/>
      <c r="U20" s="196"/>
      <c r="V20" s="196">
        <f>IF('SCOUT &amp; LOGISTICS'!AA19="","",'SCOUT &amp; LOGISTICS'!AA19)</f>
        <v>0</v>
      </c>
      <c r="W20" s="196"/>
      <c r="X20" s="196"/>
      <c r="Y20" s="196"/>
      <c r="Z20" s="196"/>
      <c r="AA20" s="196"/>
      <c r="AB20" s="196"/>
      <c r="AC20" s="196"/>
      <c r="AD20" s="196"/>
      <c r="AE20" s="196"/>
      <c r="AF20" s="48"/>
    </row>
    <row r="21" spans="1:32" ht="21" customHeight="1" thickBot="1" x14ac:dyDescent="0.5">
      <c r="A21" s="48"/>
      <c r="B21" s="195" t="s">
        <v>88</v>
      </c>
      <c r="C21" s="195"/>
      <c r="D21" s="195"/>
      <c r="E21" s="195"/>
      <c r="F21" s="195"/>
      <c r="G21" s="195"/>
      <c r="H21" s="195" t="s">
        <v>89</v>
      </c>
      <c r="I21" s="195"/>
      <c r="J21" s="195"/>
      <c r="K21" s="195"/>
      <c r="L21" s="195"/>
      <c r="M21" s="195"/>
      <c r="N21" s="195" t="s">
        <v>90</v>
      </c>
      <c r="O21" s="195"/>
      <c r="P21" s="195"/>
      <c r="Q21" s="195"/>
      <c r="R21" s="195"/>
      <c r="S21" s="195"/>
      <c r="T21" s="195" t="s">
        <v>91</v>
      </c>
      <c r="U21" s="195"/>
      <c r="V21" s="195"/>
      <c r="W21" s="195"/>
      <c r="X21" s="195"/>
      <c r="Y21" s="195"/>
      <c r="Z21" s="195" t="s">
        <v>92</v>
      </c>
      <c r="AA21" s="195"/>
      <c r="AB21" s="195"/>
      <c r="AC21" s="195"/>
      <c r="AD21" s="195"/>
      <c r="AE21" s="195"/>
      <c r="AF21" s="48"/>
    </row>
    <row r="22" spans="1:32" ht="20.149999999999999" customHeight="1" thickBot="1" x14ac:dyDescent="0.5">
      <c r="A22" s="48"/>
      <c r="B22" s="196">
        <f>'SCOUT &amp; LOGISTICS'!AG17</f>
        <v>0</v>
      </c>
      <c r="C22" s="196"/>
      <c r="D22" s="196"/>
      <c r="E22" s="196"/>
      <c r="F22" s="196"/>
      <c r="G22" s="196"/>
      <c r="H22" s="196">
        <f>'SCOUT &amp; LOGISTICS'!AG18</f>
        <v>0</v>
      </c>
      <c r="I22" s="196"/>
      <c r="J22" s="196"/>
      <c r="K22" s="196"/>
      <c r="L22" s="196"/>
      <c r="M22" s="196"/>
      <c r="N22" s="196">
        <f>'SCOUT &amp; LOGISTICS'!AG19</f>
        <v>1</v>
      </c>
      <c r="O22" s="196"/>
      <c r="P22" s="196"/>
      <c r="Q22" s="196"/>
      <c r="R22" s="196"/>
      <c r="S22" s="196"/>
      <c r="T22" s="196">
        <f>'SCOUT &amp; LOGISTICS'!AG20</f>
        <v>0</v>
      </c>
      <c r="U22" s="196"/>
      <c r="V22" s="196"/>
      <c r="W22" s="196"/>
      <c r="X22" s="196"/>
      <c r="Y22" s="196"/>
      <c r="Z22" s="196">
        <f>IF('SCOUT &amp; LOGISTICS'!AG21="","",'SCOUT &amp; LOGISTICS'!AG21)</f>
        <v>0</v>
      </c>
      <c r="AA22" s="196"/>
      <c r="AB22" s="196"/>
      <c r="AC22" s="196"/>
      <c r="AD22" s="196"/>
      <c r="AE22" s="196"/>
      <c r="AF22" s="48"/>
    </row>
    <row r="23" spans="1:32" s="48" customFormat="1" ht="16" thickBot="1" x14ac:dyDescent="0.5">
      <c r="B23" s="192"/>
      <c r="C23" s="192"/>
      <c r="D23" s="192"/>
      <c r="E23" s="192"/>
      <c r="F23" s="192"/>
      <c r="G23" s="192"/>
      <c r="H23" s="192"/>
      <c r="I23" s="192"/>
      <c r="J23" s="192"/>
      <c r="K23" s="192"/>
      <c r="L23" s="192"/>
      <c r="M23" s="192"/>
      <c r="N23" s="192"/>
      <c r="O23" s="192"/>
      <c r="P23" s="192"/>
      <c r="Q23" s="192"/>
      <c r="R23" s="192"/>
      <c r="S23" s="192"/>
      <c r="T23" s="192"/>
      <c r="U23" s="192"/>
      <c r="V23" s="192"/>
      <c r="W23" s="192"/>
      <c r="X23" s="192"/>
      <c r="Y23" s="192"/>
      <c r="Z23" s="192"/>
      <c r="AA23" s="192"/>
      <c r="AB23" s="192"/>
      <c r="AC23" s="192"/>
      <c r="AD23" s="192"/>
      <c r="AE23" s="192"/>
    </row>
    <row r="24" spans="1:32" ht="21" customHeight="1" thickBot="1" x14ac:dyDescent="0.5">
      <c r="A24" s="48"/>
      <c r="B24" s="195" t="s">
        <v>93</v>
      </c>
      <c r="C24" s="195"/>
      <c r="D24" s="195"/>
      <c r="E24" s="195"/>
      <c r="F24" s="195"/>
      <c r="G24" s="195"/>
      <c r="H24" s="195"/>
      <c r="I24" s="195"/>
      <c r="J24" s="195"/>
      <c r="K24" s="195"/>
      <c r="L24" s="195"/>
      <c r="M24" s="195"/>
      <c r="N24" s="195"/>
      <c r="O24" s="195"/>
      <c r="P24" s="195"/>
      <c r="Q24" s="195" t="s">
        <v>94</v>
      </c>
      <c r="R24" s="195"/>
      <c r="S24" s="195"/>
      <c r="T24" s="195"/>
      <c r="U24" s="195"/>
      <c r="V24" s="195"/>
      <c r="W24" s="195"/>
      <c r="X24" s="195"/>
      <c r="Y24" s="195"/>
      <c r="Z24" s="195"/>
      <c r="AA24" s="195"/>
      <c r="AB24" s="195"/>
      <c r="AC24" s="195"/>
      <c r="AD24" s="195"/>
      <c r="AE24" s="195"/>
      <c r="AF24" s="48"/>
    </row>
    <row r="25" spans="1:32" ht="20.149999999999999" customHeight="1" thickBot="1" x14ac:dyDescent="0.5">
      <c r="A25" s="48"/>
      <c r="B25" s="196">
        <f>'SCOUT &amp; LOGISTICS'!Y17</f>
        <v>1</v>
      </c>
      <c r="C25" s="196"/>
      <c r="D25" s="196"/>
      <c r="E25" s="196"/>
      <c r="F25" s="196"/>
      <c r="G25" s="196"/>
      <c r="H25" s="196"/>
      <c r="I25" s="196"/>
      <c r="J25" s="196"/>
      <c r="K25" s="196"/>
      <c r="L25" s="196"/>
      <c r="M25" s="196"/>
      <c r="N25" s="196"/>
      <c r="O25" s="196"/>
      <c r="P25" s="196"/>
      <c r="Q25" s="196">
        <f>'SCOUT &amp; LOGISTICS'!Y18</f>
        <v>0</v>
      </c>
      <c r="R25" s="196"/>
      <c r="S25" s="196"/>
      <c r="T25" s="196"/>
      <c r="U25" s="196"/>
      <c r="V25" s="196"/>
      <c r="W25" s="196"/>
      <c r="X25" s="196"/>
      <c r="Y25" s="196"/>
      <c r="Z25" s="196"/>
      <c r="AA25" s="196"/>
      <c r="AB25" s="196"/>
      <c r="AC25" s="196"/>
      <c r="AD25" s="196"/>
      <c r="AE25" s="196"/>
      <c r="AF25" s="48"/>
    </row>
    <row r="26" spans="1:32" ht="21" customHeight="1" thickBot="1" x14ac:dyDescent="0.5">
      <c r="A26" s="48"/>
      <c r="B26" s="195" t="s">
        <v>5</v>
      </c>
      <c r="C26" s="195"/>
      <c r="D26" s="195"/>
      <c r="E26" s="195"/>
      <c r="F26" s="195"/>
      <c r="G26" s="195" t="s">
        <v>6</v>
      </c>
      <c r="H26" s="195"/>
      <c r="I26" s="195"/>
      <c r="J26" s="195"/>
      <c r="K26" s="195"/>
      <c r="L26" s="195" t="s">
        <v>7</v>
      </c>
      <c r="M26" s="195"/>
      <c r="N26" s="195"/>
      <c r="O26" s="195"/>
      <c r="P26" s="195"/>
      <c r="Q26" s="195" t="s">
        <v>159</v>
      </c>
      <c r="R26" s="195"/>
      <c r="S26" s="195"/>
      <c r="T26" s="195"/>
      <c r="U26" s="195"/>
      <c r="V26" s="195" t="s">
        <v>109</v>
      </c>
      <c r="W26" s="195"/>
      <c r="X26" s="195"/>
      <c r="Y26" s="195"/>
      <c r="Z26" s="195"/>
      <c r="AA26" s="204" t="s">
        <v>161</v>
      </c>
      <c r="AB26" s="195"/>
      <c r="AC26" s="195"/>
      <c r="AD26" s="195"/>
      <c r="AE26" s="195"/>
      <c r="AF26" s="48"/>
    </row>
    <row r="27" spans="1:32" ht="20.149999999999999" customHeight="1" thickBot="1" x14ac:dyDescent="0.5">
      <c r="A27" s="48"/>
      <c r="B27" s="196">
        <f>'SCOUT &amp; LOGISTICS'!AC18</f>
        <v>0</v>
      </c>
      <c r="C27" s="196"/>
      <c r="D27" s="196"/>
      <c r="E27" s="196"/>
      <c r="F27" s="196"/>
      <c r="G27" s="196">
        <f>'SCOUT &amp; LOGISTICS'!AC22</f>
        <v>0</v>
      </c>
      <c r="H27" s="196"/>
      <c r="I27" s="196"/>
      <c r="J27" s="196"/>
      <c r="K27" s="196"/>
      <c r="L27" s="196">
        <f>'SCOUT &amp; LOGISTICS'!AC23</f>
        <v>1</v>
      </c>
      <c r="M27" s="196"/>
      <c r="N27" s="196"/>
      <c r="O27" s="196"/>
      <c r="P27" s="196"/>
      <c r="Q27" s="196">
        <f>'SCOUT &amp; LOGISTICS'!AC21</f>
        <v>0</v>
      </c>
      <c r="R27" s="196"/>
      <c r="S27" s="196"/>
      <c r="T27" s="196"/>
      <c r="U27" s="196"/>
      <c r="V27" s="196">
        <f>'SCOUT &amp; LOGISTICS'!AC27</f>
        <v>0</v>
      </c>
      <c r="W27" s="196"/>
      <c r="X27" s="196"/>
      <c r="Y27" s="196"/>
      <c r="Z27" s="196"/>
      <c r="AA27" s="196">
        <f>'SCOUT &amp; LOGISTICS'!AC17+'SCOUT &amp; LOGISTICS'!AC20</f>
        <v>0</v>
      </c>
      <c r="AB27" s="196"/>
      <c r="AC27" s="196"/>
      <c r="AD27" s="196"/>
      <c r="AE27" s="196"/>
      <c r="AF27" s="48"/>
    </row>
    <row r="28" spans="1:32" ht="21" customHeight="1" thickBot="1" x14ac:dyDescent="0.5">
      <c r="A28" s="48"/>
      <c r="B28" s="195" t="s">
        <v>48</v>
      </c>
      <c r="C28" s="195"/>
      <c r="D28" s="195"/>
      <c r="E28" s="195"/>
      <c r="F28" s="195"/>
      <c r="G28" s="195" t="s">
        <v>47</v>
      </c>
      <c r="H28" s="195"/>
      <c r="I28" s="195"/>
      <c r="J28" s="195"/>
      <c r="K28" s="195"/>
      <c r="L28" s="204" t="s">
        <v>75</v>
      </c>
      <c r="M28" s="195"/>
      <c r="N28" s="195"/>
      <c r="O28" s="195"/>
      <c r="P28" s="195"/>
      <c r="Q28" s="195" t="s">
        <v>36</v>
      </c>
      <c r="R28" s="195"/>
      <c r="S28" s="195"/>
      <c r="T28" s="195"/>
      <c r="U28" s="195"/>
      <c r="V28" s="195" t="s">
        <v>76</v>
      </c>
      <c r="W28" s="195"/>
      <c r="X28" s="195"/>
      <c r="Y28" s="195"/>
      <c r="Z28" s="195"/>
      <c r="AA28" s="195" t="s">
        <v>77</v>
      </c>
      <c r="AB28" s="195"/>
      <c r="AC28" s="195"/>
      <c r="AD28" s="195"/>
      <c r="AE28" s="195"/>
      <c r="AF28" s="48"/>
    </row>
    <row r="29" spans="1:32" ht="20.149999999999999" customHeight="1" thickBot="1" x14ac:dyDescent="0.5">
      <c r="A29" s="48"/>
      <c r="B29" s="196">
        <f>'SCOUT &amp; LOGISTICS'!AC25</f>
        <v>0</v>
      </c>
      <c r="C29" s="196"/>
      <c r="D29" s="196"/>
      <c r="E29" s="196"/>
      <c r="F29" s="196"/>
      <c r="G29" s="196">
        <f>'SCOUT &amp; LOGISTICS'!AC24</f>
        <v>0</v>
      </c>
      <c r="H29" s="196"/>
      <c r="I29" s="196"/>
      <c r="J29" s="196"/>
      <c r="K29" s="196"/>
      <c r="L29" s="196">
        <f>'SCOUT &amp; LOGISTICS'!$AC$29</f>
        <v>0</v>
      </c>
      <c r="M29" s="196"/>
      <c r="N29" s="196"/>
      <c r="O29" s="196"/>
      <c r="P29" s="196"/>
      <c r="Q29" s="196">
        <f>'SCOUT &amp; LOGISTICS'!AC28</f>
        <v>0</v>
      </c>
      <c r="R29" s="196"/>
      <c r="S29" s="196"/>
      <c r="T29" s="196"/>
      <c r="U29" s="196"/>
      <c r="V29" s="196">
        <f>'SCOUT &amp; LOGISTICS'!AC19</f>
        <v>0</v>
      </c>
      <c r="W29" s="196"/>
      <c r="X29" s="196"/>
      <c r="Y29" s="196"/>
      <c r="Z29" s="196"/>
      <c r="AA29" s="196">
        <f>'SCOUT &amp; LOGISTICS'!AC26</f>
        <v>0</v>
      </c>
      <c r="AB29" s="196"/>
      <c r="AC29" s="196"/>
      <c r="AD29" s="196"/>
      <c r="AE29" s="196"/>
      <c r="AF29" s="48"/>
    </row>
    <row r="30" spans="1:32" s="48" customFormat="1" ht="16" thickBot="1" x14ac:dyDescent="0.5">
      <c r="B30" s="193"/>
      <c r="C30" s="193"/>
      <c r="D30" s="193"/>
      <c r="E30" s="193"/>
      <c r="F30" s="193"/>
      <c r="G30" s="193"/>
      <c r="H30" s="193"/>
      <c r="I30" s="193"/>
      <c r="J30" s="193"/>
      <c r="K30" s="193"/>
      <c r="L30" s="193"/>
      <c r="M30" s="193"/>
      <c r="N30" s="193"/>
      <c r="O30" s="193"/>
      <c r="P30" s="193"/>
      <c r="Q30" s="193"/>
      <c r="R30" s="193"/>
      <c r="S30" s="193"/>
      <c r="T30" s="193"/>
      <c r="U30" s="193"/>
      <c r="V30" s="193"/>
      <c r="W30" s="193"/>
      <c r="X30" s="193"/>
      <c r="Y30" s="193"/>
      <c r="Z30" s="193"/>
      <c r="AA30" s="193"/>
      <c r="AB30" s="193"/>
      <c r="AC30" s="193"/>
      <c r="AD30" s="193"/>
      <c r="AE30" s="193"/>
    </row>
    <row r="31" spans="1:32" s="52" customFormat="1" ht="20.149999999999999" customHeight="1" thickBot="1" x14ac:dyDescent="0.5">
      <c r="A31" s="51"/>
      <c r="B31" s="197" t="s">
        <v>80</v>
      </c>
      <c r="C31" s="197"/>
      <c r="D31" s="197"/>
      <c r="E31" s="197"/>
      <c r="F31" s="197"/>
      <c r="G31" s="197"/>
      <c r="H31" s="197"/>
      <c r="I31" s="197"/>
      <c r="J31" s="197"/>
      <c r="K31" s="197"/>
      <c r="L31" s="197"/>
      <c r="M31" s="197"/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197"/>
      <c r="Z31" s="197"/>
      <c r="AA31" s="197"/>
      <c r="AB31" s="197"/>
      <c r="AC31" s="197"/>
      <c r="AD31" s="197"/>
      <c r="AE31" s="197"/>
      <c r="AF31" s="51"/>
    </row>
    <row r="32" spans="1:32" ht="87.65" customHeight="1" thickBot="1" x14ac:dyDescent="0.5">
      <c r="A32" s="48"/>
      <c r="B32" s="208" t="str">
        <f>IF('SCOUT &amp; LOGISTICS'!M4="","",'SCOUT &amp; LOGISTICS'!M4)</f>
        <v>Very few plays to discuss, and all were questioned in time and corrected very quickly.</v>
      </c>
      <c r="C32" s="208"/>
      <c r="D32" s="208"/>
      <c r="E32" s="208"/>
      <c r="F32" s="208"/>
      <c r="G32" s="208"/>
      <c r="H32" s="208"/>
      <c r="I32" s="208"/>
      <c r="J32" s="208"/>
      <c r="K32" s="208"/>
      <c r="L32" s="208"/>
      <c r="M32" s="208"/>
      <c r="N32" s="208"/>
      <c r="O32" s="208"/>
      <c r="P32" s="208"/>
      <c r="Q32" s="208"/>
      <c r="R32" s="208"/>
      <c r="S32" s="208"/>
      <c r="T32" s="208"/>
      <c r="U32" s="208"/>
      <c r="V32" s="208"/>
      <c r="W32" s="208"/>
      <c r="X32" s="208"/>
      <c r="Y32" s="208"/>
      <c r="Z32" s="208"/>
      <c r="AA32" s="208"/>
      <c r="AB32" s="208"/>
      <c r="AC32" s="208"/>
      <c r="AD32" s="208"/>
      <c r="AE32" s="208"/>
      <c r="AF32" s="48"/>
    </row>
    <row r="33" spans="1:32" ht="20.149999999999999" customHeight="1" thickBot="1" x14ac:dyDescent="0.5">
      <c r="A33" s="48"/>
      <c r="B33" s="207"/>
      <c r="C33" s="20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7"/>
      <c r="P33" s="207"/>
      <c r="Q33" s="207"/>
      <c r="R33" s="207"/>
      <c r="S33" s="207"/>
      <c r="T33" s="207"/>
      <c r="U33" s="207"/>
      <c r="V33" s="207"/>
      <c r="W33" s="207"/>
      <c r="X33" s="207"/>
      <c r="Y33" s="207"/>
      <c r="Z33" s="207"/>
      <c r="AA33" s="207"/>
      <c r="AB33" s="207"/>
      <c r="AC33" s="207"/>
      <c r="AD33" s="207"/>
      <c r="AE33" s="207"/>
      <c r="AF33" s="48"/>
    </row>
    <row r="34" spans="1:32" ht="20.149999999999999" customHeight="1" thickBot="1" x14ac:dyDescent="0.5">
      <c r="A34" s="48"/>
      <c r="B34" s="197" t="s">
        <v>81</v>
      </c>
      <c r="C34" s="197"/>
      <c r="D34" s="197"/>
      <c r="E34" s="197"/>
      <c r="F34" s="197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209">
        <f>'SCOUT &amp; LOGISTICS'!M7</f>
        <v>2.6712328767123288</v>
      </c>
      <c r="C35" s="209"/>
      <c r="D35" s="209"/>
      <c r="E35" s="209"/>
      <c r="F35" s="209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191"/>
      <c r="C36" s="191"/>
      <c r="D36" s="191"/>
      <c r="E36" s="191"/>
      <c r="F36" s="191"/>
      <c r="G36" s="191"/>
      <c r="H36" s="191"/>
      <c r="I36" s="191"/>
      <c r="J36" s="191"/>
      <c r="K36" s="191"/>
      <c r="L36" s="191"/>
      <c r="M36" s="191"/>
      <c r="N36" s="191"/>
      <c r="O36" s="191"/>
      <c r="P36" s="191"/>
      <c r="Q36" s="191"/>
      <c r="R36" s="191"/>
      <c r="S36" s="191"/>
      <c r="T36" s="191"/>
      <c r="U36" s="191"/>
      <c r="V36" s="191"/>
      <c r="W36" s="191"/>
      <c r="X36" s="191"/>
      <c r="Y36" s="191"/>
      <c r="Z36" s="191"/>
      <c r="AA36" s="191"/>
      <c r="AB36" s="191"/>
      <c r="AC36" s="191"/>
      <c r="AD36" s="191"/>
      <c r="AE36" s="191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A6924842-96C6-4054-8D21-5D311F8ED0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2026-04-08T17:41:36Z</cp:lastPrinted>
  <dcterms:created xsi:type="dcterms:W3CDTF">2023-09-19T19:50:35Z</dcterms:created>
  <dcterms:modified xsi:type="dcterms:W3CDTF">2026-04-09T14:46:04Z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