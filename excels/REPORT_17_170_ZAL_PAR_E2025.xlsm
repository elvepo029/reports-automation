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6C3609F-751F-46F1-AC7C-9D982C39008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<sst xmlns="http://schemas.openxmlformats.org/spreadsheetml/2006/main" count="3235" uniqueCount="752">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</sst>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17_170_ZAL_PAR_E2025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46010.833333333336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REPORT_E2025170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"E2025170"</v>
      </c>
      <c r="F3" s="45" t="str">
        <f t="shared" ref="F3:F16" si="0">""""&amp;B3&amp;"""" &amp; " : " &amp;C3&amp;","</f>
        <v>"name" : "E2025170",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"E170"</v>
      </c>
      <c r="F4" s="45" t="str">
        <f t="shared" si="0"/>
        <v>"cod" : "E170",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170</v>
      </c>
      <c r="F6" s="45" t="str">
        <f t="shared" si="0"/>
        <v>"number" : 170,</v>
      </c>
    </row>
    <row r="7" spans="2:6" x14ac:dyDescent="0.2">
      <c r="B7" s="43" t="s">
        <v>116</v>
      </c>
      <c r="C7" s="43" t="str">
        <f ca="1">""""&amp;TEXT('SCOUT &amp; LOGISTICS'!B3,"dd/mm/aaaa")&amp;""""</f>
        <v>"19/12/Friday"</v>
      </c>
      <c r="F7" s="45" t="str">
        <f t="shared" ca="1" si="0"/>
        <v>"date" : "19/12/Friday",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17_170_ZAL_PAR_E2025</v>
      </c>
      <c r="F52" s="45" t="str">
        <f>""""&amp;B52&amp;"""" &amp; " : " &amp;C52</f>
        <v>"result" : 17_170_ZAL_PAR_E2025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E170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B2C1AE8-7313-42C7-B54A-4508D586695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