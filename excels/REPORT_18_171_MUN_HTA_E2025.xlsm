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7" documentId="8_{5207D60D-FD2F-43BB-91A3-F31972CA77BC}" xr6:coauthVersionLast="47" xr6:coauthVersionMax="47" xr10:uidLastSave="{C64CC631-E959-403D-BFFE-2445D00E9E84}"/>
  <bookViews>
    <workbookView minimized="1" xWindow="6165" yWindow="-14355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<sst xmlns="http://schemas.openxmlformats.org/spreadsheetml/2006/main" count="3270" uniqueCount="759">
  <si>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</si>
  <si>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</si>
  <si>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</si>
  <si>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</si>
  <si>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</si>
  <si>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</si>
  <si>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</si>
  <si>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</si>
  <si>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</si>
  <si>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</si>
  <si>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</si>
  <si>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</si>
  <si>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</si>
  <si>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</si>
  <si>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</si>
  <si>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</si>
  <si>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</si>
  <si>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</si>
  <si>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</si>
  <si>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</si>
  <si>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</si>
  <si>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</si>
  <si>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</si>
  <si>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</si>
  <si>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</si>
  <si>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</si>
  <si>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</si>
  <si>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</si>
  <si>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</si>
  <si>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</si>
  <si>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</si>
  <si>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</si>
  <si>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</si>
  <si>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</si>
  <si>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</si>
  <si>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</si>
  <si>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</si>
  <si>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</si>
  <si>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</si>
  <si>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</si>
  <si>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</si>
  <si>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</si>
  <si>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</si>
  <si>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</si>
  <si>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</si>
  <si>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</si>
  <si>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</si>
  <si>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</si>
  <si>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</si>
  <si>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</si>
  <si>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</si>
  <si>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</si>
  <si>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</si>
  <si>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</si>
  <si>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</si>
  <si>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</si>
  <si>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</si>
  <si>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</si>
  <si>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</si>
  <si>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</si>
  <si>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</si>
  <si>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</si>
  <si>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</si>
  <si>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</si>
  <si>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</si>
  <si>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</si>
  <si>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</si>
  <si>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</si>
  <si>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</si>
  <si>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</si>
  <si>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</si>
  <si>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</si>
  <si>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</si>
  <si>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</si>
  <si>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</si>
  <si>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</si>
  <si>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</si>
  <si>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</si>
  <si>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</si>
  <si>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</si>
  <si>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</si>
  <si>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</si>
  <si>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</si>
  <si>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</si>
  <si>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</si>
  <si>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</si>
  <si>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</si>
  <si>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</si>
  <si>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</si>
  <si>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</si>
  <si>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</si>
  <si>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</si>
  <si>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</si>
  <si>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</si>
  <si>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</si>
  <si>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</si>
  <si>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</si>
  <si>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</si>
  <si>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</si>
  <si>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</si>
  <si>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</si>
  <si>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</si>
  <si>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</si>
  <si>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</si>
  <si>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</si>
  <si>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</si>
  <si>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</si>
  <si>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</si>
  <si>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</si>
  <si>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</si>
  <si>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</si>
  <si>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</si>
  <si>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</si>
  <si>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</si>
  <si>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</si>
  <si>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</si>
  <si>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</si>
  <si>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</si>
  <si>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</si>
  <si>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</si>
  <si>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</si>
  <si>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</si>
  <si>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</si>
  <si>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</si>
  <si>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</si>
  <si>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</si>
  <si>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</si>
  <si>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</si>
  <si>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</si>
  <si>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</si>
  <si>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</si>
  <si>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</si>
  <si>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</si>
  <si>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</si>
  <si>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</si>
  <si>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</si>
  <si>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</si>
  <si>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</si>
  <si>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</si>
  <si>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</si>
  <si>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</si>
  <si>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</si>
  <si>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</si>
  <si>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</si>
  <si>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</si>
  <si>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</si>
  <si>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</si>
  <si>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</si>
  <si>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</si>
  <si>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</si>
  <si>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</si>
  <si>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</si>
  <si>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</si>
  <si>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</si>
  <si>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</si>
  <si>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</si>
  <si>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</si>
  <si>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</si>
  <si>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</si>
  <si>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</si>
  <si>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</si>
  <si>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</si>
  <si>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</si>
  <si>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</si>
  <si>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</si>
  <si>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</si>
  <si>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</si>
  <si>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</si>
  <si>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</si>
  <si>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</si>
  <si>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</si>
  <si>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</si>
  <si>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</si>
  <si>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</si>
  <si>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</si>
  <si>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</si>
  <si>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</si>
  <si>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</si>
  <si>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</si>
  <si>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</si>
  <si>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</si>
  <si>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</si>
  <si>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</si>
  <si>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</si>
  <si>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</si>
  <si>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</si>
  <si>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</si>
  <si>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</si>
  <si>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</si>
  <si>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</si>
  <si>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</si>
  <si>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</si>
  <si>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</si>
  <si>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</si>
  <si>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</si>
  <si>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</si>
  <si>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</si>
  <si>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</si>
  <si>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</si>
  <si>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</si>
  <si>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</si>
  <si>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</si>
  <si>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</si>
  <si>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</si>
  <si>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</si>
  <si>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</si>
  <si>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</si>
  <si>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</si>
  <si>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</si>
  <si>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</si>
  <si>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</si>
  <si>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</si>
  <si>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</si>
  <si>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</si>
  <si>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</si>
  <si>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</si>
  <si>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</si>
  <si>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</si>
  <si>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</si>
  <si>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</si>
  <si>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</si>
  <si>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</si>
  <si>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</si>
  <si>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</si>
  <si>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</si>
  <si>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</si>
  <si>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</si>
  <si>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</si>
  <si>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</si>
  <si>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</si>
  <si>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</si>
  <si>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</si>
  <si>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</si>
  <si>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</si>
  <si>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</si>
  <si>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</si>
  <si>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</si>
  <si>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</si>
  <si>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</si>
  <si>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</si>
  <si>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</si>
  <si>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</si>
  <si>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</si>
  <si>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</si>
  <si>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</si>
  <si>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</si>
  <si>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</si>
  <si>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</si>
  <si>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</si>
  <si>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</si>
  <si>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</si>
  <si>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</si>
  <si>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</si>
  <si>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</si>
  <si>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</si>
  <si>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</si>
  <si>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</si>
  <si>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</si>
  <si>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</si>
  <si>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</si>
  <si>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</si>
  <si>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</si>
  <si>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</si>
  <si>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</si>
  <si>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</si>
  <si>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</si>
  <si>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</si>
  <si>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</si>
  <si>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</si>
  <si>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</si>
  <si>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</si>
  <si>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</si>
  <si>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</si>
  <si>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</si>
  <si>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</si>
  <si>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</si>
  <si>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</si>
  <si>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</si>
  <si>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</si>
  <si>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</si>
  <si>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</si>
  <si>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</si>
  <si>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</si>
  <si>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</si>
  <si>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</si>
  <si>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</si>
  <si>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</si>
  <si>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</si>
  <si>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</si>
  <si>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</si>
  <si>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</si>
  <si>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</si>
  <si>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</si>
  <si>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</si>
  <si>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</si>
  <si>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</si>
  <si>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</si>
  <si>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</si>
  <si>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</si>
  <si>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</si>
  <si>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</si>
  <si>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</si>
  <si>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</si>
  <si>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</si>
  <si>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</si>
  <si>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</si>
  <si>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</si>
  <si>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</si>
  <si>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</si>
  <si>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</si>
  <si>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</si>
  <si>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</si>
  <si>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</si>
  <si>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</si>
  <si>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</si>
  <si>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</si>
  <si>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</si>
  <si>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</si>
  <si>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</si>
  <si>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</si>
  <si>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</si>
  <si>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</si>
  <si>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</si>
  <si>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</si>
  <si>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</si>
  <si>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</si>
  <si>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</si>
  <si>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</si>
  <si>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</si>
  <si>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</si>
  <si>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</si>
  <si>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</si>
  <si>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</si>
  <si>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</si>
  <si>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</si>
  <si>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</si>
  <si>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</si>
  <si>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</si>
  <si>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</si>
  <si>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</si>
  <si>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</si>
  <si>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</si>
  <si>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</si>
  <si>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</si>
  <si>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</si>
  <si>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</si>
  <si>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</si>
  <si>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</si>
  <si>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</si>
  <si>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</si>
  <si>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</si>
  <si>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</si>
  <si>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</si>
  <si>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</si>
  <si>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</si>
  <si>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</si>
  <si>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</si>
  <si>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</si>
  <si>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</si>
  <si>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</si>
  <si>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</si>
  <si>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</si>
  <si>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</si>
  <si>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</si>
  <si>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</si>
  <si>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</si>
  <si>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</si>
  <si>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</si>
  <si>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</si>
  <si>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</si>
  <si>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</si>
  <si>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</si>
  <si>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</si>
  <si>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</si>
  <si>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</si>
  <si>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</si>
  <si>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</si>
  <si>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</si>
  <si>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</si>
  <si>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</si>
  <si>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</si>
  <si>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</si>
  <si>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</si>
  <si>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</si>
  <si>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</si>
  <si>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</si>
  <si>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</si>
  <si>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</si>
  <si>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</si>
  <si>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</si>
  <si>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</si>
  <si>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</si>
  <si>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</si>
  <si>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</si>
  <si>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</si>
  <si>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</si>
  <si>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</si>
  <si>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</si>
  <si>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</si>
  <si>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</si>
  <si>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</si>
  <si>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</si>
  <si>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</si>
  <si>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</si>
  <si>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</si>
  <si>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</si>
  <si>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</si>
  <si>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</si>
  <si>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</si>
  <si>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</si>
  <si>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</si>
  <si>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</si>
  <si>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</si>
  <si>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</si>
  <si>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</si>
  <si>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</si>
  <si>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</si>
  <si>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</si>
  <si>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</si>
  <si>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</si>
  <si>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</si>
  <si>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</si>
  <si>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</si>
  <si>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</si>
  <si>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</si>
  <si>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</si>
  <si>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</si>
  <si>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</si>
  <si>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</si>
  <si>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</si>
  <si>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</si>
  <si>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</si>
  <si>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</si>
  <si>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</si>
  <si>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</si>
  <si>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</si>
  <si>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</si>
  <si>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</si>
  <si>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</si>
  <si>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</si>
  <si>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</si>
  <si>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</si>
  <si>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</si>
  <si>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</si>
  <si>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</si>
  <si>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</si>
  <si>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</si>
  <si>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</si>
  <si>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</si>
  <si>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</si>
  <si>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</si>
  <si>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</si>
  <si>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</si>
  <si>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</si>
  <si>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</si>
  <si>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</si>
  <si>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</si>
  <si>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</si>
  <si>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</si>
  <si>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</si>
  <si>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</si>
  <si>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</si>
  <si>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</si>
  <si>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</si>
  <si>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</si>
  <si>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</si>
  <si>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</si>
  <si>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</si>
  <si>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</si>
  <si>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</si>
  <si>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</si>
  <si>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</si>
  <si>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</si>
  <si>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</si>
  <si>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</si>
  <si>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</si>
  <si>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</si>
  <si>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</si>
  <si>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</si>
  <si>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</si>
  <si>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</si>
  <si>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</si>
  <si>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</si>
  <si>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</si>
  <si>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</si>
  <si>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</si>
  <si>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</si>
  <si>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</si>
  <si>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</si>
  <si>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</si>
  <si>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</si>
  <si>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</si>
  <si>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</si>
  <si>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</si>
  <si>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</si>
  <si>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</si>
  <si>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</si>
  <si>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</si>
  <si>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</si>
  <si>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</si>
  <si>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</si>
  <si>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</si>
  <si>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</si>
  <si>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</si>
  <si>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</si>
  <si>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</si>
  <si>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</si>
  <si>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</si>
  <si>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</si>
  <si>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</si>
  <si>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</si>
  <si>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</si>
  <si>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</si>
  <si>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</si>
  <si>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</si>
  <si>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</si>
  <si>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</si>
  <si>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</si>
  <si>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</si>
  <si>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</si>
  <si>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</si>
  <si>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</si>
  <si>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</si>
  <si>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</si>
  <si>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</si>
  <si>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</si>
  <si>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</si>
  <si>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</si>
  <si>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</si>
  <si>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</si>
  <si>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</si>
  <si>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</si>
  <si>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</si>
  <si>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</si>
  <si>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</si>
  <si>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</si>
  <si>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</si>
  <si>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</si>
  <si>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</si>
  <si>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</si>
  <si>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</si>
  <si>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</si>
  <si>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</si>
  <si>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</si>
  <si>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</si>
  <si>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</si>
  <si>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</si>
  <si>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</si>
  <si>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</si>
  <si>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</si>
  <si>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</si>
  <si>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</si>
  <si>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</si>
  <si>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</si>
  <si>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</si>
  <si>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</si>
  <si>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</si>
  <si>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</si>
  <si>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</si>
  <si>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</si>
  <si>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</si>
  <si>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</si>
  <si>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</si>
  <si>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</si>
  <si>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</si>
  <si>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</si>
  <si>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</si>
  <si>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</si>
  <si>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</si>
  <si>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</si>
  <si>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</si>
  <si>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</si>
  <si>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</si>
  <si>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</si>
  <si>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</si>
  <si>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</si>
  <si>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</si>
  <si>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</si>
  <si>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</si>
  <si>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</si>
  <si>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</si>
  <si>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</si>
  <si>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</si>
  <si>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</si>
  <si>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</si>
  <si>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</si>
  <si>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</si>
  <si>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</si>
  <si>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</si>
  <si>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</si>
  <si>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</si>
  <si>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</si>
  <si>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</si>
  <si>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</si>
  <si>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</si>
  <si>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</si>
  <si>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</si>
  <si>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</si>
  <si>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</si>
  <si>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</si>
  <si>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</si>
  <si>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</si>
  <si>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</si>
  <si>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</si>
  <si>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</si>
  <si>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</si>
  <si>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</si>
  <si>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</si>
  <si>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</si>
  <si>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</si>
  <si>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</si>
  <si>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</si>
  <si>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</si>
  <si>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</si>
  <si>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</si>
  <si>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</si>
  <si>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</si>
  <si>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</si>
  <si>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</si>
  <si>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</si>
  <si>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</si>
  <si>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</si>
  <si>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</si>
  <si>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</si>
  <si>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</si>
  <si>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</si>
  <si>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</si>
  <si>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</si>
  <si>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</si>
  <si>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</si>
  <si>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</si>
  <si>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</si>
  <si>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</si>
  <si>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</si>
  <si>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</si>
  <si>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</si>
  <si>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</si>
  <si>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</si>
  <si>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</si>
  <si>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</si>
  <si>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</si>
  <si>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</si>
  <si>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</si>
  <si>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</si>
  <si>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</si>
  <si>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</si>
  <si>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</si>
  <si>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</si>
  <si>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</si>
  <si>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</si>
  <si>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</si>
  <si>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</si>
  <si>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</si>
  <si>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</si>
  <si>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</si>
  <si>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</si>
  <si>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</si>
  <si>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</si>
  <si>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</si>
  <si>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</si>
  <si>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</si>
  <si>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</si>
  <si>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</si>
  <si>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</si>
  <si>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</si>
  <si>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</si>
  <si>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</si>
  <si>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</si>
  <si>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</si>
  <si>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</si>
  <si>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</si>
  <si>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</si>
  <si>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</si>
  <si>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</si>
  <si>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</si>
  <si>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</si>
  <si>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</si>
  <si>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</si>
  <si>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</si>
  <si>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</si>
  <si>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</si>
  <si>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</si>
  <si>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</si>
  <si>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</si>
  <si>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</si>
  <si>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</si>
  <si>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</si>
  <si>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</si>
  <si>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</si>
  <si>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</si>
  <si>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</si>
  <si>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</si>
  <si>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</si>
  <si>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</si>
  <si>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</si>
  <si>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</si>
  <si>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</si>
  <si>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</si>
  <si>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</si>
  <si>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</si>
  <si>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</si>
  <si>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</si>
  <si>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</si>
  <si>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</si>
  <si>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</si>
  <si>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</si>
  <si>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</si>
  <si>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</si>
  <si>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</si>
  <si>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</si>
  <si>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</si>
  <si>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</si>
  <si>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</si>
  <si>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</si>
  <si>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</si>
  <si>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</si>
  <si>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</si>
  <si>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</si>
  <si>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</si>
  <si>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</si>
  <si>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</si>
  <si>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</si>
  <si>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</si>
  <si>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</si>
  <si>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</si>
  <si>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</si>
  <si>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</si>
  <si>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</si>
  <si>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</si>
  <si>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</si>
  <si>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</si>
  <si>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</si>
  <si>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</si>
  <si>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</si>
  <si>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</si>
  <si>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</si>
  <si>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</si>
  <si>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</si>
  <si>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</si>
  <si>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</si>
  <si>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</si>
  <si>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</si>
  <si>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</si>
  <si>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</si>
  <si>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</si>
  <si>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</si>
  <si>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</si>
  <si>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</si>
  <si>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</si>
  <si>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</si>
  <si>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C:\Users\xavi.mateu\OneDrive - EUROLEAGUE\Desktop</t>
  </si>
  <si>
    <t>XAVIER MATEU</t>
  </si>
  <si>
    <t>MARKUS SKUBALZ</t>
  </si>
  <si>
    <t>07:15</t>
  </si>
  <si>
    <t>02:22</t>
  </si>
  <si>
    <t>01:28</t>
  </si>
  <si>
    <t>03:55</t>
  </si>
  <si>
    <t>07:52</t>
  </si>
  <si>
    <t>Excellent job! You didn't credited two assists when In other similar situations you had credited.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</si>
</sst>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18_171_MUN_HTA_E2025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46014.854166666664</v>
      </c>
      <c r="C3" s="157"/>
      <c r="D3" s="39">
        <v>549</v>
      </c>
      <c r="E3" s="29"/>
      <c r="F3" s="26">
        <f>SUBTOTAL(3,I17:I106)</f>
        <v>5</v>
      </c>
      <c r="G3" s="27">
        <f>IF(OR(D3="",D3=0),"",F3/D3)</f>
        <v>9.1074681238615673E-3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9.1074681238615673E-3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0.91074681238615673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3.9107468123861566</v>
      </c>
      <c r="N7" s="58"/>
      <c r="O7" s="2"/>
      <c r="P7" s="2"/>
      <c r="Q7" s="86">
        <f>SUM(R5,S5,AC16)</f>
        <v>3.9107468123861566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725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3.9107468123861566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726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171</v>
      </c>
      <c r="D17" s="32" t="s">
        <v>753</v>
      </c>
      <c r="E17" s="33">
        <v>1</v>
      </c>
      <c r="F17" s="36">
        <v>2</v>
      </c>
      <c r="G17" s="36">
        <v>7</v>
      </c>
      <c r="H17" s="38" t="str">
        <f>IF(I17="","",$I$14)</f>
        <v>SCOUTING</v>
      </c>
      <c r="I17" s="34">
        <v>28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171</v>
      </c>
      <c r="D18" s="32" t="s">
        <v>754</v>
      </c>
      <c r="E18" s="33">
        <v>1</v>
      </c>
      <c r="F18" s="36">
        <v>8</v>
      </c>
      <c r="G18" s="36">
        <v>17</v>
      </c>
      <c r="H18" s="38" t="str">
        <f t="shared" ref="H18:H81" si="8">IF(I18="","",$I$14)</f>
        <v>SCOUTING</v>
      </c>
      <c r="I18" s="34">
        <v>98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171</v>
      </c>
      <c r="D19" s="32" t="s">
        <v>755</v>
      </c>
      <c r="E19" s="33">
        <v>1</v>
      </c>
      <c r="F19" s="36">
        <v>10</v>
      </c>
      <c r="G19" s="36">
        <v>19</v>
      </c>
      <c r="H19" s="38" t="str">
        <f t="shared" si="8"/>
        <v>SCOUTING</v>
      </c>
      <c r="I19" s="34">
        <v>120</v>
      </c>
      <c r="J19" s="13" t="s">
        <v>4</v>
      </c>
      <c r="K19" s="13" t="s">
        <v>62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171</v>
      </c>
      <c r="D20" s="32" t="s">
        <v>756</v>
      </c>
      <c r="E20" s="33">
        <v>2</v>
      </c>
      <c r="F20" s="36">
        <v>22</v>
      </c>
      <c r="G20" s="36">
        <v>30</v>
      </c>
      <c r="H20" s="38" t="str">
        <f t="shared" si="8"/>
        <v>SCOUTING</v>
      </c>
      <c r="I20" s="34">
        <v>219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171</v>
      </c>
      <c r="D21" s="32" t="s">
        <v>757</v>
      </c>
      <c r="E21" s="33">
        <v>2</v>
      </c>
      <c r="F21" s="36">
        <v>39</v>
      </c>
      <c r="G21" s="36">
        <v>48</v>
      </c>
      <c r="H21" s="38" t="str">
        <f t="shared" si="8"/>
        <v>SCOUTING</v>
      </c>
      <c r="I21" s="34">
        <v>305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"E2025171"</v>
      </c>
      <c r="F3" s="45" t="str">
        <f t="shared" ref="F3:F16" si="0">""""&amp;B3&amp;"""" &amp; " : " &amp;C3&amp;","</f>
        <v>"name" : "E2025171",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"E171"</v>
      </c>
      <c r="F4" s="45" t="str">
        <f t="shared" si="0"/>
        <v>"cod" : "E171",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171</v>
      </c>
      <c r="F6" s="45" t="str">
        <f t="shared" si="0"/>
        <v>"number" : 171,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"SEBASTIAN BLANZ"</v>
      </c>
      <c r="F10" s="45" t="str">
        <f t="shared" si="0"/>
        <v>"Data_entry" : "SEBASTIAN BLANZ",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"MARKUS SKUBALZ"</v>
      </c>
      <c r="F11" s="45" t="str">
        <f t="shared" si="0"/>
        <v>"Caller_1" : "MARKUS SKUBALZ",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"THOMAS ROEHLICH"</v>
      </c>
      <c r="F12" s="45" t="str">
        <f t="shared" si="0"/>
        <v>"Caller_2" : "THOMAS ROEHLICH",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"JURGEN JOST"</v>
      </c>
      <c r="F13" s="45" t="str">
        <f t="shared" si="0"/>
        <v>"Timerkeeper" : "JURGEN JOST",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"ANDREAS GREPPMAYR"</v>
      </c>
      <c r="F14" s="45" t="str">
        <f t="shared" si="0"/>
        <v>"Shotclock" : "ANDREAS GREPPMAYR",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549</v>
      </c>
      <c r="F25" s="45" t="str">
        <f t="shared" ref="F25:F48" si="1">""""&amp;C25&amp;"""" &amp; " : " &amp;D25&amp;","</f>
        <v>"total_actions" : 549,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You didn't credited two assists when In other similar situations you had credited."</v>
      </c>
      <c r="F51" s="45" t="str">
        <f>""""&amp;B51&amp;"""" &amp; " : " &amp;C51&amp;","</f>
        <v>"comments" : "Excellent job! You didn't credited two assists when In other similar situations you had credited.",</v>
      </c>
    </row>
    <row r="52" spans="2:6" x14ac:dyDescent="0.25">
      <c r="B52" s="43" t="s">
        <v>153</v>
      </c>
      <c r="C52" s="43" t="str">
        <f>TEXT('SCOUT &amp; LOGISTICS'!F1,"0,0")</f>
        <v>18_171_MUN_HTA_E2025</v>
      </c>
      <c r="F52" s="45" t="str">
        <f>""""&amp;B52&amp;"""" &amp; " : " &amp;C52</f>
        <v>"result" : 18_171_MUN_HTA_E2025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SEBASTIAN BLANZ</v>
      </c>
      <c r="C8" s="206"/>
      <c r="D8" s="206"/>
      <c r="E8" s="206"/>
      <c r="F8" s="206"/>
      <c r="G8" s="206" t="str">
        <f>IF('SCOUT &amp; LOGISTICS'!D7="","",'SCOUT &amp; LOGISTICS'!D7)</f>
        <v>MARKUS SKUBALZ</v>
      </c>
      <c r="H8" s="206"/>
      <c r="I8" s="206"/>
      <c r="J8" s="206"/>
      <c r="K8" s="206"/>
      <c r="L8" s="206" t="str">
        <f>IF('SCOUT &amp; LOGISTICS'!D8="","",'SCOUT &amp; LOGISTICS'!D8)</f>
        <v>THOMAS ROEHLICH</v>
      </c>
      <c r="M8" s="206"/>
      <c r="N8" s="206"/>
      <c r="O8" s="206"/>
      <c r="P8" s="206"/>
      <c r="Q8" s="206" t="str">
        <f>IF('SCOUT &amp; LOGISTICS'!D9="","",'SCOUT &amp; LOGISTICS'!D9)</f>
        <v>JURGEN JOST</v>
      </c>
      <c r="R8" s="206"/>
      <c r="S8" s="206"/>
      <c r="T8" s="206"/>
      <c r="U8" s="206"/>
      <c r="V8" s="206" t="str">
        <f>IF('SCOUT &amp; LOGISTICS'!D10="","",'SCOUT &amp; LOGISTICS'!D10)</f>
        <v>ANDREAS GREPPMAYR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9.1074681238615673E-3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You didn't credited two assists when In other similar situations you had credited.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3.9107468123861566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12F4E5-424E-4259-9113-564CDCFFB5A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2025-12-26T15:10:56Z</cp:lastPrinted>
  <dcterms:created xsi:type="dcterms:W3CDTF">2023-09-19T19:50:35Z</dcterms:created>
  <dcterms:modified xsi:type="dcterms:W3CDTF">2025-12-26T15:12:59Z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