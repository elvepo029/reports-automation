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30" documentId="8_{C6DA0725-58C1-474A-9CB0-B1972C1C8267}" xr6:coauthVersionLast="47" xr6:coauthVersionMax="47" xr10:uidLastSave="{990F3F64-9C2E-4005-96A8-3DBC22D05B9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<sst xmlns="http://schemas.openxmlformats.org/spreadsheetml/2006/main" count="3337" uniqueCount="835">
  <si>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</si>
  <si>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</si>
  <si>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</si>
  <si>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</si>
  <si>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</si>
  <si>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</si>
  <si>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</si>
  <si>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</si>
  <si>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</si>
  <si>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</si>
  <si>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</si>
  <si>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</si>
  <si>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</si>
  <si>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</si>
  <si>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</si>
  <si>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</si>
  <si>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</si>
  <si>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</si>
  <si>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</si>
  <si>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</si>
  <si>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</si>
  <si>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</si>
  <si>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</si>
  <si>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</si>
  <si>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</si>
  <si>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</si>
  <si>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</si>
  <si>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</si>
  <si>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</si>
  <si>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</si>
  <si>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</si>
  <si>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</si>
  <si>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</si>
  <si>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</si>
  <si>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</si>
  <si>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</si>
  <si>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</si>
  <si>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</si>
  <si>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</si>
  <si>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</si>
  <si>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</si>
  <si>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</si>
  <si>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</si>
  <si>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</si>
  <si>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</si>
  <si>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</si>
  <si>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</si>
  <si>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</si>
  <si>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</si>
  <si>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</si>
  <si>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</si>
  <si>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</si>
  <si>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</si>
  <si>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</si>
  <si>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</si>
  <si>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</si>
  <si>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</si>
  <si>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</si>
  <si>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</si>
  <si>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</si>
  <si>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</si>
  <si>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</si>
  <si>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</si>
  <si>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</si>
  <si>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</si>
  <si>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</si>
  <si>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</si>
  <si>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</si>
  <si>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</si>
  <si>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</si>
  <si>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</si>
  <si>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</si>
  <si>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</si>
  <si>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</si>
  <si>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</si>
  <si>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</si>
  <si>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</si>
  <si>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</si>
  <si>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</si>
  <si>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</si>
  <si>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</si>
  <si>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</si>
  <si>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</si>
  <si>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</si>
  <si>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</si>
  <si>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</si>
  <si>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</si>
  <si>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</si>
  <si>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</si>
  <si>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</si>
  <si>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</si>
  <si>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</si>
  <si>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</si>
  <si>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</si>
  <si>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</si>
  <si>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</si>
  <si>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</si>
  <si>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</si>
  <si>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</si>
  <si>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</si>
  <si>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</si>
  <si>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</si>
  <si>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</si>
  <si>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</si>
  <si>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</si>
  <si>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</si>
  <si>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</si>
  <si>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</si>
  <si>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</si>
  <si>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</si>
  <si>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</si>
  <si>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</si>
  <si>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</si>
  <si>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</si>
  <si>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</si>
  <si>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</si>
  <si>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</si>
  <si>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</si>
  <si>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</si>
  <si>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</si>
  <si>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</si>
  <si>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</si>
  <si>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</si>
  <si>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</si>
  <si>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</si>
  <si>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</si>
  <si>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</si>
  <si>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</si>
  <si>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</si>
  <si>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</si>
  <si>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</si>
  <si>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</si>
  <si>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</si>
  <si>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</si>
  <si>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</si>
  <si>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</si>
  <si>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</si>
  <si>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</si>
  <si>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</si>
  <si>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</si>
  <si>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</si>
  <si>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</si>
  <si>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</si>
  <si>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</si>
  <si>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</si>
  <si>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</si>
  <si>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</si>
  <si>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</si>
  <si>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</si>
  <si>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</si>
  <si>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</si>
  <si>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</si>
  <si>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</si>
  <si>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</si>
  <si>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</si>
  <si>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</si>
  <si>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</si>
  <si>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</si>
  <si>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</si>
  <si>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</si>
  <si>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</si>
  <si>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</si>
  <si>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</si>
  <si>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</si>
  <si>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</si>
  <si>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</si>
  <si>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</si>
  <si>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</si>
  <si>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</si>
  <si>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</si>
  <si>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</si>
  <si>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</si>
  <si>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</si>
  <si>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</si>
  <si>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</si>
  <si>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</si>
  <si>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</si>
  <si>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</si>
  <si>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</si>
  <si>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</si>
  <si>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</si>
  <si>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</si>
  <si>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</si>
  <si>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</si>
  <si>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</si>
  <si>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</si>
  <si>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</si>
  <si>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</si>
  <si>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</si>
  <si>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</si>
  <si>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</si>
  <si>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</si>
  <si>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</si>
  <si>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</si>
  <si>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</si>
  <si>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</si>
  <si>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</si>
  <si>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</si>
  <si>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</si>
  <si>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</si>
  <si>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</si>
  <si>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</si>
  <si>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</si>
  <si>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</si>
  <si>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</si>
  <si>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</si>
  <si>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</si>
  <si>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</si>
  <si>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</si>
  <si>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</si>
  <si>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</si>
  <si>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</si>
  <si>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</si>
  <si>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</si>
  <si>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</si>
  <si>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</si>
  <si>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</si>
  <si>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</si>
  <si>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</si>
  <si>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</si>
  <si>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</si>
  <si>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</si>
  <si>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</si>
  <si>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</si>
  <si>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</si>
  <si>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</si>
  <si>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</si>
  <si>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</si>
  <si>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</si>
  <si>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</si>
  <si>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</si>
  <si>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</si>
  <si>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</si>
  <si>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</si>
  <si>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</si>
  <si>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</si>
  <si>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</si>
  <si>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</si>
  <si>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</si>
  <si>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</si>
  <si>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</si>
  <si>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</si>
  <si>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</si>
  <si>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</si>
  <si>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</si>
  <si>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</si>
  <si>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</si>
  <si>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</si>
  <si>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</si>
  <si>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</si>
  <si>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</si>
  <si>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</si>
  <si>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</si>
  <si>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</si>
  <si>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</si>
  <si>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</si>
  <si>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</si>
  <si>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</si>
  <si>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</si>
  <si>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</si>
  <si>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</si>
  <si>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</si>
  <si>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</si>
  <si>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</si>
  <si>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</si>
  <si>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</si>
  <si>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</si>
  <si>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</si>
  <si>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</si>
  <si>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</si>
  <si>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</si>
  <si>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</si>
  <si>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</si>
  <si>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</si>
  <si>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</si>
  <si>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</si>
  <si>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</si>
  <si>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</si>
  <si>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</si>
  <si>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</si>
  <si>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</si>
  <si>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</si>
  <si>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</si>
  <si>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</si>
  <si>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</si>
  <si>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</si>
  <si>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</si>
  <si>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</si>
  <si>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</si>
  <si>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</si>
  <si>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</si>
  <si>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</si>
  <si>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</si>
  <si>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</si>
  <si>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</si>
  <si>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</si>
  <si>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</si>
  <si>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</si>
  <si>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</si>
  <si>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</si>
  <si>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</si>
  <si>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</si>
  <si>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</si>
  <si>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</si>
  <si>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</si>
  <si>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</si>
  <si>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</si>
  <si>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</si>
  <si>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</si>
  <si>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</si>
  <si>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</si>
  <si>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</si>
  <si>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</si>
  <si>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</si>
  <si>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</si>
  <si>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</si>
  <si>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</si>
  <si>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</si>
  <si>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</si>
  <si>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</si>
  <si>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</si>
  <si>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</si>
  <si>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</si>
  <si>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</si>
  <si>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</si>
  <si>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</si>
  <si>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</si>
  <si>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</si>
  <si>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</si>
  <si>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</si>
  <si>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</si>
  <si>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</si>
  <si>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</si>
  <si>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</si>
  <si>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</si>
  <si>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</si>
  <si>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</si>
  <si>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</si>
  <si>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</si>
  <si>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</si>
  <si>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</si>
  <si>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</si>
  <si>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</si>
  <si>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</si>
  <si>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</si>
  <si>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</si>
  <si>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</si>
  <si>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</si>
  <si>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</si>
  <si>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</si>
  <si>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</si>
  <si>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</si>
  <si>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</si>
  <si>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</si>
  <si>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</si>
  <si>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</si>
  <si>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</si>
  <si>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</si>
  <si>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</si>
  <si>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</si>
  <si>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</si>
  <si>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</si>
  <si>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</si>
  <si>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</si>
  <si>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</si>
  <si>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</si>
  <si>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</si>
  <si>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</si>
  <si>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</si>
  <si>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</si>
  <si>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</si>
  <si>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</si>
  <si>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</si>
  <si>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</si>
  <si>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</si>
  <si>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</si>
  <si>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</si>
  <si>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</si>
  <si>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</si>
  <si>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</si>
  <si>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</si>
  <si>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</si>
  <si>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</si>
  <si>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</si>
  <si>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</si>
  <si>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</si>
  <si>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</si>
  <si>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</si>
  <si>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</si>
  <si>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</si>
  <si>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</si>
  <si>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</si>
  <si>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</si>
  <si>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</si>
  <si>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</si>
  <si>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</si>
  <si>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</si>
  <si>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</si>
  <si>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</si>
  <si>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</si>
  <si>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</si>
  <si>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</si>
  <si>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</si>
  <si>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</si>
  <si>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</si>
  <si>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</si>
  <si>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</si>
  <si>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</si>
  <si>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</si>
  <si>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</si>
  <si>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</si>
  <si>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</si>
  <si>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</si>
  <si>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</si>
  <si>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</si>
  <si>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</si>
  <si>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</si>
  <si>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</si>
  <si>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</si>
  <si>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</si>
  <si>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</si>
  <si>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</si>
  <si>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</si>
  <si>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</si>
  <si>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</si>
  <si>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</si>
  <si>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</si>
  <si>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</si>
  <si>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</si>
  <si>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</si>
  <si>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</si>
  <si>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</si>
  <si>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</si>
  <si>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</si>
  <si>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</si>
  <si>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</si>
  <si>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</si>
  <si>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</si>
  <si>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</si>
  <si>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</si>
  <si>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</si>
  <si>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</si>
  <si>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</si>
  <si>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</si>
  <si>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</si>
  <si>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</si>
  <si>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</si>
  <si>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</si>
  <si>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</si>
  <si>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</si>
  <si>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</si>
  <si>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</si>
  <si>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</si>
  <si>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</si>
  <si>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</si>
  <si>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</si>
  <si>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</si>
  <si>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</si>
  <si>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</si>
  <si>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</si>
  <si>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</si>
  <si>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</si>
  <si>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</si>
  <si>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</si>
  <si>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</si>
  <si>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</si>
  <si>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</si>
  <si>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</si>
  <si>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</si>
  <si>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</si>
  <si>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</si>
  <si>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</si>
  <si>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</si>
  <si>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</si>
  <si>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</si>
  <si>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</si>
  <si>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</si>
  <si>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</si>
  <si>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</si>
  <si>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</si>
  <si>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</si>
  <si>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</si>
  <si>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</si>
  <si>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</si>
  <si>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</si>
  <si>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</si>
  <si>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</si>
  <si>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</si>
  <si>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</si>
  <si>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</si>
  <si>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</si>
  <si>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</si>
  <si>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</si>
  <si>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</si>
  <si>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</si>
  <si>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</si>
  <si>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</si>
  <si>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</si>
  <si>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</si>
  <si>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</si>
  <si>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</si>
  <si>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</si>
  <si>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</si>
  <si>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</si>
  <si>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</si>
  <si>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</si>
  <si>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</si>
  <si>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</si>
  <si>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</si>
  <si>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</si>
  <si>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</si>
  <si>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</si>
  <si>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</si>
  <si>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</si>
  <si>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</si>
  <si>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</si>
  <si>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</si>
  <si>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</si>
  <si>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</si>
  <si>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</si>
  <si>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</si>
  <si>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</si>
  <si>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</si>
  <si>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</si>
  <si>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</si>
  <si>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</si>
  <si>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</si>
  <si>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</si>
  <si>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</si>
  <si>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</si>
  <si>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</si>
  <si>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</si>
  <si>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</si>
  <si>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</si>
  <si>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</si>
  <si>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</si>
  <si>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</si>
  <si>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</si>
  <si>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</si>
  <si>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</si>
  <si>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</si>
  <si>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</si>
  <si>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</si>
  <si>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</si>
  <si>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</si>
  <si>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</si>
  <si>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</si>
  <si>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</si>
  <si>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</si>
  <si>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</si>
  <si>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</si>
  <si>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</si>
  <si>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</si>
  <si>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</si>
  <si>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</si>
  <si>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</si>
  <si>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</si>
  <si>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</si>
  <si>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</si>
  <si>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</si>
  <si>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</si>
  <si>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</si>
  <si>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</si>
  <si>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</si>
  <si>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</si>
  <si>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</si>
  <si>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</si>
  <si>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</si>
  <si>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</si>
  <si>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</si>
  <si>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</si>
  <si>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</si>
  <si>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</si>
  <si>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</si>
  <si>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</si>
  <si>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</si>
  <si>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</si>
  <si>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</si>
  <si>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</si>
  <si>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</si>
  <si>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</si>
  <si>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</si>
  <si>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</si>
  <si>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</si>
  <si>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</si>
  <si>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</si>
  <si>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</si>
  <si>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</si>
  <si>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</si>
  <si>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</si>
  <si>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</si>
  <si>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</si>
  <si>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</si>
  <si>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</si>
  <si>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</si>
  <si>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</si>
  <si>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</si>
  <si>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</si>
  <si>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</si>
  <si>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</si>
  <si>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</si>
  <si>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</si>
  <si>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</si>
  <si>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</si>
  <si>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</si>
  <si>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</si>
  <si>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</si>
  <si>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</si>
  <si>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</si>
  <si>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</si>
  <si>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</si>
  <si>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</si>
  <si>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</si>
  <si>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</si>
  <si>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</si>
  <si>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</si>
  <si>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</si>
  <si>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</si>
  <si>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</si>
  <si>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</si>
  <si>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</si>
  <si>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</si>
  <si>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</si>
  <si>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</si>
  <si>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</si>
  <si>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</si>
  <si>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</si>
  <si>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</si>
  <si>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</si>
  <si>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</si>
  <si>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</si>
  <si>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</si>
  <si>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</si>
  <si>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</si>
  <si>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</si>
  <si>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</si>
  <si>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</si>
  <si>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</si>
  <si>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</si>
  <si>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</si>
  <si>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</si>
  <si>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</si>
  <si>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</si>
  <si>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</si>
  <si>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</si>
  <si>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</si>
  <si>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</si>
  <si>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</si>
  <si>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</si>
  <si>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</si>
  <si>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</si>
  <si>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</si>
  <si>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</si>
  <si>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</si>
  <si>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</si>
  <si>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</si>
  <si>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</si>
  <si>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</si>
  <si>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</si>
  <si>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</si>
  <si>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</si>
  <si>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</si>
  <si>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</si>
  <si>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</si>
  <si>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</si>
  <si>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</si>
  <si>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</si>
  <si>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</si>
  <si>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</si>
  <si>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</si>
  <si>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</si>
  <si>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</si>
  <si>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</si>
  <si>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</si>
  <si>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</si>
  <si>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</si>
  <si>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</si>
  <si>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</si>
  <si>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</si>
  <si>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</si>
  <si>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</si>
  <si>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</si>
  <si>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</si>
  <si>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</si>
  <si>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</si>
  <si>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</si>
  <si>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</si>
  <si>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</si>
  <si>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</si>
  <si>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</si>
  <si>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</si>
  <si>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</si>
  <si>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</si>
  <si>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</si>
  <si>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</si>
  <si>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</si>
  <si>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</si>
  <si>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</si>
  <si>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</si>
  <si>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</si>
  <si>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</si>
  <si>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</si>
  <si>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</si>
  <si>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</si>
  <si>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</si>
  <si>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</si>
  <si>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</si>
  <si>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</si>
  <si>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</si>
  <si>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</si>
  <si>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</si>
  <si>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</si>
  <si>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</si>
  <si>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</si>
  <si>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</si>
  <si>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</si>
  <si>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</si>
  <si>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</si>
  <si>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</si>
  <si>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</si>
  <si>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</si>
  <si>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</si>
  <si>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</si>
  <si>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</si>
  <si>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</si>
  <si>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</si>
  <si>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</si>
  <si>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</si>
  <si>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</si>
  <si>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</si>
  <si>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</si>
  <si>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</si>
  <si>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</si>
  <si>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</si>
  <si>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</si>
  <si>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</si>
  <si>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</si>
  <si>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</si>
  <si>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</si>
  <si>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</si>
  <si>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</si>
  <si>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</si>
  <si>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</si>
  <si>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</si>
  <si>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</si>
  <si>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</si>
  <si>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</si>
  <si>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</si>
  <si>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</si>
  <si>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</si>
  <si>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</si>
  <si>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</si>
  <si>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</si>
  <si>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</si>
  <si>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</si>
  <si>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</si>
  <si>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</si>
  <si>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</si>
  <si>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</si>
  <si>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</si>
  <si>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</si>
  <si>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</si>
  <si>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</si>
  <si>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</si>
  <si>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</si>
  <si>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</si>
  <si>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</si>
  <si>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</si>
  <si>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</si>
  <si>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</si>
  <si>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</si>
  <si>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</si>
  <si>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</si>
  <si>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</si>
  <si>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</si>
  <si>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</si>
  <si>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</si>
  <si>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</si>
  <si>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</si>
  <si>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</si>
  <si>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</si>
  <si>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</si>
  <si>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</si>
  <si>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</si>
  <si>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</si>
  <si>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</si>
  <si>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</si>
  <si>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</si>
  <si>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</si>
  <si>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</si>
  <si>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</si>
  <si>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</si>
  <si>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</si>
  <si>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</si>
  <si>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</si>
  <si>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</si>
  <si>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</si>
  <si>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</si>
  <si>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</si>
  <si>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</si>
  <si>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</si>
  <si>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</si>
  <si>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</si>
  <si>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</si>
  <si>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</si>
  <si>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</si>
  <si>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</si>
  <si>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</si>
  <si>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</si>
  <si>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</si>
  <si>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</si>
  <si>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</si>
  <si>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</si>
  <si>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</si>
  <si>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</si>
  <si>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</si>
  <si>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</si>
  <si>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</si>
  <si>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</si>
  <si>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</si>
  <si>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</si>
  <si>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</si>
  <si>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</si>
  <si>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</si>
  <si>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</si>
  <si>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</si>
  <si>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MATTHIAS RUDOLPH</t>
  </si>
  <si>
    <t>TIM BLAWAT</t>
  </si>
  <si>
    <t>JUSTUS-ALEXANDER JUERGENS</t>
  </si>
  <si>
    <t>STEFAN BOIE</t>
  </si>
  <si>
    <t>JÖRN ASMUSSEN</t>
  </si>
  <si>
    <t>XAVIER MATEU</t>
  </si>
  <si>
    <t>01:50</t>
  </si>
  <si>
    <t>A nearly perfect match that reflects the great season you’ve had. Thank you for your work. Recharge and come back strong next season!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</si>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</sst>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18_172_HAM_MAN_U2025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834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172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46064.8125</v>
      </c>
      <c r="C3" s="157"/>
      <c r="D3" s="39">
        <v>704</v>
      </c>
      <c r="E3" s="29"/>
      <c r="F3" s="26">
        <f>SUBTOTAL(3,I17:I106)</f>
        <v>1</v>
      </c>
      <c r="G3" s="27">
        <f>IF(OR(D3="",D3=0),"",F3/D3)</f>
        <v>1.4204545454545455E-3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Veolia Towers Hamburg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HAM</v>
      </c>
      <c r="I4" s="5"/>
      <c r="J4" s="119" t="s">
        <v>714</v>
      </c>
      <c r="K4" s="54" t="s">
        <v>743</v>
      </c>
      <c r="L4" s="5"/>
      <c r="M4" s="167" t="s">
        <v>833</v>
      </c>
      <c r="N4" s="168"/>
      <c r="O4" s="2"/>
      <c r="P4" s="2"/>
      <c r="Q4" s="84" t="s">
        <v>175</v>
      </c>
      <c r="R4" s="94">
        <f>(IF(G3="",0,G3))</f>
        <v>1.4204545454545455E-3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BAXI Manresa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MAN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0.14204545454545456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827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0.64204545454545459</v>
      </c>
      <c r="N7" s="58"/>
      <c r="O7" s="2"/>
      <c r="P7" s="2"/>
      <c r="Q7" s="86">
        <f>SUM(R5,S5,AC16)</f>
        <v>0.64204545454545459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828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0.64204545454545459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829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172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831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172</v>
      </c>
      <c r="D17" s="32" t="s">
        <v>832</v>
      </c>
      <c r="E17" s="33">
        <v>1</v>
      </c>
      <c r="F17" s="36">
        <v>26</v>
      </c>
      <c r="G17" s="36">
        <v>28</v>
      </c>
      <c r="H17" s="38" t="str">
        <f>IF(I17="","",$I$14)</f>
        <v>SCOUTING</v>
      </c>
      <c r="I17" s="34">
        <v>155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REPORT_U2025172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"U2025172"</v>
      </c>
      <c r="F3" s="45" t="str">
        <f t="shared" ref="F3:F16" si="0">""""&amp;B3&amp;"""" &amp; " : " &amp;C3&amp;","</f>
        <v>"name" : "U2025172",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"U172"</v>
      </c>
      <c r="F4" s="45" t="str">
        <f t="shared" si="0"/>
        <v>"cod" : "U172",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172</v>
      </c>
      <c r="F6" s="45" t="str">
        <f t="shared" si="0"/>
        <v>"number" : 172,</v>
      </c>
    </row>
    <row r="7" spans="2:6" x14ac:dyDescent="0.25">
      <c r="B7" s="43" t="s">
        <v>116</v>
      </c>
      <c r="C7" s="43" t="str">
        <f ca="1">""""&amp;TEXT('SCOUT &amp; LOGISTICS'!B3,"dd/mm/aaaa")&amp;""""</f>
        <v>"11/02/Wednesday"</v>
      </c>
      <c r="F7" s="45" t="str">
        <f t="shared" ca="1" si="0"/>
        <v>"date" : "11/02/Wednesday",</v>
      </c>
    </row>
    <row r="8" spans="2:6" x14ac:dyDescent="0.25">
      <c r="B8" s="43" t="s">
        <v>125</v>
      </c>
      <c r="C8" s="43" t="str">
        <f>""""&amp;'SCOUT &amp; LOGISTICS'!D4 &amp;""""</f>
        <v>"Veolia Towers Hamburg"</v>
      </c>
      <c r="F8" s="45" t="str">
        <f t="shared" si="0"/>
        <v>"home_team" : "Veolia Towers Hamburg",</v>
      </c>
    </row>
    <row r="9" spans="2:6" x14ac:dyDescent="0.25">
      <c r="B9" s="43" t="s">
        <v>126</v>
      </c>
      <c r="C9" s="43" t="str">
        <f>""""&amp;'SCOUT &amp; LOGISTICS'!D5&amp;""""</f>
        <v>"BAXI Manresa"</v>
      </c>
      <c r="F9" s="45" t="str">
        <f t="shared" si="0"/>
        <v>"away_team" : "BAXI Manresa",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"MATTHIAS RUDOLPH"</v>
      </c>
      <c r="F10" s="45" t="str">
        <f t="shared" si="0"/>
        <v>"Data_entry" : "MATTHIAS RUDOLPH",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"TIM BLAWAT"</v>
      </c>
      <c r="F11" s="45" t="str">
        <f t="shared" si="0"/>
        <v>"Caller_1" : "TIM BLAWAT",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"JUSTUS-ALEXANDER JUERGENS"</v>
      </c>
      <c r="F12" s="45" t="str">
        <f t="shared" si="0"/>
        <v>"Caller_2" : "JUSTUS-ALEXANDER JUERGENS",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"STEFAN BOIE"</v>
      </c>
      <c r="F13" s="45" t="str">
        <f t="shared" si="0"/>
        <v>"Timerkeeper" : "STEFAN BOIE",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"JÖRN ASMUSSEN"</v>
      </c>
      <c r="F14" s="45" t="str">
        <f t="shared" si="0"/>
        <v>"Shotclock" : "JÖRN ASMUSSEN",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704</v>
      </c>
      <c r="F25" s="45" t="str">
        <f t="shared" ref="F25:F48" si="1">""""&amp;C25&amp;"""" &amp; " : " &amp;D25&amp;","</f>
        <v>"total_actions" : 704,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"A nearly perfect match that reflects the great season you’ve had. Thank you for your work. Recharge and come back strong next season!"</v>
      </c>
      <c r="F51" s="45" t="str">
        <f>""""&amp;B51&amp;"""" &amp; " : " &amp;C51&amp;","</f>
        <v>"comments" : "A nearly perfect match that reflects the great season you’ve had. Thank you for your work. Recharge and come back strong next season!",</v>
      </c>
    </row>
    <row r="52" spans="2:6" x14ac:dyDescent="0.25">
      <c r="B52" s="43" t="s">
        <v>153</v>
      </c>
      <c r="C52" s="43" t="str">
        <f>TEXT('SCOUT &amp; LOGISTICS'!F1,"0,0")</f>
        <v>18_172_HAM_MAN_U2025</v>
      </c>
      <c r="F52" s="45" t="str">
        <f>""""&amp;B52&amp;"""" &amp; " : " &amp;C52</f>
        <v>"result" : 18_172_HAM_MAN_U2025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U172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11/02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Veolia Towers Hamburg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Baxi Manresa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MATTHIAS RUDOLPH</v>
      </c>
      <c r="C8" s="206"/>
      <c r="D8" s="206"/>
      <c r="E8" s="206"/>
      <c r="F8" s="206"/>
      <c r="G8" s="206" t="str">
        <f>IF('SCOUT &amp; LOGISTICS'!D7="","",'SCOUT &amp; LOGISTICS'!D7)</f>
        <v>TIM BLAWAT</v>
      </c>
      <c r="H8" s="206"/>
      <c r="I8" s="206"/>
      <c r="J8" s="206"/>
      <c r="K8" s="206"/>
      <c r="L8" s="206" t="str">
        <f>IF('SCOUT &amp; LOGISTICS'!D8="","",'SCOUT &amp; LOGISTICS'!D8)</f>
        <v>JUSTUS-ALEXANDER JUERGENS</v>
      </c>
      <c r="M8" s="206"/>
      <c r="N8" s="206"/>
      <c r="O8" s="206"/>
      <c r="P8" s="206"/>
      <c r="Q8" s="206" t="str">
        <f>IF('SCOUT &amp; LOGISTICS'!D9="","",'SCOUT &amp; LOGISTICS'!D9)</f>
        <v>STEFAN BOIE</v>
      </c>
      <c r="R8" s="206"/>
      <c r="S8" s="206"/>
      <c r="T8" s="206"/>
      <c r="U8" s="206"/>
      <c r="V8" s="206" t="str">
        <f>IF('SCOUT &amp; LOGISTICS'!D10="","",'SCOUT &amp; LOGISTICS'!D10)</f>
        <v>JÖRN ASMUSSEN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704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1.4204545454545455E-3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A nearly perfect match that reflects the great season you’ve had. Thank you for your work. Recharge and come back strong next season!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0.64204545454545459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F2E595-3742-43C8-9A42-4337F29AB7B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2026-02-12T15:14:46Z</cp:lastPrinted>
  <dcterms:created xsi:type="dcterms:W3CDTF">2023-09-19T19:50:35Z</dcterms:created>
  <dcterms:modified xsi:type="dcterms:W3CDTF">2026-02-12T15:15:40Z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