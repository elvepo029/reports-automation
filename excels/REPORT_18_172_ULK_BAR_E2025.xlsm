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3" documentId="8_{83A7FE55-DA67-4250-A2AB-FE664131B019}" xr6:coauthVersionLast="47" xr6:coauthVersionMax="47" xr10:uidLastSave="{A2B2F4B0-26EC-4685-AFB1-81EED154D76C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<sst xmlns="http://schemas.openxmlformats.org/spreadsheetml/2006/main" count="3255" uniqueCount="759">
  <si>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</si>
  <si>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</si>
  <si>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</si>
  <si>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</si>
  <si>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</si>
  <si>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</si>
  <si>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</si>
  <si>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</si>
  <si>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</si>
  <si>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</si>
  <si>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</si>
  <si>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</si>
  <si>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</si>
  <si>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</si>
  <si>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</si>
  <si>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</si>
  <si>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</si>
  <si>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</si>
  <si>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</si>
  <si>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</si>
  <si>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</si>
  <si>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</si>
  <si>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</si>
  <si>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</si>
  <si>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</si>
  <si>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</si>
  <si>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</si>
  <si>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</si>
  <si>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</si>
  <si>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</si>
  <si>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</si>
  <si>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</si>
  <si>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</si>
  <si>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</si>
  <si>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</si>
  <si>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</si>
  <si>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</si>
  <si>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</si>
  <si>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</si>
  <si>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</si>
  <si>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</si>
  <si>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</si>
  <si>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</si>
  <si>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</si>
  <si>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</si>
  <si>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</si>
  <si>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</si>
  <si>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</si>
  <si>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</si>
  <si>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</si>
  <si>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</si>
  <si>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</si>
  <si>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</si>
  <si>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</si>
  <si>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</si>
  <si>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</si>
  <si>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</si>
  <si>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</si>
  <si>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</si>
  <si>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</si>
  <si>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</si>
  <si>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</si>
  <si>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</si>
  <si>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</si>
  <si>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</si>
  <si>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</si>
  <si>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</si>
  <si>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</si>
  <si>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</si>
  <si>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</si>
  <si>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</si>
  <si>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</si>
  <si>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</si>
  <si>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</si>
  <si>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</si>
  <si>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</si>
  <si>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</si>
  <si>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</si>
  <si>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</si>
  <si>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</si>
  <si>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</si>
  <si>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</si>
  <si>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</si>
  <si>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</si>
  <si>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</si>
  <si>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</si>
  <si>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</si>
  <si>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</si>
  <si>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</si>
  <si>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</si>
  <si>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</si>
  <si>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</si>
  <si>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</si>
  <si>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</si>
  <si>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</si>
  <si>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</si>
  <si>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</si>
  <si>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</si>
  <si>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</si>
  <si>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</si>
  <si>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</si>
  <si>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</si>
  <si>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</si>
  <si>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</si>
  <si>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</si>
  <si>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</si>
  <si>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</si>
  <si>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</si>
  <si>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</si>
  <si>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</si>
  <si>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</si>
  <si>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</si>
  <si>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</si>
  <si>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</si>
  <si>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</si>
  <si>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</si>
  <si>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</si>
  <si>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</si>
  <si>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</si>
  <si>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</si>
  <si>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</si>
  <si>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</si>
  <si>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</si>
  <si>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</si>
  <si>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</si>
  <si>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</si>
  <si>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</si>
  <si>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</si>
  <si>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</si>
  <si>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</si>
  <si>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</si>
  <si>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</si>
  <si>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</si>
  <si>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</si>
  <si>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</si>
  <si>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</si>
  <si>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</si>
  <si>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</si>
  <si>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</si>
  <si>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</si>
  <si>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</si>
  <si>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</si>
  <si>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</si>
  <si>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</si>
  <si>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</si>
  <si>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</si>
  <si>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</si>
  <si>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</si>
  <si>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</si>
  <si>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</si>
  <si>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</si>
  <si>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</si>
  <si>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</si>
  <si>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</si>
  <si>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</si>
  <si>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</si>
  <si>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</si>
  <si>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</si>
  <si>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</si>
  <si>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</si>
  <si>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</si>
  <si>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</si>
  <si>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</si>
  <si>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</si>
  <si>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</si>
  <si>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</si>
  <si>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</si>
  <si>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</si>
  <si>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</si>
  <si>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</si>
  <si>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</si>
  <si>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</si>
  <si>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</si>
  <si>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</si>
  <si>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</si>
  <si>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</si>
  <si>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</si>
  <si>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</si>
  <si>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</si>
  <si>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</si>
  <si>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</si>
  <si>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</si>
  <si>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</si>
  <si>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</si>
  <si>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</si>
  <si>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</si>
  <si>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</si>
  <si>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</si>
  <si>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</si>
  <si>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</si>
  <si>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</si>
  <si>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</si>
  <si>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</si>
  <si>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</si>
  <si>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</si>
  <si>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</si>
  <si>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</si>
  <si>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</si>
  <si>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</si>
  <si>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</si>
  <si>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</si>
  <si>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</si>
  <si>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</si>
  <si>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</si>
  <si>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</si>
  <si>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</si>
  <si>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</si>
  <si>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</si>
  <si>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</si>
  <si>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</si>
  <si>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</si>
  <si>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</si>
  <si>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</si>
  <si>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</si>
  <si>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</si>
  <si>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</si>
  <si>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</si>
  <si>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</si>
  <si>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</si>
  <si>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</si>
  <si>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</si>
  <si>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</si>
  <si>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</si>
  <si>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</si>
  <si>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</si>
  <si>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</si>
  <si>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</si>
  <si>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</si>
  <si>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</si>
  <si>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</si>
  <si>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</si>
  <si>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</si>
  <si>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</si>
  <si>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</si>
  <si>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</si>
  <si>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</si>
  <si>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</si>
  <si>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</si>
  <si>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</si>
  <si>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</si>
  <si>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</si>
  <si>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</si>
  <si>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</si>
  <si>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</si>
  <si>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</si>
  <si>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</si>
  <si>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</si>
  <si>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</si>
  <si>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</si>
  <si>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</si>
  <si>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</si>
  <si>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</si>
  <si>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</si>
  <si>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</si>
  <si>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</si>
  <si>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</si>
  <si>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</si>
  <si>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</si>
  <si>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</si>
  <si>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</si>
  <si>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</si>
  <si>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</si>
  <si>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</si>
  <si>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</si>
  <si>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</si>
  <si>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</si>
  <si>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</si>
  <si>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</si>
  <si>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</si>
  <si>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</si>
  <si>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</si>
  <si>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</si>
  <si>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</si>
  <si>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</si>
  <si>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</si>
  <si>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</si>
  <si>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</si>
  <si>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</si>
  <si>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</si>
  <si>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</si>
  <si>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</si>
  <si>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</si>
  <si>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</si>
  <si>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</si>
  <si>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</si>
  <si>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</si>
  <si>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</si>
  <si>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</si>
  <si>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</si>
  <si>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</si>
  <si>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</si>
  <si>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</si>
  <si>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</si>
  <si>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</si>
  <si>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</si>
  <si>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</si>
  <si>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</si>
  <si>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</si>
  <si>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</si>
  <si>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</si>
  <si>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</si>
  <si>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</si>
  <si>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</si>
  <si>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</si>
  <si>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</si>
  <si>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</si>
  <si>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</si>
  <si>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</si>
  <si>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</si>
  <si>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</si>
  <si>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</si>
  <si>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</si>
  <si>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</si>
  <si>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</si>
  <si>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</si>
  <si>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</si>
  <si>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</si>
  <si>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</si>
  <si>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</si>
  <si>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</si>
  <si>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</si>
  <si>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</si>
  <si>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</si>
  <si>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</si>
  <si>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</si>
  <si>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</si>
  <si>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</si>
  <si>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</si>
  <si>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</si>
  <si>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</si>
  <si>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</si>
  <si>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</si>
  <si>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</si>
  <si>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</si>
  <si>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</si>
  <si>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</si>
  <si>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</si>
  <si>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</si>
  <si>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</si>
  <si>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</si>
  <si>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</si>
  <si>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</si>
  <si>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</si>
  <si>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</si>
  <si>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</si>
  <si>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</si>
  <si>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</si>
  <si>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</si>
  <si>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</si>
  <si>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</si>
  <si>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</si>
  <si>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</si>
  <si>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</si>
  <si>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</si>
  <si>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</si>
  <si>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</si>
  <si>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</si>
  <si>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</si>
  <si>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</si>
  <si>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</si>
  <si>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</si>
  <si>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</si>
  <si>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</si>
  <si>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</si>
  <si>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</si>
  <si>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</si>
  <si>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</si>
  <si>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</si>
  <si>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</si>
  <si>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</si>
  <si>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</si>
  <si>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</si>
  <si>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</si>
  <si>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</si>
  <si>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</si>
  <si>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</si>
  <si>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</si>
  <si>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</si>
  <si>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</si>
  <si>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</si>
  <si>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</si>
  <si>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</si>
  <si>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</si>
  <si>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</si>
  <si>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</si>
  <si>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</si>
  <si>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</si>
  <si>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</si>
  <si>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</si>
  <si>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</si>
  <si>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</si>
  <si>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</si>
  <si>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</si>
  <si>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</si>
  <si>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</si>
  <si>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</si>
  <si>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</si>
  <si>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</si>
  <si>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</si>
  <si>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</si>
  <si>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</si>
  <si>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</si>
  <si>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</si>
  <si>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</si>
  <si>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</si>
  <si>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</si>
  <si>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</si>
  <si>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</si>
  <si>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</si>
  <si>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</si>
  <si>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</si>
  <si>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</si>
  <si>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</si>
  <si>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</si>
  <si>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</si>
  <si>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</si>
  <si>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</si>
  <si>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</si>
  <si>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</si>
  <si>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</si>
  <si>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</si>
  <si>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</si>
  <si>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</si>
  <si>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</si>
  <si>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</si>
  <si>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</si>
  <si>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</si>
  <si>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</si>
  <si>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</si>
  <si>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</si>
  <si>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</si>
  <si>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</si>
  <si>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</si>
  <si>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</si>
  <si>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</si>
  <si>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</si>
  <si>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</si>
  <si>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</si>
  <si>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</si>
  <si>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</si>
  <si>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</si>
  <si>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</si>
  <si>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</si>
  <si>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</si>
  <si>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</si>
  <si>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</si>
  <si>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</si>
  <si>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</si>
  <si>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</si>
  <si>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</si>
  <si>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</si>
  <si>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</si>
  <si>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</si>
  <si>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</si>
  <si>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</si>
  <si>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</si>
  <si>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</si>
  <si>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</si>
  <si>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</si>
  <si>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</si>
  <si>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</si>
  <si>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</si>
  <si>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</si>
  <si>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</si>
  <si>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</si>
  <si>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</si>
  <si>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</si>
  <si>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</si>
  <si>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</si>
  <si>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</si>
  <si>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</si>
  <si>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</si>
  <si>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</si>
  <si>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</si>
  <si>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</si>
  <si>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</si>
  <si>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</si>
  <si>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</si>
  <si>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</si>
  <si>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</si>
  <si>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</si>
  <si>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</si>
  <si>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</si>
  <si>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</si>
  <si>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</si>
  <si>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</si>
  <si>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</si>
  <si>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</si>
  <si>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</si>
  <si>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</si>
  <si>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</si>
  <si>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</si>
  <si>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</si>
  <si>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</si>
  <si>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</si>
  <si>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</si>
  <si>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</si>
  <si>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</si>
  <si>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</si>
  <si>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</si>
  <si>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</si>
  <si>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</si>
  <si>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</si>
  <si>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</si>
  <si>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</si>
  <si>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</si>
  <si>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</si>
  <si>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</si>
  <si>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</si>
  <si>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</si>
  <si>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</si>
  <si>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</si>
  <si>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</si>
  <si>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</si>
  <si>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</si>
  <si>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</si>
  <si>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</si>
  <si>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</si>
  <si>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</si>
  <si>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</si>
  <si>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</si>
  <si>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</si>
  <si>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</si>
  <si>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</si>
  <si>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</si>
  <si>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</si>
  <si>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</si>
  <si>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</si>
  <si>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</si>
  <si>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</si>
  <si>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</si>
  <si>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</si>
  <si>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</si>
  <si>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</si>
  <si>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</si>
  <si>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</si>
  <si>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</si>
  <si>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</si>
  <si>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</si>
  <si>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</si>
  <si>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</si>
  <si>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</si>
  <si>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</si>
  <si>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</si>
  <si>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</si>
  <si>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</si>
  <si>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</si>
  <si>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</si>
  <si>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</si>
  <si>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</si>
  <si>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</si>
  <si>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</si>
  <si>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</si>
  <si>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</si>
  <si>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</si>
  <si>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</si>
  <si>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</si>
  <si>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</si>
  <si>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</si>
  <si>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</si>
  <si>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</si>
  <si>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</si>
  <si>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</si>
  <si>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</si>
  <si>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</si>
  <si>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</si>
  <si>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</si>
  <si>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</si>
  <si>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</si>
  <si>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</si>
  <si>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</si>
  <si>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</si>
  <si>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</si>
  <si>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</si>
  <si>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</si>
  <si>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</si>
  <si>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</si>
  <si>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</si>
  <si>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</si>
  <si>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</si>
  <si>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</si>
  <si>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</si>
  <si>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</si>
  <si>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</si>
  <si>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</si>
  <si>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</si>
  <si>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</si>
  <si>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</si>
  <si>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</si>
  <si>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</si>
  <si>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</si>
  <si>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</si>
  <si>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</si>
  <si>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</si>
  <si>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</si>
  <si>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</si>
  <si>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</si>
  <si>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</si>
  <si>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</si>
  <si>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</si>
  <si>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</si>
  <si>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</si>
  <si>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</si>
  <si>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</si>
  <si>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</si>
  <si>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</si>
  <si>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</si>
  <si>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</si>
  <si>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</si>
  <si>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</si>
  <si>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</si>
  <si>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</si>
  <si>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</si>
  <si>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</si>
  <si>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</si>
  <si>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</si>
  <si>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</si>
  <si>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</si>
  <si>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</si>
  <si>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</si>
  <si>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</si>
  <si>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</si>
  <si>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</si>
  <si>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</si>
  <si>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</si>
  <si>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</si>
  <si>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</si>
  <si>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</si>
  <si>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</si>
  <si>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</si>
  <si>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</si>
  <si>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</si>
  <si>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</si>
  <si>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</si>
  <si>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</si>
  <si>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</si>
  <si>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</si>
  <si>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</si>
  <si>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</si>
  <si>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</si>
  <si>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</si>
  <si>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</si>
  <si>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</si>
  <si>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</si>
  <si>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</si>
  <si>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</si>
  <si>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</si>
  <si>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</si>
  <si>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</si>
  <si>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</si>
  <si>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</si>
  <si>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</si>
  <si>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</si>
  <si>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</si>
  <si>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</si>
  <si>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</si>
  <si>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</si>
  <si>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</si>
  <si>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</si>
  <si>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</si>
  <si>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</si>
  <si>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</si>
  <si>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</si>
  <si>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</si>
  <si>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</si>
  <si>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</si>
  <si>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</si>
  <si>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</si>
  <si>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</si>
  <si>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</si>
  <si>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</si>
  <si>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</si>
  <si>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</si>
  <si>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</si>
  <si>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</si>
  <si>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</si>
  <si>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</si>
  <si>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</si>
  <si>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</si>
  <si>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</si>
  <si>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</si>
  <si>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</si>
  <si>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</si>
  <si>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</si>
  <si>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</si>
  <si>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</si>
  <si>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</si>
  <si>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</si>
  <si>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</si>
  <si>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</si>
  <si>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</si>
  <si>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</si>
  <si>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</si>
  <si>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</si>
  <si>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</si>
  <si>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</si>
  <si>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</si>
  <si>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</si>
  <si>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</si>
  <si>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</si>
  <si>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</si>
  <si>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</si>
  <si>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</si>
  <si>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</si>
  <si>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</si>
  <si>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</si>
  <si>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</si>
  <si>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</si>
  <si>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</si>
  <si>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</si>
  <si>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</si>
  <si>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</si>
  <si>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</si>
  <si>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</si>
  <si>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</si>
  <si>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</si>
  <si>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</si>
  <si>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</si>
  <si>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</si>
  <si>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</si>
  <si>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</si>
  <si>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</si>
  <si>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</si>
  <si>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</si>
  <si>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</si>
  <si>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</si>
  <si>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</si>
  <si>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</si>
  <si>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</si>
  <si>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</si>
  <si>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</si>
  <si>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</si>
  <si>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</si>
  <si>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</si>
  <si>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</si>
  <si>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</si>
  <si>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</si>
  <si>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</si>
  <si>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</si>
  <si>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</si>
  <si>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</si>
  <si>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</si>
  <si>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</si>
  <si>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</si>
  <si>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</si>
  <si>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</si>
  <si>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</si>
  <si>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</si>
  <si>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</si>
  <si>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ENDER OZBEK</t>
  </si>
  <si>
    <t>ORHAN YENIHAYAT</t>
  </si>
  <si>
    <t>GIZEM UNSAL</t>
  </si>
  <si>
    <t>GOZDE BEGUM AKUZUM</t>
  </si>
  <si>
    <t>HECTOR GUILLEN</t>
  </si>
  <si>
    <t>4:14</t>
  </si>
  <si>
    <t>8:59</t>
  </si>
  <si>
    <t>Very good job! Keep it up!!</t>
  </si>
  <si>
    <t>C:\Users\hector.guillen\EUROLEAGUE\EB STATS - Documents\General\SEASON 2025-26\Reports\Euroleague</t>
  </si>
  <si>
    <t>C:\Users\hector.guillen\EUROLEAGUE\EB STATS - Documents\General\SEASON 2025-26\Reports\Euroleague\PDF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</si>
</sst>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18_172_ULK_BAR_E2025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172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46014.864583333336</v>
      </c>
      <c r="C3" s="157"/>
      <c r="D3" s="39">
        <v>547</v>
      </c>
      <c r="E3" s="29"/>
      <c r="F3" s="26">
        <f>SUBTOTAL(3,I17:I106)</f>
        <v>2</v>
      </c>
      <c r="G3" s="27">
        <f>IF(OR(D3="",D3=0),"",F3/D3)</f>
        <v>3.6563071297989031E-3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Fenerbahce Beko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742</v>
      </c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3.6563071297989031E-3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Barcelona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0.3656307129798903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749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3.3656307129798901</v>
      </c>
      <c r="N7" s="58"/>
      <c r="O7" s="2"/>
      <c r="P7" s="2"/>
      <c r="Q7" s="86">
        <f>SUM(R5,S5,AC16)</f>
        <v>3.3656307129798901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750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3.3656307129798906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751</v>
      </c>
      <c r="E9" s="179"/>
      <c r="F9" s="179"/>
      <c r="G9" s="18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753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172</v>
      </c>
      <c r="D17" s="32" t="s">
        <v>754</v>
      </c>
      <c r="E17" s="33">
        <v>1</v>
      </c>
      <c r="F17" s="36">
        <v>9</v>
      </c>
      <c r="G17" s="36">
        <v>9</v>
      </c>
      <c r="H17" s="38" t="str">
        <f>IF(I17="","",$I$14)</f>
        <v>SCOUTING</v>
      </c>
      <c r="I17" s="34">
        <v>76</v>
      </c>
      <c r="J17" s="13" t="s">
        <v>4</v>
      </c>
      <c r="K17" s="13" t="s">
        <v>63</v>
      </c>
      <c r="L17" s="13" t="s">
        <v>5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172</v>
      </c>
      <c r="D18" s="32" t="s">
        <v>755</v>
      </c>
      <c r="E18" s="33">
        <v>3</v>
      </c>
      <c r="F18" s="36">
        <v>40</v>
      </c>
      <c r="G18" s="36">
        <v>36</v>
      </c>
      <c r="H18" s="38" t="str">
        <f t="shared" ref="H18:H81" si="8">IF(I18="","",$I$14)</f>
        <v>SCOUTING</v>
      </c>
      <c r="I18" s="34">
        <v>294</v>
      </c>
      <c r="J18" s="13" t="s">
        <v>4</v>
      </c>
      <c r="K18" s="13" t="s">
        <v>63</v>
      </c>
      <c r="L18" s="13" t="s">
        <v>7</v>
      </c>
      <c r="M18" s="13" t="s">
        <v>30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REPORT_E2025172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"E2025172"</v>
      </c>
      <c r="F3" s="45" t="str">
        <f t="shared" ref="F3:F16" si="0">""""&amp;B3&amp;"""" &amp; " : " &amp;C3&amp;","</f>
        <v>"name" : "E2025172",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"E172"</v>
      </c>
      <c r="F4" s="45" t="str">
        <f t="shared" si="0"/>
        <v>"cod" : "E172",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172</v>
      </c>
      <c r="F6" s="45" t="str">
        <f t="shared" si="0"/>
        <v>"number" : 172,</v>
      </c>
    </row>
    <row r="7" spans="2:6" x14ac:dyDescent="0.25">
      <c r="B7" s="43" t="s">
        <v>116</v>
      </c>
      <c r="C7" s="43" t="str">
        <f ca="1">""""&amp;TEXT('SCOUT &amp; LOGISTICS'!B3,"dd/mm/aaaa")&amp;""""</f>
        <v>"23/12/Tuesday"</v>
      </c>
      <c r="F7" s="45" t="str">
        <f t="shared" ca="1" si="0"/>
        <v>"date" : "23/12/Tuesday",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"GIZEM UNSAL"</v>
      </c>
      <c r="F13" s="45" t="str">
        <f t="shared" si="0"/>
        <v>"Timerkeeper" : "GIZEM UNSAL",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"GOZDE BEGUM AKUZUM"</v>
      </c>
      <c r="F14" s="45" t="str">
        <f t="shared" si="0"/>
        <v>"Shotclock" : "GOZDE BEGUM AKUZUM",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547</v>
      </c>
      <c r="F25" s="45" t="str">
        <f t="shared" ref="F25:F48" si="1">""""&amp;C25&amp;"""" &amp; " : " &amp;D25&amp;","</f>
        <v>"total_actions" : 547,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up!!"</v>
      </c>
      <c r="F51" s="45" t="str">
        <f>""""&amp;B51&amp;"""" &amp; " : " &amp;C51&amp;","</f>
        <v>"comments" : "Very good job! Keep it up!!",</v>
      </c>
    </row>
    <row r="52" spans="2:6" x14ac:dyDescent="0.25">
      <c r="B52" s="43" t="s">
        <v>153</v>
      </c>
      <c r="C52" s="43" t="str">
        <f>TEXT('SCOUT &amp; LOGISTICS'!F1,"0,0")</f>
        <v>18_172_ULK_BAR_E2025</v>
      </c>
      <c r="F52" s="45" t="str">
        <f>""""&amp;B52&amp;"""" &amp; " : " &amp;C52</f>
        <v>"result" : 18_172_ULK_BAR_E2025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E172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23/12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Fenerbahce Beko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Barcelona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GIZEM UNSAL</v>
      </c>
      <c r="R8" s="206"/>
      <c r="S8" s="206"/>
      <c r="T8" s="206"/>
      <c r="U8" s="206"/>
      <c r="V8" s="206" t="str">
        <f>IF('SCOUT &amp; LOGISTICS'!D10="","",'SCOUT &amp; LOGISTICS'!D10)</f>
        <v>GOZDE BEGUM AKUZUM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3.6563071297989031E-3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3.3656307129798901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93D9C46-DB6A-49E9-88C2-99C987F126C0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2025-12-26T20:31:22Z</cp:lastPrinted>
  <dcterms:created xsi:type="dcterms:W3CDTF">2023-09-19T19:50:35Z</dcterms:created>
  <dcterms:modified xsi:type="dcterms:W3CDTF">2025-12-26T20:31:26Z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