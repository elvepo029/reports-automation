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7" documentId="8_{3D47FF3D-C686-4DC4-8965-4DD39FED042D}" xr6:coauthVersionLast="47" xr6:coauthVersionMax="47" xr10:uidLastSave="{12E05722-033B-4983-A9BC-A5D240D03CF8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<sst xmlns="http://schemas.openxmlformats.org/spreadsheetml/2006/main" count="3256" uniqueCount="762">
  <si>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</si>
  <si>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</si>
  <si>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</si>
  <si>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</si>
  <si>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</si>
  <si>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</si>
  <si>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</si>
  <si>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</si>
  <si>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</si>
  <si>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</si>
  <si>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</si>
  <si>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</si>
  <si>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</si>
  <si>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</si>
  <si>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</si>
  <si>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</si>
  <si>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</si>
  <si>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</si>
  <si>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</si>
  <si>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</si>
  <si>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</si>
  <si>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</si>
  <si>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</si>
  <si>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</si>
  <si>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</si>
  <si>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</si>
  <si>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</si>
  <si>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</si>
  <si>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</si>
  <si>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</si>
  <si>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</si>
  <si>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</si>
  <si>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</si>
  <si>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</si>
  <si>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</si>
  <si>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</si>
  <si>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</si>
  <si>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</si>
  <si>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</si>
  <si>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</si>
  <si>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</si>
  <si>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</si>
  <si>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</si>
  <si>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</si>
  <si>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</si>
  <si>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</si>
  <si>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</si>
  <si>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</si>
  <si>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</si>
  <si>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</si>
  <si>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</si>
  <si>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</si>
  <si>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</si>
  <si>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</si>
  <si>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</si>
  <si>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</si>
  <si>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</si>
  <si>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</si>
  <si>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</si>
  <si>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</si>
  <si>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</si>
  <si>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</si>
  <si>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</si>
  <si>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</si>
  <si>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</si>
  <si>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</si>
  <si>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</si>
  <si>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</si>
  <si>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</si>
  <si>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</si>
  <si>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</si>
  <si>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</si>
  <si>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</si>
  <si>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</si>
  <si>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</si>
  <si>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</si>
  <si>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</si>
  <si>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</si>
  <si>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</si>
  <si>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</si>
  <si>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</si>
  <si>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</si>
  <si>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</si>
  <si>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</si>
  <si>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</si>
  <si>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</si>
  <si>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</si>
  <si>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</si>
  <si>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</si>
  <si>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</si>
  <si>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</si>
  <si>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</si>
  <si>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</si>
  <si>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</si>
  <si>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</si>
  <si>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</si>
  <si>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</si>
  <si>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</si>
  <si>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</si>
  <si>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</si>
  <si>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</si>
  <si>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</si>
  <si>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</si>
  <si>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</si>
  <si>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</si>
  <si>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</si>
  <si>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</si>
  <si>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</si>
  <si>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</si>
  <si>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</si>
  <si>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</si>
  <si>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</si>
  <si>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</si>
  <si>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</si>
  <si>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</si>
  <si>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</si>
  <si>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</si>
  <si>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</si>
  <si>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</si>
  <si>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</si>
  <si>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</si>
  <si>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</si>
  <si>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</si>
  <si>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</si>
  <si>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</si>
  <si>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</si>
  <si>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</si>
  <si>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</si>
  <si>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</si>
  <si>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</si>
  <si>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</si>
  <si>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</si>
  <si>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</si>
  <si>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</si>
  <si>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</si>
  <si>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</si>
  <si>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</si>
  <si>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</si>
  <si>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</si>
  <si>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</si>
  <si>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</si>
  <si>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</si>
  <si>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</si>
  <si>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</si>
  <si>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</si>
  <si>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</si>
  <si>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</si>
  <si>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</si>
  <si>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</si>
  <si>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</si>
  <si>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</si>
  <si>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</si>
  <si>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</si>
  <si>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</si>
  <si>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</si>
  <si>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</si>
  <si>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</si>
  <si>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</si>
  <si>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</si>
  <si>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</si>
  <si>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</si>
  <si>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</si>
  <si>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</si>
  <si>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</si>
  <si>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</si>
  <si>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</si>
  <si>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</si>
  <si>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</si>
  <si>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</si>
  <si>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</si>
  <si>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</si>
  <si>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</si>
  <si>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</si>
  <si>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</si>
  <si>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</si>
  <si>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</si>
  <si>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</si>
  <si>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</si>
  <si>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</si>
  <si>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</si>
  <si>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</si>
  <si>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</si>
  <si>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</si>
  <si>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</si>
  <si>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</si>
  <si>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</si>
  <si>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</si>
  <si>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</si>
  <si>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</si>
  <si>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</si>
  <si>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</si>
  <si>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</si>
  <si>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</si>
  <si>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</si>
  <si>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</si>
  <si>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</si>
  <si>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</si>
  <si>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</si>
  <si>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</si>
  <si>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</si>
  <si>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</si>
  <si>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</si>
  <si>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</si>
  <si>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</si>
  <si>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</si>
  <si>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</si>
  <si>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</si>
  <si>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</si>
  <si>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</si>
  <si>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</si>
  <si>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</si>
  <si>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</si>
  <si>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</si>
  <si>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</si>
  <si>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</si>
  <si>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</si>
  <si>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</si>
  <si>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</si>
  <si>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</si>
  <si>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</si>
  <si>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</si>
  <si>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</si>
  <si>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</si>
  <si>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</si>
  <si>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</si>
  <si>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</si>
  <si>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</si>
  <si>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</si>
  <si>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</si>
  <si>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</si>
  <si>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</si>
  <si>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</si>
  <si>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</si>
  <si>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</si>
  <si>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</si>
  <si>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</si>
  <si>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</si>
  <si>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</si>
  <si>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</si>
  <si>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</si>
  <si>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</si>
  <si>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</si>
  <si>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</si>
  <si>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</si>
  <si>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</si>
  <si>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</si>
  <si>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</si>
  <si>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</si>
  <si>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</si>
  <si>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</si>
  <si>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</si>
  <si>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</si>
  <si>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</si>
  <si>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</si>
  <si>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</si>
  <si>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</si>
  <si>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</si>
  <si>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</si>
  <si>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</si>
  <si>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</si>
  <si>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</si>
  <si>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</si>
  <si>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</si>
  <si>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</si>
  <si>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</si>
  <si>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</si>
  <si>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</si>
  <si>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</si>
  <si>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</si>
  <si>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</si>
  <si>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</si>
  <si>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</si>
  <si>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</si>
  <si>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</si>
  <si>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</si>
  <si>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</si>
  <si>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</si>
  <si>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</si>
  <si>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</si>
  <si>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</si>
  <si>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</si>
  <si>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</si>
  <si>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</si>
  <si>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</si>
  <si>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</si>
  <si>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</si>
  <si>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</si>
  <si>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</si>
  <si>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</si>
  <si>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</si>
  <si>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</si>
  <si>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</si>
  <si>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</si>
  <si>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</si>
  <si>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</si>
  <si>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</si>
  <si>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</si>
  <si>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</si>
  <si>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</si>
  <si>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</si>
  <si>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</si>
  <si>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</si>
  <si>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</si>
  <si>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</si>
  <si>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</si>
  <si>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</si>
  <si>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</si>
  <si>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</si>
  <si>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</si>
  <si>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</si>
  <si>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</si>
  <si>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</si>
  <si>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</si>
  <si>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</si>
  <si>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</si>
  <si>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</si>
  <si>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</si>
  <si>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</si>
  <si>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</si>
  <si>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</si>
  <si>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</si>
  <si>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</si>
  <si>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</si>
  <si>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</si>
  <si>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</si>
  <si>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</si>
  <si>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</si>
  <si>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</si>
  <si>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</si>
  <si>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</si>
  <si>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</si>
  <si>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</si>
  <si>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</si>
  <si>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</si>
  <si>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</si>
  <si>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</si>
  <si>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</si>
  <si>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</si>
  <si>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</si>
  <si>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</si>
  <si>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</si>
  <si>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</si>
  <si>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</si>
  <si>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</si>
  <si>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</si>
  <si>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</si>
  <si>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</si>
  <si>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</si>
  <si>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</si>
  <si>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</si>
  <si>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</si>
  <si>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</si>
  <si>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</si>
  <si>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</si>
  <si>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</si>
  <si>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</si>
  <si>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</si>
  <si>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</si>
  <si>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</si>
  <si>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</si>
  <si>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</si>
  <si>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</si>
  <si>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</si>
  <si>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</si>
  <si>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</si>
  <si>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</si>
  <si>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</si>
  <si>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</si>
  <si>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</si>
  <si>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</si>
  <si>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</si>
  <si>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</si>
  <si>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</si>
  <si>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</si>
  <si>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</si>
  <si>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</si>
  <si>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</si>
  <si>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</si>
  <si>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</si>
  <si>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</si>
  <si>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</si>
  <si>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</si>
  <si>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</si>
  <si>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</si>
  <si>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</si>
  <si>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</si>
  <si>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</si>
  <si>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</si>
  <si>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</si>
  <si>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</si>
  <si>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</si>
  <si>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</si>
  <si>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</si>
  <si>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</si>
  <si>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</si>
  <si>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</si>
  <si>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</si>
  <si>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</si>
  <si>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</si>
  <si>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</si>
  <si>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</si>
  <si>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</si>
  <si>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</si>
  <si>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</si>
  <si>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</si>
  <si>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</si>
  <si>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</si>
  <si>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</si>
  <si>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</si>
  <si>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</si>
  <si>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</si>
  <si>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</si>
  <si>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</si>
  <si>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</si>
  <si>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</si>
  <si>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</si>
  <si>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</si>
  <si>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</si>
  <si>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</si>
  <si>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</si>
  <si>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</si>
  <si>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</si>
  <si>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</si>
  <si>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</si>
  <si>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</si>
  <si>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</si>
  <si>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</si>
  <si>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</si>
  <si>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</si>
  <si>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</si>
  <si>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</si>
  <si>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</si>
  <si>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</si>
  <si>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</si>
  <si>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</si>
  <si>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</si>
  <si>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</si>
  <si>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</si>
  <si>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</si>
  <si>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</si>
  <si>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</si>
  <si>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</si>
  <si>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</si>
  <si>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</si>
  <si>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</si>
  <si>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</si>
  <si>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</si>
  <si>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</si>
  <si>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</si>
  <si>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</si>
  <si>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</si>
  <si>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</si>
  <si>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</si>
  <si>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</si>
  <si>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</si>
  <si>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</si>
  <si>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</si>
  <si>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</si>
  <si>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</si>
  <si>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</si>
  <si>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</si>
  <si>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</si>
  <si>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</si>
  <si>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</si>
  <si>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</si>
  <si>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</si>
  <si>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</si>
  <si>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</si>
  <si>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</si>
  <si>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</si>
  <si>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</si>
  <si>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</si>
  <si>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</si>
  <si>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</si>
  <si>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</si>
  <si>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</si>
  <si>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</si>
  <si>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</si>
  <si>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</si>
  <si>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</si>
  <si>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</si>
  <si>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</si>
  <si>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</si>
  <si>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</si>
  <si>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</si>
  <si>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</si>
  <si>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</si>
  <si>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</si>
  <si>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</si>
  <si>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</si>
  <si>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</si>
  <si>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</si>
  <si>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</si>
  <si>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</si>
  <si>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</si>
  <si>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</si>
  <si>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</si>
  <si>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</si>
  <si>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</si>
  <si>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</si>
  <si>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</si>
  <si>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</si>
  <si>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</si>
  <si>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</si>
  <si>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</si>
  <si>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</si>
  <si>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</si>
  <si>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</si>
  <si>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</si>
  <si>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</si>
  <si>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</si>
  <si>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</si>
  <si>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</si>
  <si>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</si>
  <si>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</si>
  <si>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</si>
  <si>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</si>
  <si>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</si>
  <si>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</si>
  <si>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</si>
  <si>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</si>
  <si>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</si>
  <si>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</si>
  <si>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</si>
  <si>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</si>
  <si>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</si>
  <si>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</si>
  <si>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</si>
  <si>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</si>
  <si>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</si>
  <si>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</si>
  <si>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</si>
  <si>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</si>
  <si>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</si>
  <si>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</si>
  <si>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</si>
  <si>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</si>
  <si>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</si>
  <si>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</si>
  <si>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</si>
  <si>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</si>
  <si>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</si>
  <si>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</si>
  <si>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</si>
  <si>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</si>
  <si>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</si>
  <si>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</si>
  <si>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</si>
  <si>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</si>
  <si>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</si>
  <si>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</si>
  <si>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</si>
  <si>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</si>
  <si>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</si>
  <si>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</si>
  <si>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</si>
  <si>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</si>
  <si>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</si>
  <si>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</si>
  <si>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</si>
  <si>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</si>
  <si>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</si>
  <si>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</si>
  <si>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</si>
  <si>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</si>
  <si>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</si>
  <si>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</si>
  <si>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</si>
  <si>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</si>
  <si>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</si>
  <si>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</si>
  <si>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</si>
  <si>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</si>
  <si>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</si>
  <si>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</si>
  <si>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</si>
  <si>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</si>
  <si>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</si>
  <si>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</si>
  <si>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</si>
  <si>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</si>
  <si>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</si>
  <si>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</si>
  <si>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</si>
  <si>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</si>
  <si>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</si>
  <si>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</si>
  <si>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</si>
  <si>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</si>
  <si>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</si>
  <si>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</si>
  <si>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</si>
  <si>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</si>
  <si>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</si>
  <si>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</si>
  <si>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</si>
  <si>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</si>
  <si>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</si>
  <si>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</si>
  <si>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</si>
  <si>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</si>
  <si>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</si>
  <si>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</si>
  <si>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</si>
  <si>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</si>
  <si>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</si>
  <si>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</si>
  <si>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</si>
  <si>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</si>
  <si>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</si>
  <si>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</si>
  <si>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</si>
  <si>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</si>
  <si>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</si>
  <si>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</si>
  <si>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</si>
  <si>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</si>
  <si>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</si>
  <si>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</si>
  <si>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</si>
  <si>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</si>
  <si>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</si>
  <si>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</si>
  <si>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</si>
  <si>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</si>
  <si>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</si>
  <si>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</si>
  <si>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</si>
  <si>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</si>
  <si>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</si>
  <si>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</si>
  <si>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</si>
  <si>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</si>
  <si>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</si>
  <si>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</si>
  <si>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</si>
  <si>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</si>
  <si>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</si>
  <si>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</si>
  <si>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</si>
  <si>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</si>
  <si>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</si>
  <si>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</si>
  <si>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</si>
  <si>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</si>
  <si>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</si>
  <si>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</si>
  <si>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</si>
  <si>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</si>
  <si>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</si>
  <si>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</si>
  <si>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</si>
  <si>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</si>
  <si>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</si>
  <si>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</si>
  <si>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</si>
  <si>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</si>
  <si>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</si>
  <si>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</si>
  <si>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</si>
  <si>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</si>
  <si>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</si>
  <si>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</si>
  <si>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</si>
  <si>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</si>
  <si>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</si>
  <si>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</si>
  <si>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</si>
  <si>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</si>
  <si>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</si>
  <si>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</si>
  <si>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</si>
  <si>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</si>
  <si>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</si>
  <si>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</si>
  <si>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</si>
  <si>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</si>
  <si>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</si>
  <si>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</si>
  <si>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</si>
  <si>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</si>
  <si>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</si>
  <si>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</si>
  <si>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</si>
  <si>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</si>
  <si>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</si>
  <si>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</si>
  <si>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</si>
  <si>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</si>
  <si>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</si>
  <si>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</si>
  <si>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</si>
  <si>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</si>
  <si>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</si>
  <si>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</si>
  <si>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</si>
  <si>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</si>
  <si>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</si>
  <si>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</si>
  <si>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</si>
  <si>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</si>
  <si>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</si>
  <si>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</si>
  <si>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</si>
  <si>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</si>
  <si>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</si>
  <si>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</si>
  <si>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</si>
  <si>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</si>
  <si>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</si>
  <si>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</si>
  <si>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</si>
  <si>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</si>
  <si>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</si>
  <si>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</si>
  <si>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</si>
  <si>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</si>
  <si>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</si>
  <si>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</si>
  <si>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</si>
  <si>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</si>
  <si>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</si>
  <si>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</si>
  <si>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</si>
  <si>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</si>
  <si>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</si>
  <si>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</si>
  <si>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</si>
  <si>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</si>
  <si>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</si>
  <si>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</si>
  <si>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</si>
  <si>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</si>
  <si>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</si>
  <si>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</si>
  <si>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</si>
  <si>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</si>
  <si>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</si>
  <si>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</si>
  <si>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</si>
  <si>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</si>
  <si>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</si>
  <si>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</si>
  <si>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</si>
  <si>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</si>
  <si>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</si>
  <si>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</si>
  <si>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</si>
  <si>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</si>
  <si>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STEPHANE FITOUSSI</t>
  </si>
  <si>
    <t>JEAN-MARC MORENTE</t>
  </si>
  <si>
    <t>OLIVIER JAUFFRES</t>
  </si>
  <si>
    <t>ALAIN FERRANT</t>
  </si>
  <si>
    <t>VIRGINIE USCLADE</t>
  </si>
  <si>
    <t>YOHAN STROBEL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</si>
  <si>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</si>
  <si>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</si>
  <si>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</si>
  <si>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5:23</t>
  </si>
  <si>
    <t>2:14</t>
  </si>
  <si>
    <t>2:35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</si>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</sst>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18_173_ASV_IST_E2025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173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46014.864583333336</v>
      </c>
      <c r="C3" s="157"/>
      <c r="D3" s="39">
        <v>662</v>
      </c>
      <c r="E3" s="29"/>
      <c r="F3" s="26">
        <f>SUBTOTAL(3,I17:I106)</f>
        <v>3</v>
      </c>
      <c r="G3" s="27">
        <f>IF(OR(D3="",D3=0),"",F3/D3)</f>
        <v>4.5317220543806651E-3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LDLC ASVEL Villeurbanne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4.5317220543806651E-3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0.45317220543806652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1.9531722054380665</v>
      </c>
      <c r="N7" s="58"/>
      <c r="O7" s="2"/>
      <c r="P7" s="2"/>
      <c r="Q7" s="86">
        <f>SUM(R5,S5,AC16)</f>
        <v>1.9531722054380665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1.9531722054380665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173</v>
      </c>
      <c r="D17" s="32" t="s">
        <v>758</v>
      </c>
      <c r="E17" s="33">
        <v>1</v>
      </c>
      <c r="F17" s="36">
        <v>7</v>
      </c>
      <c r="G17" s="36">
        <v>9</v>
      </c>
      <c r="H17" s="38" t="str">
        <f>IF(I17="","",$I$14)</f>
        <v>SCOUTING</v>
      </c>
      <c r="I17" s="34">
        <v>55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173</v>
      </c>
      <c r="D18" s="32" t="s">
        <v>759</v>
      </c>
      <c r="E18" s="33">
        <v>2</v>
      </c>
      <c r="F18" s="36">
        <v>37</v>
      </c>
      <c r="G18" s="36">
        <v>35</v>
      </c>
      <c r="H18" s="38" t="str">
        <f t="shared" ref="H18:H81" si="8">IF(I18="","",$I$14)</f>
        <v>SCOUTING</v>
      </c>
      <c r="I18" s="34">
        <v>215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173</v>
      </c>
      <c r="D19" s="32" t="s">
        <v>760</v>
      </c>
      <c r="E19" s="33">
        <v>4</v>
      </c>
      <c r="F19" s="36">
        <v>73</v>
      </c>
      <c r="G19" s="36">
        <v>75</v>
      </c>
      <c r="H19" s="38" t="str">
        <f t="shared" si="8"/>
        <v>SCOUTING</v>
      </c>
      <c r="I19" s="34">
        <v>471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"E2025173"</v>
      </c>
      <c r="F3" s="45" t="str">
        <f t="shared" ref="F3:F16" si="0">""""&amp;B3&amp;"""" &amp; " : " &amp;C3&amp;","</f>
        <v>"name" : "E2025173",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"E173"</v>
      </c>
      <c r="F4" s="45" t="str">
        <f t="shared" si="0"/>
        <v>"cod" : "E173",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173</v>
      </c>
      <c r="F6" s="45" t="str">
        <f t="shared" si="0"/>
        <v>"number" : 173,</v>
      </c>
    </row>
    <row r="7" spans="2:6" x14ac:dyDescent="0.25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5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"STEPHANE FITOUSSI"</v>
      </c>
      <c r="F10" s="45" t="str">
        <f t="shared" si="0"/>
        <v>"Data_entry" : "STEPHANE FITOUSSI",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"JEAN-MARC MORENTE"</v>
      </c>
      <c r="F11" s="45" t="str">
        <f t="shared" si="0"/>
        <v>"Caller_1" : "JEAN-MARC MORENTE",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"OLIVIER JAUFFRES"</v>
      </c>
      <c r="F12" s="45" t="str">
        <f t="shared" si="0"/>
        <v>"Caller_2" : "OLIVIER JAUFFRES",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"ALAIN FERRANT"</v>
      </c>
      <c r="F13" s="45" t="str">
        <f t="shared" si="0"/>
        <v>"Timerkeeper" : "ALAIN FERRANT",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"VIRGINIE USCLADE"</v>
      </c>
      <c r="F14" s="45" t="str">
        <f t="shared" si="0"/>
        <v>"Shotclock" : "VIRGINIE USCLADE",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"YOHAN STROBEL"</v>
      </c>
      <c r="F15" s="45" t="str">
        <f t="shared" si="0"/>
        <v>"IRS" : "YOHAN STROBEL",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662</v>
      </c>
      <c r="F25" s="45" t="str">
        <f t="shared" ref="F25:F48" si="1">""""&amp;C25&amp;"""" &amp; " : " &amp;D25&amp;","</f>
        <v>"total_actions" : 662,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18_173_ASV_IST_E2025</v>
      </c>
      <c r="F52" s="45" t="str">
        <f>""""&amp;B52&amp;"""" &amp; " : " &amp;C52</f>
        <v>"result" : 18_173_ASV_IST_E2025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E173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Ldlc Asvel Villeurbanne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STEPHANE FITOUSSI</v>
      </c>
      <c r="C8" s="206"/>
      <c r="D8" s="206"/>
      <c r="E8" s="206"/>
      <c r="F8" s="206"/>
      <c r="G8" s="206" t="str">
        <f>IF('SCOUT &amp; LOGISTICS'!D7="","",'SCOUT &amp; LOGISTICS'!D7)</f>
        <v>JEAN-MARC MORENTE</v>
      </c>
      <c r="H8" s="206"/>
      <c r="I8" s="206"/>
      <c r="J8" s="206"/>
      <c r="K8" s="206"/>
      <c r="L8" s="206" t="str">
        <f>IF('SCOUT &amp; LOGISTICS'!D8="","",'SCOUT &amp; LOGISTICS'!D8)</f>
        <v>OLIVIER JAUFFRES</v>
      </c>
      <c r="M8" s="206"/>
      <c r="N8" s="206"/>
      <c r="O8" s="206"/>
      <c r="P8" s="206"/>
      <c r="Q8" s="206" t="str">
        <f>IF('SCOUT &amp; LOGISTICS'!D9="","",'SCOUT &amp; LOGISTICS'!D9)</f>
        <v>ALAIN FERRANT</v>
      </c>
      <c r="R8" s="206"/>
      <c r="S8" s="206"/>
      <c r="T8" s="206"/>
      <c r="U8" s="206"/>
      <c r="V8" s="206" t="str">
        <f>IF('SCOUT &amp; LOGISTICS'!D10="","",'SCOUT &amp; LOGISTICS'!D10)</f>
        <v>VIRGINIE USCLADE</v>
      </c>
      <c r="W8" s="206"/>
      <c r="X8" s="206"/>
      <c r="Y8" s="206"/>
      <c r="Z8" s="206"/>
      <c r="AA8" s="206" t="str">
        <f>IF('SCOUT &amp; LOGISTICS'!D11="","",'SCOUT &amp; LOGISTICS'!D11)</f>
        <v>YOHAN STROBEL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662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4.5317220543806651E-3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1.9531722054380665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FB3DF-604B-4EDB-B3E8-FB5B297A258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2025-12-26T20:34:31Z</cp:lastPrinted>
  <dcterms:created xsi:type="dcterms:W3CDTF">2023-09-19T19:50:35Z</dcterms:created>
  <dcterms:modified xsi:type="dcterms:W3CDTF">2025-12-26T20:34:32Z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