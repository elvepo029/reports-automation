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3" documentId="8_{F34EC872-F132-459D-B86B-0DB539149339}" xr6:coauthVersionLast="47" xr6:coauthVersionMax="47" xr10:uidLastSave="{B7189772-DBD5-4F6B-A6F4-E33BE565FDA0}"/>
  <bookViews>
    <workbookView minimized="1" xWindow="43335" yWindow="7470" windowWidth="14400" windowHeight="7275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<sst xmlns="http://schemas.openxmlformats.org/spreadsheetml/2006/main" count="3321" uniqueCount="827">
  <si>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</si>
  <si>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</si>
  <si>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</si>
  <si>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</si>
  <si>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</si>
  <si>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</si>
  <si>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</si>
  <si>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</si>
  <si>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</si>
  <si>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</si>
  <si>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</si>
  <si>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</si>
  <si>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</si>
  <si>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</si>
  <si>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</si>
  <si>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</si>
  <si>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</si>
  <si>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</si>
  <si>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</si>
  <si>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</si>
  <si>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</si>
  <si>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</si>
  <si>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</si>
  <si>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</si>
  <si>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</si>
  <si>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</si>
  <si>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</si>
  <si>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</si>
  <si>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</si>
  <si>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</si>
  <si>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</si>
  <si>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</si>
  <si>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</si>
  <si>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</si>
  <si>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</si>
  <si>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</si>
  <si>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</si>
  <si>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</si>
  <si>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</si>
  <si>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</si>
  <si>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</si>
  <si>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</si>
  <si>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</si>
  <si>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</si>
  <si>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</si>
  <si>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</si>
  <si>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</si>
  <si>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</si>
  <si>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</si>
  <si>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</si>
  <si>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</si>
  <si>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</si>
  <si>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</si>
  <si>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</si>
  <si>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</si>
  <si>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</si>
  <si>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</si>
  <si>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</si>
  <si>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</si>
  <si>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</si>
  <si>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</si>
  <si>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</si>
  <si>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</si>
  <si>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</si>
  <si>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</si>
  <si>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</si>
  <si>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</si>
  <si>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</si>
  <si>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</si>
  <si>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</si>
  <si>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</si>
  <si>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</si>
  <si>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</si>
  <si>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</si>
  <si>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</si>
  <si>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</si>
  <si>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</si>
  <si>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</si>
  <si>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</si>
  <si>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</si>
  <si>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</si>
  <si>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</si>
  <si>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</si>
  <si>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</si>
  <si>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</si>
  <si>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</si>
  <si>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</si>
  <si>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</si>
  <si>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</si>
  <si>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</si>
  <si>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</si>
  <si>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</si>
  <si>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</si>
  <si>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</si>
  <si>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</si>
  <si>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</si>
  <si>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</si>
  <si>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</si>
  <si>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</si>
  <si>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</si>
  <si>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</si>
  <si>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</si>
  <si>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</si>
  <si>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</si>
  <si>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</si>
  <si>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</si>
  <si>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</si>
  <si>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</si>
  <si>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</si>
  <si>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</si>
  <si>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</si>
  <si>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</si>
  <si>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</si>
  <si>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</si>
  <si>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</si>
  <si>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</si>
  <si>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</si>
  <si>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</si>
  <si>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</si>
  <si>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</si>
  <si>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</si>
  <si>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</si>
  <si>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</si>
  <si>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</si>
  <si>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</si>
  <si>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</si>
  <si>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</si>
  <si>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</si>
  <si>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</si>
  <si>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</si>
  <si>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</si>
  <si>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</si>
  <si>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</si>
  <si>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</si>
  <si>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</si>
  <si>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</si>
  <si>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</si>
  <si>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</si>
  <si>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</si>
  <si>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</si>
  <si>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</si>
  <si>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</si>
  <si>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</si>
  <si>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</si>
  <si>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</si>
  <si>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</si>
  <si>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</si>
  <si>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</si>
  <si>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</si>
  <si>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</si>
  <si>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</si>
  <si>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</si>
  <si>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</si>
  <si>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</si>
  <si>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</si>
  <si>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</si>
  <si>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</si>
  <si>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</si>
  <si>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</si>
  <si>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</si>
  <si>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</si>
  <si>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</si>
  <si>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</si>
  <si>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</si>
  <si>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</si>
  <si>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</si>
  <si>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</si>
  <si>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</si>
  <si>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</si>
  <si>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</si>
  <si>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</si>
  <si>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</si>
  <si>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</si>
  <si>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</si>
  <si>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</si>
  <si>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</si>
  <si>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</si>
  <si>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</si>
  <si>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</si>
  <si>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</si>
  <si>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</si>
  <si>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</si>
  <si>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</si>
  <si>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</si>
  <si>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</si>
  <si>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</si>
  <si>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</si>
  <si>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</si>
  <si>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</si>
  <si>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</si>
  <si>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</si>
  <si>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</si>
  <si>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</si>
  <si>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</si>
  <si>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</si>
  <si>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</si>
  <si>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</si>
  <si>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</si>
  <si>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</si>
  <si>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</si>
  <si>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</si>
  <si>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</si>
  <si>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</si>
  <si>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</si>
  <si>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</si>
  <si>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</si>
  <si>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</si>
  <si>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</si>
  <si>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</si>
  <si>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</si>
  <si>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</si>
  <si>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</si>
  <si>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</si>
  <si>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</si>
  <si>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</si>
  <si>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</si>
  <si>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</si>
  <si>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</si>
  <si>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</si>
  <si>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</si>
  <si>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</si>
  <si>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</si>
  <si>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</si>
  <si>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</si>
  <si>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</si>
  <si>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</si>
  <si>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</si>
  <si>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</si>
  <si>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</si>
  <si>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</si>
  <si>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</si>
  <si>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</si>
  <si>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</si>
  <si>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</si>
  <si>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</si>
  <si>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</si>
  <si>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</si>
  <si>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</si>
  <si>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</si>
  <si>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</si>
  <si>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</si>
  <si>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</si>
  <si>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</si>
  <si>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</si>
  <si>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</si>
  <si>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</si>
  <si>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</si>
  <si>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</si>
  <si>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</si>
  <si>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</si>
  <si>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</si>
  <si>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</si>
  <si>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</si>
  <si>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</si>
  <si>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</si>
  <si>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</si>
  <si>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</si>
  <si>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</si>
  <si>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</si>
  <si>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</si>
  <si>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</si>
  <si>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</si>
  <si>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</si>
  <si>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</si>
  <si>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</si>
  <si>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</si>
  <si>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</si>
  <si>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</si>
  <si>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</si>
  <si>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</si>
  <si>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</si>
  <si>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</si>
  <si>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</si>
  <si>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</si>
  <si>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</si>
  <si>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</si>
  <si>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</si>
  <si>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</si>
  <si>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</si>
  <si>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</si>
  <si>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</si>
  <si>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</si>
  <si>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</si>
  <si>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</si>
  <si>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</si>
  <si>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</si>
  <si>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</si>
  <si>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</si>
  <si>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</si>
  <si>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</si>
  <si>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</si>
  <si>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</si>
  <si>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</si>
  <si>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</si>
  <si>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</si>
  <si>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</si>
  <si>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</si>
  <si>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</si>
  <si>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</si>
  <si>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</si>
  <si>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</si>
  <si>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</si>
  <si>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</si>
  <si>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</si>
  <si>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</si>
  <si>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</si>
  <si>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</si>
  <si>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</si>
  <si>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</si>
  <si>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</si>
  <si>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</si>
  <si>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</si>
  <si>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</si>
  <si>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</si>
  <si>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</si>
  <si>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</si>
  <si>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</si>
  <si>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</si>
  <si>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</si>
  <si>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</si>
  <si>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</si>
  <si>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</si>
  <si>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</si>
  <si>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</si>
  <si>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</si>
  <si>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</si>
  <si>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</si>
  <si>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</si>
  <si>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</si>
  <si>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</si>
  <si>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</si>
  <si>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</si>
  <si>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</si>
  <si>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</si>
  <si>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</si>
  <si>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</si>
  <si>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</si>
  <si>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</si>
  <si>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</si>
  <si>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</si>
  <si>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</si>
  <si>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</si>
  <si>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</si>
  <si>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</si>
  <si>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</si>
  <si>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</si>
  <si>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</si>
  <si>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</si>
  <si>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</si>
  <si>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</si>
  <si>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</si>
  <si>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</si>
  <si>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</si>
  <si>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</si>
  <si>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</si>
  <si>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</si>
  <si>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</si>
  <si>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</si>
  <si>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</si>
  <si>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</si>
  <si>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</si>
  <si>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</si>
  <si>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</si>
  <si>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</si>
  <si>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</si>
  <si>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</si>
  <si>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</si>
  <si>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</si>
  <si>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</si>
  <si>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</si>
  <si>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</si>
  <si>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</si>
  <si>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</si>
  <si>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</si>
  <si>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</si>
  <si>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</si>
  <si>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</si>
  <si>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</si>
  <si>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</si>
  <si>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</si>
  <si>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</si>
  <si>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</si>
  <si>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</si>
  <si>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</si>
  <si>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</si>
  <si>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</si>
  <si>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</si>
  <si>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</si>
  <si>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</si>
  <si>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</si>
  <si>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</si>
  <si>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</si>
  <si>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</si>
  <si>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</si>
  <si>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</si>
  <si>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</si>
  <si>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</si>
  <si>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</si>
  <si>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</si>
  <si>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</si>
  <si>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</si>
  <si>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</si>
  <si>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</si>
  <si>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</si>
  <si>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</si>
  <si>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</si>
  <si>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</si>
  <si>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</si>
  <si>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</si>
  <si>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</si>
  <si>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</si>
  <si>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</si>
  <si>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</si>
  <si>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</si>
  <si>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</si>
  <si>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</si>
  <si>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</si>
  <si>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</si>
  <si>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</si>
  <si>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</si>
  <si>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</si>
  <si>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</si>
  <si>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</si>
  <si>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</si>
  <si>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</si>
  <si>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</si>
  <si>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</si>
  <si>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</si>
  <si>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</si>
  <si>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</si>
  <si>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</si>
  <si>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</si>
  <si>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</si>
  <si>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</si>
  <si>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</si>
  <si>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</si>
  <si>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</si>
  <si>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</si>
  <si>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</si>
  <si>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</si>
  <si>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</si>
  <si>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</si>
  <si>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</si>
  <si>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</si>
  <si>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</si>
  <si>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</si>
  <si>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</si>
  <si>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</si>
  <si>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</si>
  <si>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</si>
  <si>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</si>
  <si>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</si>
  <si>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</si>
  <si>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</si>
  <si>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</si>
  <si>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</si>
  <si>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</si>
  <si>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</si>
  <si>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</si>
  <si>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</si>
  <si>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</si>
  <si>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</si>
  <si>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</si>
  <si>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</si>
  <si>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</si>
  <si>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</si>
  <si>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</si>
  <si>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</si>
  <si>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</si>
  <si>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</si>
  <si>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</si>
  <si>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</si>
  <si>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</si>
  <si>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</si>
  <si>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</si>
  <si>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</si>
  <si>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</si>
  <si>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</si>
  <si>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</si>
  <si>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</si>
  <si>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</si>
  <si>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</si>
  <si>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</si>
  <si>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</si>
  <si>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</si>
  <si>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</si>
  <si>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</si>
  <si>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</si>
  <si>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</si>
  <si>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</si>
  <si>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</si>
  <si>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</si>
  <si>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</si>
  <si>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</si>
  <si>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</si>
  <si>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</si>
  <si>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</si>
  <si>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</si>
  <si>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</si>
  <si>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</si>
  <si>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</si>
  <si>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</si>
  <si>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</si>
  <si>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</si>
  <si>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</si>
  <si>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</si>
  <si>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</si>
  <si>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</si>
  <si>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</si>
  <si>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</si>
  <si>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</si>
  <si>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</si>
  <si>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</si>
  <si>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</si>
  <si>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</si>
  <si>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</si>
  <si>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</si>
  <si>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</si>
  <si>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</si>
  <si>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</si>
  <si>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</si>
  <si>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</si>
  <si>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</si>
  <si>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</si>
  <si>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</si>
  <si>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</si>
  <si>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</si>
  <si>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</si>
  <si>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</si>
  <si>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</si>
  <si>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</si>
  <si>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</si>
  <si>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</si>
  <si>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</si>
  <si>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</si>
  <si>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</si>
  <si>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</si>
  <si>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</si>
  <si>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</si>
  <si>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</si>
  <si>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</si>
  <si>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</si>
  <si>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</si>
  <si>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</si>
  <si>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</si>
  <si>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</si>
  <si>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</si>
  <si>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</si>
  <si>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</si>
  <si>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</si>
  <si>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</si>
  <si>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</si>
  <si>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</si>
  <si>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</si>
  <si>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</si>
  <si>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</si>
  <si>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</si>
  <si>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</si>
  <si>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</si>
  <si>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</si>
  <si>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</si>
  <si>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</si>
  <si>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</si>
  <si>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</si>
  <si>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</si>
  <si>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</si>
  <si>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</si>
  <si>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</si>
  <si>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</si>
  <si>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</si>
  <si>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</si>
  <si>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</si>
  <si>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</si>
  <si>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</si>
  <si>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</si>
  <si>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</si>
  <si>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</si>
  <si>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</si>
  <si>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</si>
  <si>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</si>
  <si>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</si>
  <si>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</si>
  <si>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</si>
  <si>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</si>
  <si>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</si>
  <si>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</si>
  <si>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</si>
  <si>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</si>
  <si>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</si>
  <si>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</si>
  <si>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</si>
  <si>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</si>
  <si>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</si>
  <si>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</si>
  <si>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</si>
  <si>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</si>
  <si>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</si>
  <si>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</si>
  <si>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</si>
  <si>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</si>
  <si>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</si>
  <si>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</si>
  <si>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</si>
  <si>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</si>
  <si>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</si>
  <si>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</si>
  <si>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</si>
  <si>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</si>
  <si>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</si>
  <si>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</si>
  <si>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</si>
  <si>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</si>
  <si>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</si>
  <si>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</si>
  <si>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</si>
  <si>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</si>
  <si>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</si>
  <si>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</si>
  <si>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</si>
  <si>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</si>
  <si>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</si>
  <si>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</si>
  <si>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</si>
  <si>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</si>
  <si>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</si>
  <si>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</si>
  <si>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</si>
  <si>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</si>
  <si>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</si>
  <si>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</si>
  <si>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</si>
  <si>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</si>
  <si>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</si>
  <si>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</si>
  <si>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</si>
  <si>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</si>
  <si>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</si>
  <si>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</si>
  <si>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</si>
  <si>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</si>
  <si>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</si>
  <si>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</si>
  <si>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</si>
  <si>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</si>
  <si>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</si>
  <si>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</si>
  <si>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</si>
  <si>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</si>
  <si>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</si>
  <si>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</si>
  <si>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</si>
  <si>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</si>
  <si>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</si>
  <si>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</si>
  <si>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</si>
  <si>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</si>
  <si>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</si>
  <si>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</si>
  <si>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</si>
  <si>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</si>
  <si>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</si>
  <si>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</si>
  <si>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</si>
  <si>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</si>
  <si>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</si>
  <si>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</si>
  <si>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</si>
  <si>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</si>
  <si>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</si>
  <si>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</si>
  <si>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</si>
  <si>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</si>
  <si>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</si>
  <si>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</si>
  <si>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</si>
  <si>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</si>
  <si>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</si>
  <si>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</si>
  <si>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</si>
  <si>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</si>
  <si>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</si>
  <si>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</si>
  <si>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</si>
  <si>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</si>
  <si>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</si>
  <si>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</si>
  <si>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</si>
  <si>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</si>
  <si>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</si>
  <si>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</si>
  <si>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</si>
  <si>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</si>
  <si>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</si>
  <si>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</si>
  <si>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</si>
  <si>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</si>
  <si>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</si>
  <si>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</si>
  <si>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</si>
  <si>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</si>
  <si>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</si>
  <si>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</si>
  <si>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</si>
  <si>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</si>
  <si>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</si>
  <si>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</si>
  <si>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</si>
  <si>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</si>
  <si>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</si>
  <si>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</si>
  <si>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</si>
  <si>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</si>
  <si>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</si>
  <si>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</si>
  <si>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</si>
  <si>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</si>
  <si>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</si>
  <si>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</si>
  <si>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</si>
  <si>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</si>
  <si>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</si>
  <si>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</si>
  <si>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</si>
  <si>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</si>
  <si>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</si>
  <si>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</si>
  <si>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</si>
  <si>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</si>
  <si>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</si>
  <si>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</si>
  <si>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</si>
  <si>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</si>
  <si>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</si>
  <si>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</si>
  <si>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</si>
  <si>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</si>
  <si>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</si>
  <si>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</si>
  <si>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</si>
  <si>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</si>
  <si>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</si>
  <si>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</si>
  <si>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</si>
  <si>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</si>
  <si>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</si>
  <si>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</si>
  <si>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</si>
  <si>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</si>
  <si>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</si>
  <si>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</si>
  <si>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</si>
  <si>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</si>
  <si>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</si>
  <si>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</si>
  <si>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</si>
  <si>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</si>
  <si>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</si>
  <si>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</si>
  <si>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</si>
  <si>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</si>
  <si>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</si>
  <si>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</si>
  <si>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</si>
  <si>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</si>
  <si>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</si>
  <si>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</si>
  <si>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</si>
  <si>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</si>
  <si>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</si>
  <si>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</si>
  <si>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</si>
  <si>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</si>
  <si>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</si>
  <si>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</si>
  <si>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</si>
  <si>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</si>
  <si>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</si>
  <si>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</si>
  <si>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</si>
  <si>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</si>
  <si>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</si>
  <si>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</si>
  <si>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</si>
  <si>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</si>
  <si>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</si>
  <si>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</si>
  <si>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</si>
  <si>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</si>
  <si>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</si>
  <si>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</si>
  <si>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</si>
  <si>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</si>
  <si>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</si>
  <si>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</si>
  <si>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</si>
  <si>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</si>
  <si>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</si>
  <si>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</si>
  <si>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</si>
  <si>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</si>
  <si>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</si>
  <si>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</si>
  <si>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</si>
  <si>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</si>
  <si>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</si>
  <si>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</si>
  <si>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</si>
  <si>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</si>
  <si>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</si>
  <si>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</si>
  <si>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</si>
  <si>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</si>
  <si>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</si>
  <si>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</si>
  <si>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</si>
  <si>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</si>
  <si>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</si>
  <si>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</si>
  <si>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</si>
  <si>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</si>
  <si>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</si>
  <si>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</si>
  <si>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</si>
  <si>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</si>
  <si>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</si>
  <si>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C:\Users\hector.guillen\EUROLEAGUE\EB STATS - Documents\General\SEASON 2025-26\Reports\Eurocup</t>
  </si>
  <si>
    <t>C:\Users\hector.guillen\EUROLEAGUE\EB STATS - Documents\General\SEASON 2025-26\Reports\Eurocup\PDF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</si>
</sst>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6" sqref="D6:G6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18_173_VNC_JER_U2025</v>
      </c>
      <c r="G1" s="5"/>
      <c r="H1" s="5"/>
      <c r="I1" s="5"/>
      <c r="J1" s="8" t="s">
        <v>707</v>
      </c>
      <c r="K1" s="121" t="s">
        <v>825</v>
      </c>
      <c r="L1" s="121"/>
      <c r="M1" s="122" t="s">
        <v>239</v>
      </c>
      <c r="N1" s="121" t="s">
        <v>826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173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46064.833333333336</v>
      </c>
      <c r="C3" s="157"/>
      <c r="D3" s="39">
        <v>639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Umana Reyer Venice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VNC</v>
      </c>
      <c r="I4" s="5"/>
      <c r="J4" s="119" t="s">
        <v>714</v>
      </c>
      <c r="K4" s="54" t="s">
        <v>742</v>
      </c>
      <c r="L4" s="5"/>
      <c r="M4" s="167"/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Bank Yahav Jerusalem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JER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tr">
        <f>H7</f>
        <v>Data entry Name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tr">
        <f>I7</f>
        <v>Caller 1 Name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tr">
        <f>J7</f>
        <v>Caller 2 Name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tr">
        <f>K7</f>
        <v>Timerkeeper Name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tr">
        <f>L7</f>
        <v>Shotclock Name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/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REPORT_U2025173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"U2025173"</v>
      </c>
      <c r="F3" s="45" t="str">
        <f t="shared" ref="F3:F16" si="0">""""&amp;B3&amp;"""" &amp; " : " &amp;C3&amp;","</f>
        <v>"name" : "U2025173",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"U173"</v>
      </c>
      <c r="F4" s="45" t="str">
        <f t="shared" si="0"/>
        <v>"cod" : "U173",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173</v>
      </c>
      <c r="F6" s="45" t="str">
        <f t="shared" si="0"/>
        <v>"number" : 173,</v>
      </c>
    </row>
    <row r="7" spans="2:6" x14ac:dyDescent="0.25">
      <c r="B7" s="43" t="s">
        <v>116</v>
      </c>
      <c r="C7" s="43" t="str">
        <f ca="1">""""&amp;TEXT('SCOUT &amp; LOGISTICS'!B3,"dd/mm/aaaa")&amp;""""</f>
        <v>"11/02/Wednesday"</v>
      </c>
      <c r="F7" s="45" t="str">
        <f t="shared" ca="1" si="0"/>
        <v>"date" : "11/02/Wednesday",</v>
      </c>
    </row>
    <row r="8" spans="2:6" x14ac:dyDescent="0.25">
      <c r="B8" s="43" t="s">
        <v>125</v>
      </c>
      <c r="C8" s="43" t="str">
        <f>""""&amp;'SCOUT &amp; LOGISTICS'!D4 &amp;""""</f>
        <v>"Umana Reyer Venice"</v>
      </c>
      <c r="F8" s="45" t="str">
        <f t="shared" si="0"/>
        <v>"home_team" : "Umana Reyer Venice",</v>
      </c>
    </row>
    <row r="9" spans="2:6" x14ac:dyDescent="0.25">
      <c r="B9" s="43" t="s">
        <v>126</v>
      </c>
      <c r="C9" s="43" t="str">
        <f>""""&amp;'SCOUT &amp; LOGISTICS'!D5&amp;""""</f>
        <v>"Hapoel Bank Yahav Jerusalem"</v>
      </c>
      <c r="F9" s="45" t="str">
        <f t="shared" si="0"/>
        <v>"away_team" : "Hapoel Bank Yahav Jerusalem",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639</v>
      </c>
      <c r="F25" s="45" t="str">
        <f t="shared" ref="F25:F48" si="1">""""&amp;C25&amp;"""" &amp; " : " &amp;D25&amp;","</f>
        <v>"total_actions" : 639,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5">
      <c r="B52" s="43" t="s">
        <v>153</v>
      </c>
      <c r="C52" s="43" t="str">
        <f>TEXT('SCOUT &amp; LOGISTICS'!F1,"0,0")</f>
        <v>18_173_VNC_JER_U2025</v>
      </c>
      <c r="F52" s="45" t="str">
        <f>""""&amp;B52&amp;"""" &amp; " : " &amp;C52</f>
        <v>"result" : 18_173_VNC_JER_U2025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U173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11/02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Umana Reyer Venice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Bank Yahav Jerusalem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Data entry Name</v>
      </c>
      <c r="C8" s="206"/>
      <c r="D8" s="206"/>
      <c r="E8" s="206"/>
      <c r="F8" s="206"/>
      <c r="G8" s="206" t="str">
        <f>IF('SCOUT &amp; LOGISTICS'!D7="","",'SCOUT &amp; LOGISTICS'!D7)</f>
        <v>Caller 1 Name</v>
      </c>
      <c r="H8" s="206"/>
      <c r="I8" s="206"/>
      <c r="J8" s="206"/>
      <c r="K8" s="206"/>
      <c r="L8" s="206" t="str">
        <f>IF('SCOUT &amp; LOGISTICS'!D8="","",'SCOUT &amp; LOGISTICS'!D8)</f>
        <v>Caller 2 Name</v>
      </c>
      <c r="M8" s="206"/>
      <c r="N8" s="206"/>
      <c r="O8" s="206"/>
      <c r="P8" s="206"/>
      <c r="Q8" s="206" t="str">
        <f>IF('SCOUT &amp; LOGISTICS'!D9="","",'SCOUT &amp; LOGISTICS'!D9)</f>
        <v>Timerkeeper Name</v>
      </c>
      <c r="R8" s="206"/>
      <c r="S8" s="206"/>
      <c r="T8" s="206"/>
      <c r="U8" s="206"/>
      <c r="V8" s="206" t="str">
        <f>IF('SCOUT &amp; LOGISTICS'!D10="","",'SCOUT &amp; LOGISTICS'!D10)</f>
        <v>Shotclock Name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639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/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47981C-445E-4950-BAAD-F83FAEC90989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2026-01-07T21:17:10Z</cp:lastPrinted>
  <dcterms:created xsi:type="dcterms:W3CDTF">2023-09-19T19:50:35Z</dcterms:created>
  <dcterms:modified xsi:type="dcterms:W3CDTF">2026-02-11T21:09:21Z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