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1" documentId="8_{0CFE4A5E-7AF8-45B9-80CC-89B17E2C9ACD}" xr6:coauthVersionLast="47" xr6:coauthVersionMax="47" xr10:uidLastSave="{19F9E510-9A73-4CFF-ADBA-38BF64F8BFFA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<sst xmlns="http://schemas.openxmlformats.org/spreadsheetml/2006/main" count="3265" uniqueCount="763">
  <si>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</si>
  <si>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</si>
  <si>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</si>
  <si>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</si>
  <si>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</si>
  <si>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</si>
  <si>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</si>
  <si>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</si>
  <si>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</si>
  <si>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</si>
  <si>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</si>
  <si>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</si>
  <si>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</si>
  <si>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</si>
  <si>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</si>
  <si>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</si>
  <si>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</si>
  <si>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</si>
  <si>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</si>
  <si>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</si>
  <si>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</si>
  <si>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</si>
  <si>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</si>
  <si>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</si>
  <si>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</si>
  <si>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</si>
  <si>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</si>
  <si>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</si>
  <si>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</si>
  <si>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</si>
  <si>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</si>
  <si>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</si>
  <si>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</si>
  <si>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</si>
  <si>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</si>
  <si>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</si>
  <si>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</si>
  <si>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</si>
  <si>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</si>
  <si>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</si>
  <si>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</si>
  <si>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</si>
  <si>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</si>
  <si>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</si>
  <si>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</si>
  <si>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</si>
  <si>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</si>
  <si>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</si>
  <si>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</si>
  <si>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</si>
  <si>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</si>
  <si>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</si>
  <si>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</si>
  <si>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</si>
  <si>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</si>
  <si>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</si>
  <si>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</si>
  <si>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</si>
  <si>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</si>
  <si>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</si>
  <si>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</si>
  <si>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</si>
  <si>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</si>
  <si>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</si>
  <si>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</si>
  <si>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</si>
  <si>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</si>
  <si>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</si>
  <si>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</si>
  <si>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</si>
  <si>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</si>
  <si>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</si>
  <si>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</si>
  <si>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</si>
  <si>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</si>
  <si>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</si>
  <si>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</si>
  <si>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</si>
  <si>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</si>
  <si>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</si>
  <si>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</si>
  <si>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</si>
  <si>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</si>
  <si>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</si>
  <si>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</si>
  <si>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</si>
  <si>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</si>
  <si>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</si>
  <si>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</si>
  <si>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</si>
  <si>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</si>
  <si>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</si>
  <si>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</si>
  <si>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</si>
  <si>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</si>
  <si>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</si>
  <si>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</si>
  <si>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</si>
  <si>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</si>
  <si>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</si>
  <si>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</si>
  <si>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</si>
  <si>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</si>
  <si>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</si>
  <si>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</si>
  <si>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</si>
  <si>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</si>
  <si>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</si>
  <si>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</si>
  <si>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</si>
  <si>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</si>
  <si>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</si>
  <si>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</si>
  <si>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</si>
  <si>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</si>
  <si>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</si>
  <si>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</si>
  <si>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</si>
  <si>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</si>
  <si>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</si>
  <si>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</si>
  <si>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</si>
  <si>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</si>
  <si>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</si>
  <si>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</si>
  <si>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</si>
  <si>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</si>
  <si>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</si>
  <si>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</si>
  <si>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</si>
  <si>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</si>
  <si>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</si>
  <si>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</si>
  <si>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</si>
  <si>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</si>
  <si>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</si>
  <si>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</si>
  <si>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</si>
  <si>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</si>
  <si>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</si>
  <si>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</si>
  <si>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</si>
  <si>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</si>
  <si>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</si>
  <si>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</si>
  <si>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</si>
  <si>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</si>
  <si>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</si>
  <si>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</si>
  <si>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</si>
  <si>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</si>
  <si>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</si>
  <si>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</si>
  <si>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</si>
  <si>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</si>
  <si>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</si>
  <si>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</si>
  <si>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</si>
  <si>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</si>
  <si>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</si>
  <si>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</si>
  <si>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</si>
  <si>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</si>
  <si>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</si>
  <si>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</si>
  <si>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</si>
  <si>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</si>
  <si>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</si>
  <si>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</si>
  <si>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</si>
  <si>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</si>
  <si>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</si>
  <si>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</si>
  <si>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</si>
  <si>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</si>
  <si>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</si>
  <si>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</si>
  <si>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</si>
  <si>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</si>
  <si>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</si>
  <si>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</si>
  <si>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</si>
  <si>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</si>
  <si>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</si>
  <si>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</si>
  <si>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</si>
  <si>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</si>
  <si>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</si>
  <si>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</si>
  <si>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</si>
  <si>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</si>
  <si>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</si>
  <si>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</si>
  <si>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</si>
  <si>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</si>
  <si>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</si>
  <si>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</si>
  <si>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</si>
  <si>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</si>
  <si>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</si>
  <si>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</si>
  <si>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</si>
  <si>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</si>
  <si>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</si>
  <si>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</si>
  <si>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</si>
  <si>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</si>
  <si>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</si>
  <si>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</si>
  <si>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</si>
  <si>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</si>
  <si>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</si>
  <si>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</si>
  <si>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</si>
  <si>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</si>
  <si>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</si>
  <si>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</si>
  <si>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</si>
  <si>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</si>
  <si>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</si>
  <si>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</si>
  <si>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</si>
  <si>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</si>
  <si>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</si>
  <si>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</si>
  <si>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</si>
  <si>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</si>
  <si>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</si>
  <si>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</si>
  <si>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</si>
  <si>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</si>
  <si>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</si>
  <si>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</si>
  <si>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</si>
  <si>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</si>
  <si>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</si>
  <si>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</si>
  <si>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</si>
  <si>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</si>
  <si>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</si>
  <si>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</si>
  <si>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</si>
  <si>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</si>
  <si>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</si>
  <si>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</si>
  <si>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</si>
  <si>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</si>
  <si>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</si>
  <si>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</si>
  <si>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</si>
  <si>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</si>
  <si>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</si>
  <si>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</si>
  <si>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</si>
  <si>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</si>
  <si>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</si>
  <si>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</si>
  <si>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</si>
  <si>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</si>
  <si>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</si>
  <si>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</si>
  <si>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</si>
  <si>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</si>
  <si>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</si>
  <si>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</si>
  <si>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</si>
  <si>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</si>
  <si>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</si>
  <si>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</si>
  <si>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</si>
  <si>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</si>
  <si>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</si>
  <si>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</si>
  <si>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</si>
  <si>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</si>
  <si>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</si>
  <si>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</si>
  <si>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</si>
  <si>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</si>
  <si>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</si>
  <si>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</si>
  <si>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</si>
  <si>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</si>
  <si>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</si>
  <si>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</si>
  <si>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</si>
  <si>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</si>
  <si>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</si>
  <si>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</si>
  <si>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</si>
  <si>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</si>
  <si>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</si>
  <si>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</si>
  <si>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</si>
  <si>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</si>
  <si>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</si>
  <si>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</si>
  <si>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</si>
  <si>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</si>
  <si>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</si>
  <si>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</si>
  <si>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</si>
  <si>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</si>
  <si>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</si>
  <si>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</si>
  <si>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</si>
  <si>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</si>
  <si>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</si>
  <si>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</si>
  <si>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</si>
  <si>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</si>
  <si>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</si>
  <si>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</si>
  <si>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</si>
  <si>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</si>
  <si>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</si>
  <si>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</si>
  <si>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</si>
  <si>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</si>
  <si>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</si>
  <si>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</si>
  <si>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</si>
  <si>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</si>
  <si>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</si>
  <si>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</si>
  <si>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</si>
  <si>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</si>
  <si>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</si>
  <si>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</si>
  <si>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</si>
  <si>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</si>
  <si>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</si>
  <si>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</si>
  <si>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</si>
  <si>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</si>
  <si>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</si>
  <si>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</si>
  <si>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</si>
  <si>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</si>
  <si>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</si>
  <si>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</si>
  <si>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</si>
  <si>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</si>
  <si>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</si>
  <si>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</si>
  <si>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</si>
  <si>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</si>
  <si>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</si>
  <si>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</si>
  <si>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</si>
  <si>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</si>
  <si>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</si>
  <si>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</si>
  <si>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</si>
  <si>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</si>
  <si>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</si>
  <si>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</si>
  <si>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</si>
  <si>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</si>
  <si>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</si>
  <si>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</si>
  <si>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</si>
  <si>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</si>
  <si>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</si>
  <si>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</si>
  <si>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</si>
  <si>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</si>
  <si>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</si>
  <si>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</si>
  <si>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</si>
  <si>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</si>
  <si>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</si>
  <si>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</si>
  <si>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</si>
  <si>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</si>
  <si>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</si>
  <si>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</si>
  <si>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</si>
  <si>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</si>
  <si>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</si>
  <si>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</si>
  <si>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</si>
  <si>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</si>
  <si>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</si>
  <si>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</si>
  <si>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</si>
  <si>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</si>
  <si>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</si>
  <si>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</si>
  <si>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</si>
  <si>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</si>
  <si>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</si>
  <si>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</si>
  <si>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</si>
  <si>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</si>
  <si>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</si>
  <si>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</si>
  <si>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</si>
  <si>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</si>
  <si>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</si>
  <si>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</si>
  <si>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</si>
  <si>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</si>
  <si>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</si>
  <si>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</si>
  <si>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</si>
  <si>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</si>
  <si>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</si>
  <si>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</si>
  <si>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</si>
  <si>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</si>
  <si>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</si>
  <si>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</si>
  <si>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</si>
  <si>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</si>
  <si>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</si>
  <si>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</si>
  <si>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</si>
  <si>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</si>
  <si>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</si>
  <si>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</si>
  <si>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</si>
  <si>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</si>
  <si>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</si>
  <si>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</si>
  <si>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</si>
  <si>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</si>
  <si>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</si>
  <si>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</si>
  <si>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</si>
  <si>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</si>
  <si>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</si>
  <si>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</si>
  <si>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</si>
  <si>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</si>
  <si>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</si>
  <si>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</si>
  <si>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</si>
  <si>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</si>
  <si>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</si>
  <si>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</si>
  <si>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</si>
  <si>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</si>
  <si>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</si>
  <si>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</si>
  <si>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</si>
  <si>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</si>
  <si>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</si>
  <si>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</si>
  <si>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</si>
  <si>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</si>
  <si>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</si>
  <si>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</si>
  <si>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</si>
  <si>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</si>
  <si>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</si>
  <si>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</si>
  <si>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</si>
  <si>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</si>
  <si>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</si>
  <si>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</si>
  <si>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</si>
  <si>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</si>
  <si>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</si>
  <si>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</si>
  <si>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</si>
  <si>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</si>
  <si>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</si>
  <si>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</si>
  <si>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</si>
  <si>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</si>
  <si>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</si>
  <si>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</si>
  <si>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</si>
  <si>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</si>
  <si>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</si>
  <si>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</si>
  <si>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</si>
  <si>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</si>
  <si>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</si>
  <si>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</si>
  <si>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</si>
  <si>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</si>
  <si>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</si>
  <si>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</si>
  <si>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</si>
  <si>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</si>
  <si>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</si>
  <si>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</si>
  <si>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</si>
  <si>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</si>
  <si>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</si>
  <si>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</si>
  <si>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</si>
  <si>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</si>
  <si>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</si>
  <si>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</si>
  <si>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</si>
  <si>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</si>
  <si>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</si>
  <si>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</si>
  <si>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</si>
  <si>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</si>
  <si>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</si>
  <si>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</si>
  <si>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</si>
  <si>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</si>
  <si>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</si>
  <si>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</si>
  <si>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</si>
  <si>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</si>
  <si>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</si>
  <si>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</si>
  <si>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</si>
  <si>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</si>
  <si>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</si>
  <si>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</si>
  <si>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</si>
  <si>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</si>
  <si>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</si>
  <si>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</si>
  <si>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</si>
  <si>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</si>
  <si>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</si>
  <si>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</si>
  <si>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</si>
  <si>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</si>
  <si>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</si>
  <si>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</si>
  <si>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</si>
  <si>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</si>
  <si>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</si>
  <si>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</si>
  <si>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</si>
  <si>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</si>
  <si>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</si>
  <si>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</si>
  <si>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</si>
  <si>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</si>
  <si>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</si>
  <si>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</si>
  <si>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</si>
  <si>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</si>
  <si>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</si>
  <si>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</si>
  <si>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</si>
  <si>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</si>
  <si>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</si>
  <si>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</si>
  <si>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</si>
  <si>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</si>
  <si>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</si>
  <si>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</si>
  <si>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</si>
  <si>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</si>
  <si>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</si>
  <si>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</si>
  <si>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</si>
  <si>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</si>
  <si>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</si>
  <si>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</si>
  <si>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</si>
  <si>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</si>
  <si>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</si>
  <si>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</si>
  <si>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</si>
  <si>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</si>
  <si>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</si>
  <si>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</si>
  <si>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</si>
  <si>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</si>
  <si>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</si>
  <si>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</si>
  <si>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</si>
  <si>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</si>
  <si>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</si>
  <si>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</si>
  <si>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</si>
  <si>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</si>
  <si>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</si>
  <si>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</si>
  <si>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</si>
  <si>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</si>
  <si>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</si>
  <si>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</si>
  <si>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</si>
  <si>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</si>
  <si>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</si>
  <si>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</si>
  <si>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</si>
  <si>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</si>
  <si>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</si>
  <si>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</si>
  <si>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</si>
  <si>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</si>
  <si>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</si>
  <si>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</si>
  <si>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</si>
  <si>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</si>
  <si>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</si>
  <si>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</si>
  <si>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</si>
  <si>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</si>
  <si>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</si>
  <si>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</si>
  <si>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</si>
  <si>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</si>
  <si>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</si>
  <si>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</si>
  <si>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</si>
  <si>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</si>
  <si>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</si>
  <si>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</si>
  <si>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</si>
  <si>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</si>
  <si>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</si>
  <si>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</si>
  <si>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</si>
  <si>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</si>
  <si>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</si>
  <si>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</si>
  <si>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</si>
  <si>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</si>
  <si>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</si>
  <si>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</si>
  <si>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</si>
  <si>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</si>
  <si>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</si>
  <si>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</si>
  <si>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</si>
  <si>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</si>
  <si>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</si>
  <si>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</si>
  <si>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</si>
  <si>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</si>
  <si>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</si>
  <si>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</si>
  <si>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</si>
  <si>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</si>
  <si>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</si>
  <si>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</si>
  <si>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</si>
  <si>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</si>
  <si>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</si>
  <si>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</si>
  <si>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</si>
  <si>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</si>
  <si>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</si>
  <si>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</si>
  <si>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</si>
  <si>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</si>
  <si>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</si>
  <si>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</si>
  <si>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</si>
  <si>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</si>
  <si>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</si>
  <si>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</si>
  <si>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</si>
  <si>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</si>
  <si>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</si>
  <si>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</si>
  <si>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</si>
  <si>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</si>
  <si>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</si>
  <si>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</si>
  <si>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</si>
  <si>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</si>
  <si>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</si>
  <si>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</si>
  <si>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</si>
  <si>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</si>
  <si>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</si>
  <si>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</si>
  <si>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</si>
  <si>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</si>
  <si>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</si>
  <si>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</si>
  <si>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</si>
  <si>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</si>
  <si>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</si>
  <si>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</si>
  <si>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</si>
  <si>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</si>
  <si>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</si>
  <si>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</si>
  <si>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</si>
  <si>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</si>
  <si>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</si>
  <si>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</si>
  <si>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</si>
  <si>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</si>
  <si>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</si>
  <si>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</si>
  <si>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</si>
  <si>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</si>
  <si>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</si>
  <si>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</si>
  <si>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</si>
  <si>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</si>
  <si>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</si>
  <si>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</si>
  <si>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</si>
  <si>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</si>
  <si>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</si>
  <si>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</si>
  <si>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</si>
  <si>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</si>
  <si>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</si>
  <si>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</si>
  <si>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</si>
  <si>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</si>
  <si>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</si>
  <si>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</si>
  <si>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</si>
  <si>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</si>
  <si>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</si>
  <si>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</si>
  <si>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</si>
  <si>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</si>
  <si>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</si>
  <si>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</si>
  <si>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</si>
  <si>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</si>
  <si>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</si>
  <si>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</si>
  <si>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</si>
  <si>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</si>
  <si>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</si>
  <si>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</si>
  <si>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</si>
  <si>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</si>
  <si>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</si>
  <si>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</si>
  <si>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</si>
  <si>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</si>
  <si>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</si>
  <si>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</si>
  <si>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</si>
  <si>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</si>
  <si>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</si>
  <si>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</si>
  <si>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</si>
  <si>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</si>
  <si>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</si>
  <si>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</si>
  <si>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</si>
  <si>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</si>
  <si>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</si>
  <si>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</si>
  <si>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</si>
  <si>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DJAMEL SOUDANI</t>
  </si>
  <si>
    <t>CHRISTIAN MOLLET</t>
  </si>
  <si>
    <t>BASTIEN BONETTON</t>
  </si>
  <si>
    <t>CYRIL LONGELIN</t>
  </si>
  <si>
    <t>PATRICK JOLIVET</t>
  </si>
  <si>
    <t>AXEL QUENEY</t>
  </si>
  <si>
    <t>ORIOL GARCIA</t>
  </si>
  <si>
    <t>06:58</t>
  </si>
  <si>
    <t>03:51</t>
  </si>
  <si>
    <t>03:22</t>
  </si>
  <si>
    <t>02:10</t>
  </si>
  <si>
    <t>Nice procedures, nice communitaction and self-checking the corrections, warning to LGM before making any edition. Very good scouting just care with the time of some actions. Very good job!</t>
  </si>
  <si>
    <t>C:\Users\oriol.garcia\OneDrive - EUROLEAGUE\Documents\Season 25-26\Reports\Euroleague\Paris Basketball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</si>
</sst>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8" sqref="L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18_174_PRS_RED_E2025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46014.864583333336</v>
      </c>
      <c r="C3" s="157"/>
      <c r="D3" s="39">
        <v>636</v>
      </c>
      <c r="E3" s="29"/>
      <c r="F3" s="26">
        <f>SUBTOTAL(3,I17:I106)</f>
        <v>4</v>
      </c>
      <c r="G3" s="27">
        <f>IF(OR(D3="",D3=0),"",F3/D3)</f>
        <v>6.2893081761006293E-3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6.2893081761006293E-3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Crvena Zvezda Meridianbet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0.62893081761006298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5.6289308176100628</v>
      </c>
      <c r="N7" s="58"/>
      <c r="O7" s="2"/>
      <c r="P7" s="2"/>
      <c r="Q7" s="86">
        <f>SUM(R5,S5,AC16)</f>
        <v>5.6289308176100628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5.6289308176100628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174</v>
      </c>
      <c r="D17" s="32" t="s">
        <v>757</v>
      </c>
      <c r="E17" s="33">
        <v>2</v>
      </c>
      <c r="F17" s="36">
        <v>37</v>
      </c>
      <c r="G17" s="36">
        <v>27</v>
      </c>
      <c r="H17" s="38" t="str">
        <f>IF(I17="","",$I$14)</f>
        <v>SCOUTING</v>
      </c>
      <c r="I17" s="34">
        <v>216</v>
      </c>
      <c r="J17" s="13" t="s">
        <v>4</v>
      </c>
      <c r="K17" s="13" t="s">
        <v>61</v>
      </c>
      <c r="L17" s="13" t="s">
        <v>75</v>
      </c>
      <c r="M17" s="13" t="s">
        <v>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174</v>
      </c>
      <c r="D18" s="32" t="s">
        <v>758</v>
      </c>
      <c r="E18" s="33">
        <v>3</v>
      </c>
      <c r="F18" s="36">
        <v>64</v>
      </c>
      <c r="G18" s="36">
        <v>55</v>
      </c>
      <c r="H18" s="38" t="str">
        <f t="shared" ref="H18:H81" si="8">IF(I18="","",$I$14)</f>
        <v>SCOUTING</v>
      </c>
      <c r="I18" s="34">
        <v>446</v>
      </c>
      <c r="J18" s="13" t="s">
        <v>4</v>
      </c>
      <c r="K18" s="13" t="s">
        <v>62</v>
      </c>
      <c r="L18" s="13" t="s">
        <v>7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174</v>
      </c>
      <c r="D19" s="32" t="s">
        <v>759</v>
      </c>
      <c r="E19" s="33">
        <v>3</v>
      </c>
      <c r="F19" s="36">
        <v>65</v>
      </c>
      <c r="G19" s="36">
        <v>55</v>
      </c>
      <c r="H19" s="38" t="str">
        <f t="shared" si="8"/>
        <v>SCOUTING</v>
      </c>
      <c r="I19" s="34">
        <v>461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174</v>
      </c>
      <c r="D20" s="32" t="s">
        <v>760</v>
      </c>
      <c r="E20" s="33">
        <v>4</v>
      </c>
      <c r="F20" s="36">
        <v>102</v>
      </c>
      <c r="G20" s="36">
        <v>83</v>
      </c>
      <c r="H20" s="38" t="str">
        <f t="shared" si="8"/>
        <v>SCOUTING</v>
      </c>
      <c r="I20" s="34">
        <v>606</v>
      </c>
      <c r="J20" s="13" t="s">
        <v>4</v>
      </c>
      <c r="K20" s="13" t="s">
        <v>63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"E2025174"</v>
      </c>
      <c r="F3" s="45" t="str">
        <f t="shared" ref="F3:F16" si="0">""""&amp;B3&amp;"""" &amp; " : " &amp;C3&amp;","</f>
        <v>"name" : "E2025174",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"E174"</v>
      </c>
      <c r="F4" s="45" t="str">
        <f t="shared" si="0"/>
        <v>"cod" : "E174",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174</v>
      </c>
      <c r="F6" s="45" t="str">
        <f t="shared" si="0"/>
        <v>"number" : 174,</v>
      </c>
    </row>
    <row r="7" spans="2:6" x14ac:dyDescent="0.2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"BASTIEN BONETTON"</v>
      </c>
      <c r="F12" s="45" t="str">
        <f t="shared" si="0"/>
        <v>"Caller_2" : "BASTIEN BONETTON",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"CYRIL LONGELIN"</v>
      </c>
      <c r="F13" s="45" t="str">
        <f t="shared" si="0"/>
        <v>"Timerkeeper" : "CYRIL LONGELIN",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"PATRICK JOLIVET"</v>
      </c>
      <c r="F14" s="45" t="str">
        <f t="shared" si="0"/>
        <v>"Shotclock" : "PATRICK JOLIVET",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"AXEL QUENEY"</v>
      </c>
      <c r="F15" s="45" t="str">
        <f t="shared" si="0"/>
        <v>"IRS" : "AXEL QUENEY",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636</v>
      </c>
      <c r="F25" s="45" t="str">
        <f t="shared" ref="F25:F48" si="1">""""&amp;C25&amp;"""" &amp; " : " &amp;D25&amp;","</f>
        <v>"total_actions" : 636,</v>
      </c>
    </row>
    <row r="26" spans="2:6" x14ac:dyDescent="0.2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"Nice procedures, nice communitaction and self-checking the corrections, warning to LGM before making any edition. Very good scouting just care with the time of some actions. Very good job!"</v>
      </c>
      <c r="F51" s="45" t="str">
        <f>""""&amp;B51&amp;"""" &amp; " : " &amp;C51&amp;","</f>
        <v>"comments" : "Nice procedures, nice communitaction and self-checking the corrections, warning to LGM before making any edition. Very good scouting just care with the time of some actions. Very good job!",</v>
      </c>
    </row>
    <row r="52" spans="2:6" x14ac:dyDescent="0.2">
      <c r="B52" s="43" t="s">
        <v>153</v>
      </c>
      <c r="C52" s="43" t="str">
        <f>TEXT('SCOUT &amp; LOGISTICS'!F1,"0,0")</f>
        <v>18_174_PRS_RED_E2025</v>
      </c>
      <c r="F52" s="45" t="str">
        <f>""""&amp;B52&amp;"""" &amp; " : " &amp;C52</f>
        <v>"result" : 18_174_PRS_RED_E2025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E174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Crvena Zvezda Meridianbet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DJAMEL SOUDANI</v>
      </c>
      <c r="C8" s="206"/>
      <c r="D8" s="206"/>
      <c r="E8" s="206"/>
      <c r="F8" s="206"/>
      <c r="G8" s="206" t="str">
        <f>IF('SCOUT &amp; LOGISTICS'!D7="","",'SCOUT &amp; LOGISTICS'!D7)</f>
        <v>CHRISTIAN MOLLET</v>
      </c>
      <c r="H8" s="206"/>
      <c r="I8" s="206"/>
      <c r="J8" s="206"/>
      <c r="K8" s="206"/>
      <c r="L8" s="206" t="str">
        <f>IF('SCOUT &amp; LOGISTICS'!D8="","",'SCOUT &amp; LOGISTICS'!D8)</f>
        <v>BASTIEN BONETTON</v>
      </c>
      <c r="M8" s="206"/>
      <c r="N8" s="206"/>
      <c r="O8" s="206"/>
      <c r="P8" s="206"/>
      <c r="Q8" s="206" t="str">
        <f>IF('SCOUT &amp; LOGISTICS'!D9="","",'SCOUT &amp; LOGISTICS'!D9)</f>
        <v>CYRIL LONGELIN</v>
      </c>
      <c r="R8" s="206"/>
      <c r="S8" s="206"/>
      <c r="T8" s="206"/>
      <c r="U8" s="206"/>
      <c r="V8" s="206" t="str">
        <f>IF('SCOUT &amp; LOGISTICS'!D10="","",'SCOUT &amp; LOGISTICS'!D10)</f>
        <v>PATRICK JOLIVET</v>
      </c>
      <c r="W8" s="206"/>
      <c r="X8" s="206"/>
      <c r="Y8" s="206"/>
      <c r="Z8" s="206"/>
      <c r="AA8" s="206" t="str">
        <f>IF('SCOUT &amp; LOGISTICS'!D11="","",'SCOUT &amp; LOGISTICS'!D11)</f>
        <v>AXEL QUENEY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636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6.2893081761006293E-3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Nice procedures, nice communitaction and self-checking the corrections, warning to LGM before making any edition. Very good scouting just care with the time of some actions. 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5.6289308176100628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7351AE-2E46-449F-8532-58144302CAF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2025-12-26T16:17:51Z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