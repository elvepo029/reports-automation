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FE586240-F7E2-4F71-A3EB-4735AEC4349A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<sst xmlns="http://schemas.openxmlformats.org/spreadsheetml/2006/main" count="3348" uniqueCount="837">
  <si>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</si>
  <si>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</si>
  <si>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</si>
  <si>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</si>
  <si>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</si>
  <si>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</si>
  <si>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</si>
  <si>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</si>
  <si>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</si>
  <si>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</si>
  <si>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</si>
  <si>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</si>
  <si>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</si>
  <si>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</si>
  <si>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</si>
  <si>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</si>
  <si>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</si>
  <si>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</si>
  <si>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</si>
  <si>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</si>
  <si>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</si>
  <si>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</si>
  <si>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</si>
  <si>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</si>
  <si>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</si>
  <si>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</si>
  <si>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</si>
  <si>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</si>
  <si>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</si>
  <si>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</si>
  <si>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</si>
  <si>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</si>
  <si>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</si>
  <si>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</si>
  <si>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</si>
  <si>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</si>
  <si>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</si>
  <si>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</si>
  <si>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</si>
  <si>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</si>
  <si>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</si>
  <si>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</si>
  <si>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</si>
  <si>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</si>
  <si>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</si>
  <si>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</si>
  <si>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</si>
  <si>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</si>
  <si>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</si>
  <si>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</si>
  <si>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</si>
  <si>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</si>
  <si>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</si>
  <si>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</si>
  <si>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</si>
  <si>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</si>
  <si>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</si>
  <si>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</si>
  <si>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</si>
  <si>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</si>
  <si>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</si>
  <si>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</si>
  <si>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</si>
  <si>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</si>
  <si>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</si>
  <si>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</si>
  <si>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</si>
  <si>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</si>
  <si>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</si>
  <si>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</si>
  <si>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</si>
  <si>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</si>
  <si>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</si>
  <si>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</si>
  <si>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</si>
  <si>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</si>
  <si>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</si>
  <si>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</si>
  <si>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</si>
  <si>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</si>
  <si>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</si>
  <si>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</si>
  <si>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</si>
  <si>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</si>
  <si>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</si>
  <si>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</si>
  <si>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</si>
  <si>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</si>
  <si>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</si>
  <si>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</si>
  <si>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</si>
  <si>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</si>
  <si>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</si>
  <si>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</si>
  <si>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</si>
  <si>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</si>
  <si>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</si>
  <si>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</si>
  <si>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</si>
  <si>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</si>
  <si>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</si>
  <si>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</si>
  <si>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</si>
  <si>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</si>
  <si>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</si>
  <si>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</si>
  <si>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</si>
  <si>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</si>
  <si>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</si>
  <si>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</si>
  <si>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</si>
  <si>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</si>
  <si>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</si>
  <si>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</si>
  <si>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</si>
  <si>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</si>
  <si>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</si>
  <si>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</si>
  <si>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</si>
  <si>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</si>
  <si>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</si>
  <si>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</si>
  <si>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</si>
  <si>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</si>
  <si>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</si>
  <si>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</si>
  <si>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</si>
  <si>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</si>
  <si>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</si>
  <si>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</si>
  <si>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</si>
  <si>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</si>
  <si>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</si>
  <si>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</si>
  <si>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</si>
  <si>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</si>
  <si>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</si>
  <si>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</si>
  <si>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</si>
  <si>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</si>
  <si>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</si>
  <si>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</si>
  <si>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</si>
  <si>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</si>
  <si>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</si>
  <si>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</si>
  <si>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</si>
  <si>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</si>
  <si>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</si>
  <si>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</si>
  <si>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</si>
  <si>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</si>
  <si>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</si>
  <si>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</si>
  <si>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</si>
  <si>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</si>
  <si>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</si>
  <si>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</si>
  <si>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</si>
  <si>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</si>
  <si>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</si>
  <si>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</si>
  <si>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</si>
  <si>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</si>
  <si>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</si>
  <si>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</si>
  <si>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</si>
  <si>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</si>
  <si>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</si>
  <si>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</si>
  <si>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</si>
  <si>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</si>
  <si>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</si>
  <si>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</si>
  <si>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</si>
  <si>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</si>
  <si>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</si>
  <si>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</si>
  <si>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</si>
  <si>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</si>
  <si>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</si>
  <si>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</si>
  <si>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</si>
  <si>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</si>
  <si>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</si>
  <si>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</si>
  <si>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</si>
  <si>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</si>
  <si>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</si>
  <si>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</si>
  <si>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</si>
  <si>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</si>
  <si>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</si>
  <si>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</si>
  <si>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</si>
  <si>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</si>
  <si>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</si>
  <si>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</si>
  <si>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</si>
  <si>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</si>
  <si>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</si>
  <si>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</si>
  <si>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</si>
  <si>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</si>
  <si>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</si>
  <si>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</si>
  <si>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</si>
  <si>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</si>
  <si>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</si>
  <si>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</si>
  <si>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</si>
  <si>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</si>
  <si>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</si>
  <si>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</si>
  <si>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</si>
  <si>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</si>
  <si>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</si>
  <si>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</si>
  <si>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</si>
  <si>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</si>
  <si>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</si>
  <si>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</si>
  <si>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</si>
  <si>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</si>
  <si>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</si>
  <si>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</si>
  <si>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</si>
  <si>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</si>
  <si>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</si>
  <si>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</si>
  <si>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</si>
  <si>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</si>
  <si>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</si>
  <si>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</si>
  <si>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</si>
  <si>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</si>
  <si>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</si>
  <si>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</si>
  <si>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</si>
  <si>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</si>
  <si>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</si>
  <si>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</si>
  <si>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</si>
  <si>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</si>
  <si>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</si>
  <si>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</si>
  <si>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</si>
  <si>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</si>
  <si>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</si>
  <si>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</si>
  <si>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</si>
  <si>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</si>
  <si>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</si>
  <si>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</si>
  <si>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</si>
  <si>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</si>
  <si>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</si>
  <si>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</si>
  <si>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</si>
  <si>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</si>
  <si>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</si>
  <si>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</si>
  <si>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</si>
  <si>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</si>
  <si>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</si>
  <si>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</si>
  <si>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</si>
  <si>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</si>
  <si>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</si>
  <si>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</si>
  <si>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</si>
  <si>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</si>
  <si>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</si>
  <si>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</si>
  <si>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</si>
  <si>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</si>
  <si>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</si>
  <si>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</si>
  <si>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</si>
  <si>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</si>
  <si>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</si>
  <si>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</si>
  <si>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</si>
  <si>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</si>
  <si>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</si>
  <si>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</si>
  <si>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</si>
  <si>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</si>
  <si>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</si>
  <si>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</si>
  <si>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</si>
  <si>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</si>
  <si>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</si>
  <si>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</si>
  <si>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</si>
  <si>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</si>
  <si>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</si>
  <si>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</si>
  <si>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</si>
  <si>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</si>
  <si>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</si>
  <si>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</si>
  <si>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</si>
  <si>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</si>
  <si>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</si>
  <si>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</si>
  <si>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</si>
  <si>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</si>
  <si>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</si>
  <si>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</si>
  <si>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</si>
  <si>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</si>
  <si>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</si>
  <si>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</si>
  <si>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</si>
  <si>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</si>
  <si>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</si>
  <si>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</si>
  <si>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</si>
  <si>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</si>
  <si>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</si>
  <si>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</si>
  <si>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</si>
  <si>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</si>
  <si>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</si>
  <si>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</si>
  <si>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</si>
  <si>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</si>
  <si>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</si>
  <si>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</si>
  <si>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</si>
  <si>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</si>
  <si>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</si>
  <si>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</si>
  <si>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</si>
  <si>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</si>
  <si>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</si>
  <si>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</si>
  <si>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</si>
  <si>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</si>
  <si>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</si>
  <si>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</si>
  <si>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</si>
  <si>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</si>
  <si>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</si>
  <si>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</si>
  <si>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</si>
  <si>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</si>
  <si>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</si>
  <si>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</si>
  <si>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</si>
  <si>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</si>
  <si>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</si>
  <si>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</si>
  <si>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</si>
  <si>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</si>
  <si>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</si>
  <si>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</si>
  <si>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</si>
  <si>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</si>
  <si>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</si>
  <si>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</si>
  <si>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</si>
  <si>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</si>
  <si>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</si>
  <si>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</si>
  <si>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</si>
  <si>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</si>
  <si>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</si>
  <si>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</si>
  <si>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</si>
  <si>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</si>
  <si>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</si>
  <si>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</si>
  <si>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</si>
  <si>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</si>
  <si>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</si>
  <si>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</si>
  <si>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</si>
  <si>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</si>
  <si>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</si>
  <si>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</si>
  <si>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</si>
  <si>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</si>
  <si>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</si>
  <si>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</si>
  <si>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</si>
  <si>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</si>
  <si>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</si>
  <si>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</si>
  <si>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</si>
  <si>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</si>
  <si>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</si>
  <si>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</si>
  <si>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</si>
  <si>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</si>
  <si>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</si>
  <si>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</si>
  <si>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</si>
  <si>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</si>
  <si>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</si>
  <si>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</si>
  <si>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</si>
  <si>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</si>
  <si>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</si>
  <si>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</si>
  <si>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</si>
  <si>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</si>
  <si>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</si>
  <si>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</si>
  <si>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</si>
  <si>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</si>
  <si>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</si>
  <si>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</si>
  <si>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</si>
  <si>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</si>
  <si>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</si>
  <si>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</si>
  <si>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</si>
  <si>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</si>
  <si>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</si>
  <si>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</si>
  <si>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</si>
  <si>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</si>
  <si>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</si>
  <si>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</si>
  <si>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</si>
  <si>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</si>
  <si>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</si>
  <si>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</si>
  <si>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</si>
  <si>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</si>
  <si>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</si>
  <si>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</si>
  <si>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</si>
  <si>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</si>
  <si>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</si>
  <si>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</si>
  <si>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</si>
  <si>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</si>
  <si>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</si>
  <si>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</si>
  <si>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</si>
  <si>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</si>
  <si>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</si>
  <si>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</si>
  <si>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</si>
  <si>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</si>
  <si>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</si>
  <si>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</si>
  <si>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</si>
  <si>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</si>
  <si>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</si>
  <si>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</si>
  <si>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</si>
  <si>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</si>
  <si>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</si>
  <si>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</si>
  <si>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</si>
  <si>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</si>
  <si>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</si>
  <si>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</si>
  <si>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</si>
  <si>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</si>
  <si>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</si>
  <si>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</si>
  <si>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</si>
  <si>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</si>
  <si>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</si>
  <si>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</si>
  <si>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</si>
  <si>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</si>
  <si>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</si>
  <si>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</si>
  <si>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</si>
  <si>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</si>
  <si>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</si>
  <si>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</si>
  <si>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</si>
  <si>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</si>
  <si>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</si>
  <si>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</si>
  <si>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</si>
  <si>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</si>
  <si>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</si>
  <si>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</si>
  <si>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</si>
  <si>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</si>
  <si>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</si>
  <si>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</si>
  <si>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</si>
  <si>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</si>
  <si>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</si>
  <si>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</si>
  <si>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</si>
  <si>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</si>
  <si>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</si>
  <si>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</si>
  <si>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</si>
  <si>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</si>
  <si>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</si>
  <si>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</si>
  <si>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</si>
  <si>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</si>
  <si>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</si>
  <si>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</si>
  <si>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</si>
  <si>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</si>
  <si>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</si>
  <si>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</si>
  <si>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</si>
  <si>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</si>
  <si>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</si>
  <si>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</si>
  <si>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</si>
  <si>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</si>
  <si>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</si>
  <si>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</si>
  <si>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</si>
  <si>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</si>
  <si>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</si>
  <si>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</si>
  <si>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</si>
  <si>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</si>
  <si>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</si>
  <si>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</si>
  <si>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</si>
  <si>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</si>
  <si>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</si>
  <si>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</si>
  <si>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</si>
  <si>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</si>
  <si>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</si>
  <si>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</si>
  <si>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</si>
  <si>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</si>
  <si>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</si>
  <si>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</si>
  <si>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</si>
  <si>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</si>
  <si>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</si>
  <si>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</si>
  <si>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</si>
  <si>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</si>
  <si>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</si>
  <si>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</si>
  <si>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</si>
  <si>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</si>
  <si>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</si>
  <si>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</si>
  <si>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</si>
  <si>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</si>
  <si>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</si>
  <si>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</si>
  <si>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</si>
  <si>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</si>
  <si>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</si>
  <si>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</si>
  <si>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</si>
  <si>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</si>
  <si>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</si>
  <si>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</si>
  <si>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</si>
  <si>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</si>
  <si>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</si>
  <si>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</si>
  <si>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</si>
  <si>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</si>
  <si>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</si>
  <si>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</si>
  <si>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</si>
  <si>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</si>
  <si>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</si>
  <si>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</si>
  <si>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</si>
  <si>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</si>
  <si>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</si>
  <si>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</si>
  <si>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</si>
  <si>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</si>
  <si>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</si>
  <si>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</si>
  <si>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</si>
  <si>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</si>
  <si>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</si>
  <si>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</si>
  <si>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</si>
  <si>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</si>
  <si>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</si>
  <si>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</si>
  <si>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</si>
  <si>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</si>
  <si>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</si>
  <si>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</si>
  <si>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</si>
  <si>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</si>
  <si>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</si>
  <si>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</si>
  <si>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</si>
  <si>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</si>
  <si>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</si>
  <si>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</si>
  <si>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</si>
  <si>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</si>
  <si>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</si>
  <si>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</si>
  <si>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</si>
  <si>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</si>
  <si>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</si>
  <si>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</si>
  <si>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</si>
  <si>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</si>
  <si>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</si>
  <si>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</si>
  <si>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</si>
  <si>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</si>
  <si>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</si>
  <si>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</si>
  <si>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</si>
  <si>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</si>
  <si>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</si>
  <si>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</si>
  <si>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</si>
  <si>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</si>
  <si>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</si>
  <si>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</si>
  <si>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</si>
  <si>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</si>
  <si>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</si>
  <si>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</si>
  <si>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</si>
  <si>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</si>
  <si>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</si>
  <si>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</si>
  <si>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</si>
  <si>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</si>
  <si>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</si>
  <si>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</si>
  <si>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</si>
  <si>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</si>
  <si>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</si>
  <si>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</si>
  <si>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</si>
  <si>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</si>
  <si>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</si>
  <si>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</si>
  <si>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</si>
  <si>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</si>
  <si>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</si>
  <si>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</si>
  <si>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</si>
  <si>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</si>
  <si>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</si>
  <si>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</si>
  <si>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</si>
  <si>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</si>
  <si>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</si>
  <si>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</si>
  <si>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</si>
  <si>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</si>
  <si>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</si>
  <si>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</si>
  <si>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</si>
  <si>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</si>
  <si>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</si>
  <si>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</si>
  <si>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</si>
  <si>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</si>
  <si>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</si>
  <si>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</si>
  <si>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</si>
  <si>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</si>
  <si>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</si>
  <si>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</si>
  <si>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</si>
  <si>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</si>
  <si>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</si>
  <si>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</si>
  <si>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</si>
  <si>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</si>
  <si>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</si>
  <si>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</si>
  <si>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</si>
  <si>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</si>
  <si>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</si>
  <si>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</si>
  <si>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</si>
  <si>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</si>
  <si>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</si>
  <si>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</si>
  <si>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</si>
  <si>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</si>
  <si>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</si>
  <si>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</si>
  <si>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</si>
  <si>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</si>
  <si>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</si>
  <si>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</si>
  <si>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</si>
  <si>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</si>
  <si>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</si>
  <si>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</si>
  <si>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</si>
  <si>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</si>
  <si>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</si>
  <si>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</si>
  <si>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</si>
  <si>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</si>
  <si>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</si>
  <si>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</si>
  <si>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</si>
  <si>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</si>
  <si>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</si>
  <si>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</si>
  <si>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</si>
  <si>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</si>
  <si>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</si>
  <si>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</si>
  <si>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</si>
  <si>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</si>
  <si>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</si>
  <si>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</si>
  <si>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</si>
  <si>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</si>
  <si>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</si>
  <si>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</si>
  <si>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</si>
  <si>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</si>
  <si>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</si>
  <si>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</si>
  <si>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</si>
  <si>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</si>
  <si>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</si>
  <si>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</si>
  <si>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</si>
  <si>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</si>
  <si>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</si>
  <si>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</si>
  <si>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</si>
  <si>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</si>
  <si>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</si>
  <si>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</si>
  <si>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</si>
  <si>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</si>
  <si>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</si>
  <si>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</si>
  <si>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</si>
  <si>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</si>
  <si>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</si>
  <si>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</si>
  <si>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</si>
  <si>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</si>
  <si>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</si>
  <si>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</si>
  <si>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</si>
  <si>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</si>
  <si>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</si>
  <si>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</si>
  <si>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</si>
  <si>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</si>
  <si>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</si>
  <si>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</si>
  <si>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</si>
  <si>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</si>
  <si>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</si>
  <si>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</si>
  <si>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</si>
  <si>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</si>
  <si>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</si>
  <si>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</si>
  <si>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</si>
  <si>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</si>
  <si>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</si>
  <si>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</si>
  <si>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</si>
  <si>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</si>
  <si>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</si>
  <si>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</si>
  <si>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</si>
  <si>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</si>
  <si>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</si>
  <si>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</si>
  <si>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</si>
  <si>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</si>
  <si>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</si>
  <si>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</si>
  <si>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</si>
  <si>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</si>
  <si>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</si>
  <si>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</si>
  <si>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</si>
  <si>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</si>
  <si>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</si>
  <si>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</si>
  <si>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</si>
  <si>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</si>
  <si>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</si>
  <si>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</si>
  <si>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</si>
  <si>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</si>
  <si>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</si>
  <si>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</si>
  <si>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</si>
  <si>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</si>
  <si>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</si>
  <si>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</si>
  <si>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</si>
  <si>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</si>
  <si>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</si>
  <si>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</si>
  <si>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</si>
  <si>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</si>
  <si>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</si>
  <si>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</si>
  <si>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</si>
  <si>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</si>
  <si>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</si>
  <si>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</si>
  <si>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</si>
  <si>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</si>
  <si>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</si>
  <si>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</si>
  <si>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</si>
  <si>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</si>
  <si>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</si>
  <si>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</si>
  <si>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6:44</t>
  </si>
  <si>
    <t>5:59</t>
  </si>
  <si>
    <t>Guanyat en un jump ball. Assignat a un jugador incorrecte</t>
  </si>
  <si>
    <t>8:52</t>
  </si>
  <si>
    <t>Excellent game!! Again, thanks a lot for the whole season. Hope to see you back next season</t>
  </si>
  <si>
    <t>KAROLIS KAVALENKA</t>
  </si>
  <si>
    <t>KAROLIS STIRBYS</t>
  </si>
  <si>
    <t>DOMANTAS TEVELIS</t>
  </si>
  <si>
    <t>OVIDIJUS SIDEIKIS</t>
  </si>
  <si>
    <t>GINTAUTAS PLATUKIS</t>
  </si>
  <si>
    <t>OSCAR CUESTA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</si>
</sst>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18_175_KLA_BAH_U2025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46064.791666666664</v>
      </c>
      <c r="C3" s="178"/>
      <c r="D3" s="39">
        <v>623</v>
      </c>
      <c r="E3" s="29"/>
      <c r="F3" s="26">
        <f>SUBTOTAL(3,I17:I106)</f>
        <v>3</v>
      </c>
      <c r="G3" s="27">
        <f>IF(OR(D3="",D3=0),"",F3/D3)</f>
        <v>4.815409309791332E-3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Neptunas Klaipeda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KLA</v>
      </c>
      <c r="I4" s="5"/>
      <c r="J4" s="119" t="s">
        <v>714</v>
      </c>
      <c r="K4" s="54" t="s">
        <v>743</v>
      </c>
      <c r="L4" s="5"/>
      <c r="M4" s="185" t="s">
        <v>830</v>
      </c>
      <c r="N4" s="186"/>
      <c r="O4" s="2"/>
      <c r="P4" s="2"/>
      <c r="Q4" s="84" t="s">
        <v>175</v>
      </c>
      <c r="R4" s="94">
        <f>(IF(G3="",0,G3))</f>
        <v>4.815409309791332E-3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Bahcesehir College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0.4815409309791332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831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832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1.9815409309791332</v>
      </c>
      <c r="N7" s="58"/>
      <c r="O7" s="2"/>
      <c r="P7" s="2"/>
      <c r="Q7" s="86">
        <f>SUM(R5,S5,AC16)</f>
        <v>1.9815409309791332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833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1.9815409309791332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834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835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836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175</v>
      </c>
      <c r="D17" s="32" t="s">
        <v>826</v>
      </c>
      <c r="E17" s="33">
        <v>2</v>
      </c>
      <c r="F17" s="36">
        <v>26</v>
      </c>
      <c r="G17" s="36">
        <v>38</v>
      </c>
      <c r="H17" s="38" t="str">
        <f>IF(I17="","",$I$14)</f>
        <v>SCOUTING</v>
      </c>
      <c r="I17" s="34">
        <v>205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175</v>
      </c>
      <c r="D18" s="32" t="s">
        <v>827</v>
      </c>
      <c r="E18" s="33">
        <v>2</v>
      </c>
      <c r="F18" s="36">
        <v>28</v>
      </c>
      <c r="G18" s="36">
        <v>38</v>
      </c>
      <c r="H18" s="38" t="str">
        <f t="shared" ref="H18:H81" si="8">IF(I18="","",$I$14)</f>
        <v>SCOUTING</v>
      </c>
      <c r="I18" s="34">
        <v>221</v>
      </c>
      <c r="J18" s="13" t="s">
        <v>4</v>
      </c>
      <c r="K18" s="13" t="s">
        <v>63</v>
      </c>
      <c r="L18" s="13" t="s">
        <v>5</v>
      </c>
      <c r="M18" s="13" t="s">
        <v>28</v>
      </c>
      <c r="N18" s="35" t="s">
        <v>828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U2025</v>
      </c>
      <c r="C19" s="31">
        <f t="shared" si="3"/>
        <v>175</v>
      </c>
      <c r="D19" s="32" t="s">
        <v>829</v>
      </c>
      <c r="E19" s="33">
        <v>3</v>
      </c>
      <c r="F19" s="36">
        <v>45</v>
      </c>
      <c r="G19" s="36">
        <v>55</v>
      </c>
      <c r="H19" s="38" t="str">
        <f t="shared" si="8"/>
        <v>SCOUTING</v>
      </c>
      <c r="I19" s="34">
        <v>352</v>
      </c>
      <c r="J19" s="13" t="s">
        <v>4</v>
      </c>
      <c r="K19" s="13" t="s">
        <v>62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"U2025175"</v>
      </c>
      <c r="F3" s="45" t="str">
        <f t="shared" ref="F3:F16" si="0">""""&amp;B3&amp;"""" &amp; " : " &amp;C3&amp;","</f>
        <v>"name" : "U2025175",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"U175"</v>
      </c>
      <c r="F4" s="45" t="str">
        <f t="shared" si="0"/>
        <v>"cod" : "U175",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175</v>
      </c>
      <c r="F6" s="45" t="str">
        <f t="shared" si="0"/>
        <v>"number" : 175,</v>
      </c>
    </row>
    <row r="7" spans="2:6" x14ac:dyDescent="0.25">
      <c r="B7" s="43" t="s">
        <v>116</v>
      </c>
      <c r="C7" s="43" t="str">
        <f ca="1">""""&amp;TEXT('SCOUT &amp; LOGISTICS'!B3,"dd/mm/aaaa")&amp;""""</f>
        <v>"11/02/2026"</v>
      </c>
      <c r="F7" s="45" t="str">
        <f t="shared" ca="1" si="0"/>
        <v>"date" : "11/02/2026",</v>
      </c>
    </row>
    <row r="8" spans="2:6" x14ac:dyDescent="0.25">
      <c r="B8" s="43" t="s">
        <v>125</v>
      </c>
      <c r="C8" s="43" t="str">
        <f>""""&amp;'SCOUT &amp; LOGISTICS'!D4 &amp;""""</f>
        <v>"Neptunas Klaipeda"</v>
      </c>
      <c r="F8" s="45" t="str">
        <f t="shared" si="0"/>
        <v>"home_team" : "Neptunas Klaipeda",</v>
      </c>
    </row>
    <row r="9" spans="2:6" x14ac:dyDescent="0.25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"KAROLIS KAVALENKA"</v>
      </c>
      <c r="F10" s="45" t="str">
        <f t="shared" si="0"/>
        <v>"Data_entry" : "KAROLIS KAVALENKA",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"KAROLIS STIRBYS"</v>
      </c>
      <c r="F11" s="45" t="str">
        <f t="shared" si="0"/>
        <v>"Caller_1" : "KAROLIS STIRBYS",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"DOMANTAS TEVELIS"</v>
      </c>
      <c r="F12" s="45" t="str">
        <f t="shared" si="0"/>
        <v>"Caller_2" : "DOMANTAS TEVELIS",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"OVIDIJUS SIDEIKIS"</v>
      </c>
      <c r="F13" s="45" t="str">
        <f t="shared" si="0"/>
        <v>"Timerkeeper" : "OVIDIJUS SIDEIKIS",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"GINTAUTAS PLATUKIS"</v>
      </c>
      <c r="F14" s="45" t="str">
        <f t="shared" si="0"/>
        <v>"Shotclock" : "GINTAUTAS PLATUKIS",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623</v>
      </c>
      <c r="F25" s="45" t="str">
        <f t="shared" ref="F25:F48" si="1">""""&amp;C25&amp;"""" &amp; " : " &amp;D25&amp;","</f>
        <v>"total_actions" : 623,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game!! Again, thanks a lot for the whole season. Hope to see you back next season"</v>
      </c>
      <c r="F51" s="45" t="str">
        <f>""""&amp;B51&amp;"""" &amp; " : " &amp;C51&amp;","</f>
        <v>"comments" : "Excellent game!! Again, thanks a lot for the whole season. Hope to see you back next season",</v>
      </c>
    </row>
    <row r="52" spans="2:6" x14ac:dyDescent="0.25">
      <c r="B52" s="43" t="s">
        <v>153</v>
      </c>
      <c r="C52" s="43" t="str">
        <f>TEXT('SCOUT &amp; LOGISTICS'!F1,"0,0")</f>
        <v>18_175_KLA_BAH_U2025</v>
      </c>
      <c r="F52" s="45" t="str">
        <f>""""&amp;B52&amp;"""" &amp; " : " &amp;C52</f>
        <v>"result" : 18_175_KLA_BAH_U2025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U175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11/02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Neptunas Klaipeda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Bahcesehir College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KAROLIS KAVALENKA</v>
      </c>
      <c r="C8" s="201"/>
      <c r="D8" s="201"/>
      <c r="E8" s="201"/>
      <c r="F8" s="201"/>
      <c r="G8" s="201" t="str">
        <f>IF('SCOUT &amp; LOGISTICS'!D7="","",'SCOUT &amp; LOGISTICS'!D7)</f>
        <v>KAROLIS STIRBYS</v>
      </c>
      <c r="H8" s="201"/>
      <c r="I8" s="201"/>
      <c r="J8" s="201"/>
      <c r="K8" s="201"/>
      <c r="L8" s="201" t="str">
        <f>IF('SCOUT &amp; LOGISTICS'!D8="","",'SCOUT &amp; LOGISTICS'!D8)</f>
        <v>DOMANTAS TEVELIS</v>
      </c>
      <c r="M8" s="201"/>
      <c r="N8" s="201"/>
      <c r="O8" s="201"/>
      <c r="P8" s="201"/>
      <c r="Q8" s="201" t="str">
        <f>IF('SCOUT &amp; LOGISTICS'!D9="","",'SCOUT &amp; LOGISTICS'!D9)</f>
        <v>OVIDIJUS SIDEIKIS</v>
      </c>
      <c r="R8" s="201"/>
      <c r="S8" s="201"/>
      <c r="T8" s="201"/>
      <c r="U8" s="201"/>
      <c r="V8" s="201" t="str">
        <f>IF('SCOUT &amp; LOGISTICS'!D10="","",'SCOUT &amp; LOGISTICS'!D10)</f>
        <v>GINTAUTAS PLATUKIS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623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4.815409309791332E-3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Excellent game!! Again, thanks a lot for the whole season. Hope to see you back next season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1.9815409309791332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FA915A51-AE3A-40B5-ABF4-BCB8CBFB488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2026-02-11T20:49:41Z</cp:lastPrinted>
  <dcterms:created xsi:type="dcterms:W3CDTF">2023-09-19T19:50:35Z</dcterms:created>
  <dcterms:modified xsi:type="dcterms:W3CDTF">2026-02-11T20:49:45Z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