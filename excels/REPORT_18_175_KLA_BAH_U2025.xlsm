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E015E7B8-A552-4A68-94C4-B48118C62CC8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/>
  <c r="D9" i="1"/>
  <c r="D8" i="1"/>
  <c r="D7" i="1"/>
  <c r="D6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<sst xmlns="http://schemas.openxmlformats.org/spreadsheetml/2006/main" count="3321" uniqueCount="826">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</sst>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18_175_KLA_BAH_U2025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175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46064.791666666664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Neptunas Klaipeda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KLA</v>
      </c>
      <c r="I4" s="5"/>
      <c r="J4" s="119" t="s">
        <v>714</v>
      </c>
      <c r="K4" s="54" t="s">
        <v>743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Bahcesehir College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BAH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/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REPORT_U2025175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"U2025175"</v>
      </c>
      <c r="F3" s="45" t="str">
        <f t="shared" ref="F3:F16" si="0">""""&amp;B3&amp;"""" &amp; " : " &amp;C3&amp;","</f>
        <v>"name" : "U2025175",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"U175"</v>
      </c>
      <c r="F4" s="45" t="str">
        <f t="shared" si="0"/>
        <v>"cod" : "U175",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175</v>
      </c>
      <c r="F6" s="45" t="str">
        <f t="shared" si="0"/>
        <v>"number" : 175,</v>
      </c>
    </row>
    <row r="7" spans="2:6" x14ac:dyDescent="0.2">
      <c r="B7" s="43" t="s">
        <v>116</v>
      </c>
      <c r="C7" s="43" t="str">
        <f ca="1">""""&amp;TEXT('SCOUT &amp; LOGISTICS'!B3,"dd/mm/aaaa")&amp;""""</f>
        <v>"11/02/Wednesday"</v>
      </c>
      <c r="F7" s="45" t="str">
        <f t="shared" ca="1" si="0"/>
        <v>"date" : "11/02/Wednesday",</v>
      </c>
    </row>
    <row r="8" spans="2:6" x14ac:dyDescent="0.2">
      <c r="B8" s="43" t="s">
        <v>125</v>
      </c>
      <c r="C8" s="43" t="str">
        <f>""""&amp;'SCOUT &amp; LOGISTICS'!D4 &amp;""""</f>
        <v>"Neptunas Klaipeda"</v>
      </c>
      <c r="F8" s="45" t="str">
        <f t="shared" si="0"/>
        <v>"home_team" : "Neptunas Klaipeda",</v>
      </c>
    </row>
    <row r="9" spans="2:6" x14ac:dyDescent="0.2">
      <c r="B9" s="43" t="s">
        <v>126</v>
      </c>
      <c r="C9" s="43" t="str">
        <f>""""&amp;'SCOUT &amp; LOGISTICS'!D5&amp;""""</f>
        <v>"Bahcesehir College Istanbul"</v>
      </c>
      <c r="F9" s="45" t="str">
        <f t="shared" si="0"/>
        <v>"away_team" : "Bahcesehir College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18_175_KLA_BAH_U2025</v>
      </c>
      <c r="F52" s="45" t="str">
        <f>""""&amp;B52&amp;"""" &amp; " : " &amp;C52</f>
        <v>"result" : 18_175_KLA_BAH_U2025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U175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11/02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Neptunas Klaipeda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Bahcesehir College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308A985-C051-4F67-92BC-676075AA742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2026-01-07T21:17:26Z</cp:lastPrinted>
  <dcterms:created xsi:type="dcterms:W3CDTF">2023-09-19T19:50:35Z</dcterms:created>
  <dcterms:modified xsi:type="dcterms:W3CDTF">2026-01-07T21:17:37Z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