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4" documentId="8_{D2029BCF-BB56-4E44-BAD7-52E35E3AF7B5}" xr6:coauthVersionLast="47" xr6:coauthVersionMax="47" xr10:uidLastSave="{371D9EA1-A45D-4702-94C1-EF27C04B44A4}"/>
  <bookViews>
    <workbookView xWindow="75" yWindow="-16185" windowWidth="28770" windowHeight="1545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<sst xmlns="http://schemas.openxmlformats.org/spreadsheetml/2006/main" count="3250" uniqueCount="760">
  <si>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</si>
  <si>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</si>
  <si>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</si>
  <si>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</si>
  <si>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</si>
  <si>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</si>
  <si>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</si>
  <si>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</si>
  <si>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</si>
  <si>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</si>
  <si>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</si>
  <si>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</si>
  <si>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</si>
  <si>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</si>
  <si>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</si>
  <si>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</si>
  <si>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</si>
  <si>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</si>
  <si>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</si>
  <si>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</si>
  <si>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</si>
  <si>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</si>
  <si>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</si>
  <si>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</si>
  <si>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</si>
  <si>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</si>
  <si>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</si>
  <si>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</si>
  <si>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</si>
  <si>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</si>
  <si>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</si>
  <si>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</si>
  <si>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</si>
  <si>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</si>
  <si>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</si>
  <si>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</si>
  <si>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</si>
  <si>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</si>
  <si>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</si>
  <si>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</si>
  <si>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</si>
  <si>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</si>
  <si>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</si>
  <si>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</si>
  <si>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</si>
  <si>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</si>
  <si>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</si>
  <si>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</si>
  <si>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</si>
  <si>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</si>
  <si>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</si>
  <si>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</si>
  <si>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</si>
  <si>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</si>
  <si>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</si>
  <si>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</si>
  <si>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</si>
  <si>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</si>
  <si>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</si>
  <si>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</si>
  <si>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</si>
  <si>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</si>
  <si>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</si>
  <si>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</si>
  <si>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</si>
  <si>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</si>
  <si>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</si>
  <si>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</si>
  <si>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</si>
  <si>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</si>
  <si>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</si>
  <si>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</si>
  <si>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</si>
  <si>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</si>
  <si>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</si>
  <si>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</si>
  <si>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</si>
  <si>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</si>
  <si>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</si>
  <si>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</si>
  <si>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</si>
  <si>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</si>
  <si>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</si>
  <si>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</si>
  <si>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</si>
  <si>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</si>
  <si>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</si>
  <si>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</si>
  <si>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</si>
  <si>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</si>
  <si>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</si>
  <si>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</si>
  <si>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</si>
  <si>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</si>
  <si>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</si>
  <si>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</si>
  <si>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</si>
  <si>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</si>
  <si>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</si>
  <si>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</si>
  <si>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</si>
  <si>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</si>
  <si>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</si>
  <si>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</si>
  <si>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</si>
  <si>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</si>
  <si>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</si>
  <si>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</si>
  <si>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</si>
  <si>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</si>
  <si>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</si>
  <si>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</si>
  <si>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</si>
  <si>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</si>
  <si>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</si>
  <si>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</si>
  <si>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</si>
  <si>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</si>
  <si>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</si>
  <si>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</si>
  <si>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</si>
  <si>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</si>
  <si>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</si>
  <si>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</si>
  <si>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</si>
  <si>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</si>
  <si>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</si>
  <si>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</si>
  <si>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</si>
  <si>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</si>
  <si>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</si>
  <si>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</si>
  <si>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</si>
  <si>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</si>
  <si>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</si>
  <si>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</si>
  <si>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</si>
  <si>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</si>
  <si>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</si>
  <si>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</si>
  <si>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</si>
  <si>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</si>
  <si>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</si>
  <si>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</si>
  <si>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</si>
  <si>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</si>
  <si>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</si>
  <si>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</si>
  <si>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</si>
  <si>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</si>
  <si>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</si>
  <si>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</si>
  <si>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</si>
  <si>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</si>
  <si>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</si>
  <si>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</si>
  <si>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</si>
  <si>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</si>
  <si>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</si>
  <si>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</si>
  <si>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</si>
  <si>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</si>
  <si>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</si>
  <si>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</si>
  <si>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</si>
  <si>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</si>
  <si>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</si>
  <si>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</si>
  <si>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</si>
  <si>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</si>
  <si>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</si>
  <si>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</si>
  <si>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</si>
  <si>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</si>
  <si>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</si>
  <si>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</si>
  <si>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</si>
  <si>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</si>
  <si>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</si>
  <si>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</si>
  <si>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</si>
  <si>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</si>
  <si>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</si>
  <si>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</si>
  <si>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</si>
  <si>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</si>
  <si>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</si>
  <si>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</si>
  <si>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</si>
  <si>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</si>
  <si>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</si>
  <si>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</si>
  <si>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</si>
  <si>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</si>
  <si>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</si>
  <si>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</si>
  <si>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</si>
  <si>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</si>
  <si>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</si>
  <si>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</si>
  <si>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</si>
  <si>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</si>
  <si>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</si>
  <si>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</si>
  <si>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</si>
  <si>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</si>
  <si>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</si>
  <si>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</si>
  <si>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</si>
  <si>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</si>
  <si>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</si>
  <si>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</si>
  <si>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</si>
  <si>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</si>
  <si>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</si>
  <si>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</si>
  <si>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</si>
  <si>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</si>
  <si>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</si>
  <si>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</si>
  <si>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</si>
  <si>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</si>
  <si>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</si>
  <si>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</si>
  <si>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</si>
  <si>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</si>
  <si>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</si>
  <si>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</si>
  <si>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</si>
  <si>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</si>
  <si>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</si>
  <si>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</si>
  <si>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</si>
  <si>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</si>
  <si>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</si>
  <si>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</si>
  <si>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</si>
  <si>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</si>
  <si>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</si>
  <si>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</si>
  <si>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</si>
  <si>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</si>
  <si>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</si>
  <si>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</si>
  <si>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</si>
  <si>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</si>
  <si>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</si>
  <si>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</si>
  <si>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</si>
  <si>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</si>
  <si>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</si>
  <si>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</si>
  <si>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</si>
  <si>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</si>
  <si>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</si>
  <si>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</si>
  <si>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</si>
  <si>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</si>
  <si>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</si>
  <si>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</si>
  <si>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</si>
  <si>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</si>
  <si>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</si>
  <si>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</si>
  <si>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</si>
  <si>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</si>
  <si>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</si>
  <si>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</si>
  <si>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</si>
  <si>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</si>
  <si>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</si>
  <si>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</si>
  <si>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</si>
  <si>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</si>
  <si>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</si>
  <si>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</si>
  <si>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</si>
  <si>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</si>
  <si>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</si>
  <si>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</si>
  <si>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</si>
  <si>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</si>
  <si>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</si>
  <si>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</si>
  <si>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</si>
  <si>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</si>
  <si>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</si>
  <si>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</si>
  <si>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</si>
  <si>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</si>
  <si>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</si>
  <si>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</si>
  <si>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</si>
  <si>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</si>
  <si>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</si>
  <si>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</si>
  <si>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</si>
  <si>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</si>
  <si>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</si>
  <si>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</si>
  <si>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</si>
  <si>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</si>
  <si>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</si>
  <si>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</si>
  <si>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</si>
  <si>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</si>
  <si>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</si>
  <si>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</si>
  <si>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</si>
  <si>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</si>
  <si>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</si>
  <si>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</si>
  <si>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</si>
  <si>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</si>
  <si>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</si>
  <si>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</si>
  <si>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</si>
  <si>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</si>
  <si>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</si>
  <si>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</si>
  <si>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</si>
  <si>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</si>
  <si>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</si>
  <si>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</si>
  <si>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</si>
  <si>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</si>
  <si>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</si>
  <si>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</si>
  <si>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</si>
  <si>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</si>
  <si>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</si>
  <si>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</si>
  <si>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</si>
  <si>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</si>
  <si>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</si>
  <si>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</si>
  <si>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</si>
  <si>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</si>
  <si>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</si>
  <si>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</si>
  <si>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</si>
  <si>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</si>
  <si>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</si>
  <si>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</si>
  <si>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</si>
  <si>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</si>
  <si>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</si>
  <si>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</si>
  <si>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</si>
  <si>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</si>
  <si>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</si>
  <si>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</si>
  <si>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</si>
  <si>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</si>
  <si>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</si>
  <si>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</si>
  <si>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</si>
  <si>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</si>
  <si>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</si>
  <si>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</si>
  <si>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</si>
  <si>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</si>
  <si>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</si>
  <si>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</si>
  <si>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</si>
  <si>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</si>
  <si>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</si>
  <si>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</si>
  <si>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</si>
  <si>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</si>
  <si>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</si>
  <si>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</si>
  <si>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</si>
  <si>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</si>
  <si>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</si>
  <si>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</si>
  <si>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</si>
  <si>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</si>
  <si>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</si>
  <si>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</si>
  <si>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</si>
  <si>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</si>
  <si>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</si>
  <si>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</si>
  <si>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</si>
  <si>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</si>
  <si>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</si>
  <si>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</si>
  <si>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</si>
  <si>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</si>
  <si>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</si>
  <si>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</si>
  <si>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</si>
  <si>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</si>
  <si>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</si>
  <si>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</si>
  <si>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</si>
  <si>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</si>
  <si>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</si>
  <si>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</si>
  <si>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</si>
  <si>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</si>
  <si>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</si>
  <si>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</si>
  <si>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</si>
  <si>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</si>
  <si>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</si>
  <si>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</si>
  <si>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</si>
  <si>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</si>
  <si>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</si>
  <si>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</si>
  <si>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</si>
  <si>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</si>
  <si>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</si>
  <si>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</si>
  <si>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</si>
  <si>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</si>
  <si>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</si>
  <si>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</si>
  <si>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</si>
  <si>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</si>
  <si>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</si>
  <si>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</si>
  <si>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</si>
  <si>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</si>
  <si>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</si>
  <si>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</si>
  <si>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</si>
  <si>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</si>
  <si>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</si>
  <si>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</si>
  <si>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</si>
  <si>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</si>
  <si>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</si>
  <si>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</si>
  <si>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</si>
  <si>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</si>
  <si>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</si>
  <si>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</si>
  <si>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</si>
  <si>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</si>
  <si>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</si>
  <si>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</si>
  <si>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</si>
  <si>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</si>
  <si>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</si>
  <si>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</si>
  <si>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</si>
  <si>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</si>
  <si>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</si>
  <si>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</si>
  <si>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</si>
  <si>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</si>
  <si>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</si>
  <si>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</si>
  <si>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</si>
  <si>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</si>
  <si>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</si>
  <si>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</si>
  <si>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</si>
  <si>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</si>
  <si>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</si>
  <si>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</si>
  <si>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</si>
  <si>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</si>
  <si>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</si>
  <si>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</si>
  <si>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</si>
  <si>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</si>
  <si>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</si>
  <si>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</si>
  <si>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</si>
  <si>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</si>
  <si>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</si>
  <si>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</si>
  <si>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</si>
  <si>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</si>
  <si>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</si>
  <si>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</si>
  <si>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</si>
  <si>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</si>
  <si>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</si>
  <si>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</si>
  <si>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</si>
  <si>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</si>
  <si>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</si>
  <si>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</si>
  <si>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</si>
  <si>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</si>
  <si>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</si>
  <si>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</si>
  <si>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</si>
  <si>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</si>
  <si>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</si>
  <si>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</si>
  <si>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</si>
  <si>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</si>
  <si>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</si>
  <si>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</si>
  <si>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</si>
  <si>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</si>
  <si>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</si>
  <si>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</si>
  <si>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</si>
  <si>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</si>
  <si>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</si>
  <si>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</si>
  <si>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</si>
  <si>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</si>
  <si>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</si>
  <si>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</si>
  <si>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</si>
  <si>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</si>
  <si>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</si>
  <si>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</si>
  <si>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</si>
  <si>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</si>
  <si>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</si>
  <si>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</si>
  <si>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</si>
  <si>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</si>
  <si>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</si>
  <si>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</si>
  <si>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</si>
  <si>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</si>
  <si>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</si>
  <si>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</si>
  <si>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</si>
  <si>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</si>
  <si>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</si>
  <si>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</si>
  <si>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</si>
  <si>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</si>
  <si>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</si>
  <si>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</si>
  <si>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</si>
  <si>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</si>
  <si>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</si>
  <si>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</si>
  <si>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</si>
  <si>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</si>
  <si>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</si>
  <si>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</si>
  <si>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</si>
  <si>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</si>
  <si>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</si>
  <si>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</si>
  <si>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</si>
  <si>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</si>
  <si>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</si>
  <si>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</si>
  <si>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</si>
  <si>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</si>
  <si>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</si>
  <si>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</si>
  <si>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</si>
  <si>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</si>
  <si>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</si>
  <si>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</si>
  <si>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</si>
  <si>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</si>
  <si>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</si>
  <si>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</si>
  <si>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</si>
  <si>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</si>
  <si>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</si>
  <si>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</si>
  <si>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</si>
  <si>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</si>
  <si>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</si>
  <si>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</si>
  <si>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</si>
  <si>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</si>
  <si>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</si>
  <si>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</si>
  <si>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</si>
  <si>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</si>
  <si>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</si>
  <si>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</si>
  <si>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</si>
  <si>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</si>
  <si>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</si>
  <si>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</si>
  <si>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</si>
  <si>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</si>
  <si>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</si>
  <si>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</si>
  <si>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</si>
  <si>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</si>
  <si>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</si>
  <si>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</si>
  <si>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</si>
  <si>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</si>
  <si>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</si>
  <si>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</si>
  <si>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</si>
  <si>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</si>
  <si>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</si>
  <si>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</si>
  <si>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</si>
  <si>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</si>
  <si>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</si>
  <si>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</si>
  <si>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</si>
  <si>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</si>
  <si>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</si>
  <si>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</si>
  <si>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</si>
  <si>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</si>
  <si>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</si>
  <si>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</si>
  <si>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</si>
  <si>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</si>
  <si>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</si>
  <si>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</si>
  <si>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</si>
  <si>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</si>
  <si>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</si>
  <si>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</si>
  <si>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</si>
  <si>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</si>
  <si>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</si>
  <si>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</si>
  <si>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</si>
  <si>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</si>
  <si>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</si>
  <si>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</si>
  <si>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</si>
  <si>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</si>
  <si>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</si>
  <si>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</si>
  <si>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</si>
  <si>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</si>
  <si>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</si>
  <si>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</si>
  <si>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</si>
  <si>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</si>
  <si>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</si>
  <si>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</si>
  <si>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</si>
  <si>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</si>
  <si>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</si>
  <si>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</si>
  <si>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</si>
  <si>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</si>
  <si>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</si>
  <si>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</si>
  <si>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</si>
  <si>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</si>
  <si>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</si>
  <si>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</si>
  <si>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</si>
  <si>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</si>
  <si>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</si>
  <si>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</si>
  <si>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</si>
  <si>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</si>
  <si>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</si>
  <si>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</si>
  <si>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</si>
  <si>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</si>
  <si>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</si>
  <si>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</si>
  <si>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</si>
  <si>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</si>
  <si>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</si>
  <si>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</si>
  <si>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</si>
  <si>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</si>
  <si>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</si>
  <si>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</si>
  <si>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</si>
  <si>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</si>
  <si>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</si>
  <si>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</si>
  <si>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</si>
  <si>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</si>
  <si>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</si>
  <si>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</si>
  <si>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</si>
  <si>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</si>
  <si>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</si>
  <si>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</si>
  <si>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</si>
  <si>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</si>
  <si>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</si>
  <si>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</si>
  <si>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</si>
  <si>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</si>
  <si>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</si>
  <si>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</si>
  <si>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</si>
  <si>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</si>
  <si>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</si>
  <si>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</si>
  <si>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</si>
  <si>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</si>
  <si>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</si>
  <si>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</si>
  <si>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</si>
  <si>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</si>
  <si>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</si>
  <si>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</si>
  <si>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</si>
  <si>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</si>
  <si>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</si>
  <si>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</si>
  <si>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</si>
  <si>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</si>
  <si>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</si>
  <si>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</si>
  <si>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</si>
  <si>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</si>
  <si>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</si>
  <si>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</si>
  <si>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</si>
  <si>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</si>
  <si>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</si>
  <si>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</si>
  <si>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</si>
  <si>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</si>
  <si>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</si>
  <si>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</si>
  <si>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</si>
  <si>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</si>
  <si>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</si>
  <si>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</si>
  <si>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</si>
  <si>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</si>
  <si>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</si>
  <si>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</si>
  <si>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</si>
  <si>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</si>
  <si>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</si>
  <si>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</si>
  <si>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</si>
  <si>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</si>
  <si>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</si>
  <si>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</si>
  <si>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</si>
  <si>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</si>
  <si>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</si>
  <si>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</si>
  <si>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</si>
  <si>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</si>
  <si>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</si>
  <si>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</si>
  <si>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</si>
  <si>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</si>
  <si>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</si>
  <si>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</si>
  <si>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JACOBO LAPRESTA</t>
  </si>
  <si>
    <t>JOSE VICENTE ARQUES</t>
  </si>
  <si>
    <t>JOSE ANTONIO RODRIGUEZ</t>
  </si>
  <si>
    <t>NOELIA OTERO</t>
  </si>
  <si>
    <t>YOLANDA BAILACH MADERA</t>
  </si>
  <si>
    <t>BORJA RODRIGUEZ</t>
  </si>
  <si>
    <t>00:25</t>
  </si>
  <si>
    <t xml:space="preserve">Very good job! Do you resolve some mistakes very quickly, all on your own. Congratulations!Keep it up.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</si>
</sst>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18_175_PAM_BAS_E2025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46014.854166666664</v>
      </c>
      <c r="C3" s="157"/>
      <c r="D3" s="39">
        <v>664</v>
      </c>
      <c r="E3" s="29"/>
      <c r="F3" s="26">
        <f>SUBTOTAL(3,I17:I106)</f>
        <v>1</v>
      </c>
      <c r="G3" s="27">
        <f>IF(OR(D3="",D3=0),"",F3/D3)</f>
        <v>1.5060240963855422E-3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1.5060240963855422E-3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0.15060240963855423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0.6506024096385542</v>
      </c>
      <c r="N7" s="58"/>
      <c r="O7" s="2"/>
      <c r="P7" s="2"/>
      <c r="Q7" s="86">
        <f>SUM(R5,S5,AC16)</f>
        <v>0.6506024096385542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0.6506024096385542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175</v>
      </c>
      <c r="D17" s="32" t="s">
        <v>758</v>
      </c>
      <c r="E17" s="33">
        <v>3</v>
      </c>
      <c r="F17" s="36">
        <v>76</v>
      </c>
      <c r="G17" s="36">
        <v>65</v>
      </c>
      <c r="H17" s="38" t="str">
        <f>IF(I17="","",$I$14)</f>
        <v>SCOUTING</v>
      </c>
      <c r="I17" s="34">
        <v>499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"E2025175"</v>
      </c>
      <c r="F3" s="45" t="str">
        <f t="shared" ref="F3:F16" si="0">""""&amp;B3&amp;"""" &amp; " : " &amp;C3&amp;","</f>
        <v>"name" : "E2025175",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"E175"</v>
      </c>
      <c r="F4" s="45" t="str">
        <f t="shared" si="0"/>
        <v>"cod" : "E175",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175</v>
      </c>
      <c r="F6" s="45" t="str">
        <f t="shared" si="0"/>
        <v>"number" : 175,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RODRIGUEZ"</v>
      </c>
      <c r="F12" s="45" t="str">
        <f t="shared" si="0"/>
        <v>"Caller_2" : "JOSE ANTONIO RODRIGUEZ",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"NOELIA OTERO"</v>
      </c>
      <c r="F13" s="45" t="str">
        <f t="shared" si="0"/>
        <v>"Timerkeeper" : "NOELIA OTERO",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"YOLANDA BAILACH MADERA"</v>
      </c>
      <c r="F14" s="45" t="str">
        <f t="shared" si="0"/>
        <v>"Shotclock" : "YOLANDA BAILACH MADERA",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664</v>
      </c>
      <c r="F25" s="45" t="str">
        <f t="shared" ref="F25:F48" si="1">""""&amp;C25&amp;"""" &amp; " : " &amp;D25&amp;","</f>
        <v>"total_actions" : 664,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Do you resolve some mistakes very quickly, all on your own. Congratulations!Keep it up. "</v>
      </c>
      <c r="F51" s="45" t="str">
        <f>""""&amp;B51&amp;"""" &amp; " : " &amp;C51&amp;","</f>
        <v>"comments" : "Very good job! Do you resolve some mistakes very quickly, all on your own. Congratulations!Keep it up. ",</v>
      </c>
    </row>
    <row r="52" spans="2:6" x14ac:dyDescent="0.25">
      <c r="B52" s="43" t="s">
        <v>153</v>
      </c>
      <c r="C52" s="43" t="str">
        <f>TEXT('SCOUT &amp; LOGISTICS'!F1,"0,0")</f>
        <v>18_175_PAM_BAS_E2025</v>
      </c>
      <c r="F52" s="45" t="str">
        <f>""""&amp;B52&amp;"""" &amp; " : " &amp;C52</f>
        <v>"result" : 18_175_PAM_BAS_E2025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VICENTE ARQUES</v>
      </c>
      <c r="H8" s="206"/>
      <c r="I8" s="206"/>
      <c r="J8" s="206"/>
      <c r="K8" s="206"/>
      <c r="L8" s="206" t="str">
        <f>IF('SCOUT &amp; LOGISTICS'!D8="","",'SCOUT &amp; LOGISTICS'!D8)</f>
        <v>JOSE ANTONIO RODRIGUEZ</v>
      </c>
      <c r="M8" s="206"/>
      <c r="N8" s="206"/>
      <c r="O8" s="206"/>
      <c r="P8" s="206"/>
      <c r="Q8" s="206" t="str">
        <f>IF('SCOUT &amp; LOGISTICS'!D9="","",'SCOUT &amp; LOGISTICS'!D9)</f>
        <v>NOELIA OTERO</v>
      </c>
      <c r="R8" s="206"/>
      <c r="S8" s="206"/>
      <c r="T8" s="206"/>
      <c r="U8" s="206"/>
      <c r="V8" s="206" t="str">
        <f>IF('SCOUT &amp; LOGISTICS'!D10="","",'SCOUT &amp; LOGISTICS'!D10)</f>
        <v>YOLANDA BAILACH MADERA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1.5060240963855422E-3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job! Do you resolve some mistakes very quickly, all on your own. Congratulations!Keep it up.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0.6506024096385542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D05B8A-E410-47A9-BA36-93C9A434F4A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2025-12-23T21:18:07Z</cp:lastPrinted>
  <dcterms:created xsi:type="dcterms:W3CDTF">2023-09-19T19:50:35Z</dcterms:created>
  <dcterms:modified xsi:type="dcterms:W3CDTF">2025-12-23T21:18:11Z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