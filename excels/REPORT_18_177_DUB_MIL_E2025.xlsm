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3" documentId="8_{149EF620-B12B-427C-A652-3C73A10BA2E9}" xr6:coauthVersionLast="47" xr6:coauthVersionMax="47" xr10:uidLastSave="{0DDD0AEA-9A23-4B21-AB7C-2A61FBD7D548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<sst xmlns="http://schemas.openxmlformats.org/spreadsheetml/2006/main" count="3250" uniqueCount="760">
  <si>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</si>
  <si>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</si>
  <si>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</si>
  <si>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</si>
  <si>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</si>
  <si>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</si>
  <si>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</si>
  <si>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</si>
  <si>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</si>
  <si>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</si>
  <si>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</si>
  <si>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</si>
  <si>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</si>
  <si>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</si>
  <si>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</si>
  <si>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</si>
  <si>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</si>
  <si>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</si>
  <si>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</si>
  <si>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</si>
  <si>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</si>
  <si>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</si>
  <si>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</si>
  <si>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</si>
  <si>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</si>
  <si>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</si>
  <si>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</si>
  <si>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</si>
  <si>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</si>
  <si>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</si>
  <si>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</si>
  <si>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</si>
  <si>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</si>
  <si>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</si>
  <si>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</si>
  <si>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</si>
  <si>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</si>
  <si>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</si>
  <si>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</si>
  <si>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</si>
  <si>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</si>
  <si>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</si>
  <si>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</si>
  <si>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</si>
  <si>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</si>
  <si>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</si>
  <si>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</si>
  <si>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</si>
  <si>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</si>
  <si>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</si>
  <si>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</si>
  <si>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</si>
  <si>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</si>
  <si>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</si>
  <si>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</si>
  <si>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</si>
  <si>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</si>
  <si>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</si>
  <si>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</si>
  <si>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</si>
  <si>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</si>
  <si>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</si>
  <si>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</si>
  <si>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</si>
  <si>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</si>
  <si>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</si>
  <si>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</si>
  <si>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</si>
  <si>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</si>
  <si>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</si>
  <si>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</si>
  <si>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</si>
  <si>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</si>
  <si>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</si>
  <si>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</si>
  <si>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</si>
  <si>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</si>
  <si>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</si>
  <si>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</si>
  <si>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</si>
  <si>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</si>
  <si>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</si>
  <si>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</si>
  <si>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</si>
  <si>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</si>
  <si>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</si>
  <si>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</si>
  <si>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</si>
  <si>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</si>
  <si>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</si>
  <si>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</si>
  <si>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</si>
  <si>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</si>
  <si>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</si>
  <si>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</si>
  <si>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</si>
  <si>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</si>
  <si>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</si>
  <si>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</si>
  <si>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</si>
  <si>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</si>
  <si>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</si>
  <si>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</si>
  <si>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</si>
  <si>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</si>
  <si>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</si>
  <si>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</si>
  <si>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</si>
  <si>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</si>
  <si>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</si>
  <si>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</si>
  <si>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</si>
  <si>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</si>
  <si>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</si>
  <si>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</si>
  <si>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</si>
  <si>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</si>
  <si>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</si>
  <si>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</si>
  <si>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</si>
  <si>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</si>
  <si>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</si>
  <si>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</si>
  <si>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</si>
  <si>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</si>
  <si>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</si>
  <si>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</si>
  <si>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</si>
  <si>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</si>
  <si>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</si>
  <si>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</si>
  <si>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</si>
  <si>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</si>
  <si>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</si>
  <si>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</si>
  <si>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</si>
  <si>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</si>
  <si>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</si>
  <si>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</si>
  <si>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</si>
  <si>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</si>
  <si>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</si>
  <si>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</si>
  <si>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</si>
  <si>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</si>
  <si>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</si>
  <si>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</si>
  <si>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</si>
  <si>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</si>
  <si>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</si>
  <si>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</si>
  <si>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</si>
  <si>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</si>
  <si>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</si>
  <si>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</si>
  <si>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</si>
  <si>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</si>
  <si>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</si>
  <si>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</si>
  <si>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</si>
  <si>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</si>
  <si>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</si>
  <si>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</si>
  <si>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</si>
  <si>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</si>
  <si>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</si>
  <si>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</si>
  <si>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</si>
  <si>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</si>
  <si>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</si>
  <si>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</si>
  <si>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</si>
  <si>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</si>
  <si>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</si>
  <si>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</si>
  <si>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</si>
  <si>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</si>
  <si>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</si>
  <si>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</si>
  <si>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</si>
  <si>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</si>
  <si>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</si>
  <si>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</si>
  <si>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</si>
  <si>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</si>
  <si>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</si>
  <si>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</si>
  <si>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</si>
  <si>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</si>
  <si>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</si>
  <si>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</si>
  <si>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</si>
  <si>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</si>
  <si>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</si>
  <si>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</si>
  <si>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</si>
  <si>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</si>
  <si>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</si>
  <si>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</si>
  <si>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</si>
  <si>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</si>
  <si>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</si>
  <si>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</si>
  <si>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</si>
  <si>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</si>
  <si>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</si>
  <si>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</si>
  <si>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</si>
  <si>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</si>
  <si>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</si>
  <si>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</si>
  <si>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</si>
  <si>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</si>
  <si>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</si>
  <si>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</si>
  <si>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</si>
  <si>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</si>
  <si>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</si>
  <si>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</si>
  <si>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</si>
  <si>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</si>
  <si>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</si>
  <si>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</si>
  <si>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</si>
  <si>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</si>
  <si>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</si>
  <si>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</si>
  <si>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</si>
  <si>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</si>
  <si>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</si>
  <si>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</si>
  <si>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</si>
  <si>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</si>
  <si>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</si>
  <si>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</si>
  <si>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</si>
  <si>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</si>
  <si>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</si>
  <si>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</si>
  <si>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</si>
  <si>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</si>
  <si>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</si>
  <si>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</si>
  <si>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</si>
  <si>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</si>
  <si>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</si>
  <si>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</si>
  <si>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</si>
  <si>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</si>
  <si>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</si>
  <si>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</si>
  <si>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</si>
  <si>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</si>
  <si>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</si>
  <si>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</si>
  <si>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</si>
  <si>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</si>
  <si>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</si>
  <si>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</si>
  <si>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</si>
  <si>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</si>
  <si>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</si>
  <si>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</si>
  <si>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</si>
  <si>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</si>
  <si>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</si>
  <si>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</si>
  <si>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</si>
  <si>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</si>
  <si>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</si>
  <si>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</si>
  <si>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</si>
  <si>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</si>
  <si>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</si>
  <si>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</si>
  <si>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</si>
  <si>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</si>
  <si>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</si>
  <si>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</si>
  <si>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</si>
  <si>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</si>
  <si>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</si>
  <si>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</si>
  <si>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</si>
  <si>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</si>
  <si>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</si>
  <si>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</si>
  <si>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</si>
  <si>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</si>
  <si>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</si>
  <si>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</si>
  <si>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</si>
  <si>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</si>
  <si>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</si>
  <si>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</si>
  <si>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</si>
  <si>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</si>
  <si>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</si>
  <si>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</si>
  <si>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</si>
  <si>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</si>
  <si>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</si>
  <si>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</si>
  <si>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</si>
  <si>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</si>
  <si>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</si>
  <si>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</si>
  <si>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</si>
  <si>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</si>
  <si>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</si>
  <si>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</si>
  <si>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</si>
  <si>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</si>
  <si>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</si>
  <si>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</si>
  <si>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</si>
  <si>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</si>
  <si>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</si>
  <si>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</si>
  <si>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</si>
  <si>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</si>
  <si>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</si>
  <si>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</si>
  <si>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</si>
  <si>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</si>
  <si>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</si>
  <si>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</si>
  <si>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</si>
  <si>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</si>
  <si>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</si>
  <si>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</si>
  <si>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</si>
  <si>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</si>
  <si>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</si>
  <si>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</si>
  <si>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</si>
  <si>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</si>
  <si>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</si>
  <si>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</si>
  <si>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</si>
  <si>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</si>
  <si>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</si>
  <si>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</si>
  <si>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</si>
  <si>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</si>
  <si>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</si>
  <si>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</si>
  <si>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</si>
  <si>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</si>
  <si>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</si>
  <si>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</si>
  <si>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</si>
  <si>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</si>
  <si>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</si>
  <si>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</si>
  <si>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</si>
  <si>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</si>
  <si>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</si>
  <si>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</si>
  <si>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</si>
  <si>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</si>
  <si>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</si>
  <si>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</si>
  <si>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</si>
  <si>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</si>
  <si>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</si>
  <si>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</si>
  <si>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</si>
  <si>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</si>
  <si>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</si>
  <si>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</si>
  <si>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</si>
  <si>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</si>
  <si>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</si>
  <si>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</si>
  <si>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</si>
  <si>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</si>
  <si>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</si>
  <si>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</si>
  <si>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</si>
  <si>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</si>
  <si>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</si>
  <si>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</si>
  <si>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</si>
  <si>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</si>
  <si>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</si>
  <si>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</si>
  <si>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</si>
  <si>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</si>
  <si>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</si>
  <si>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</si>
  <si>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</si>
  <si>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</si>
  <si>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</si>
  <si>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</si>
  <si>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</si>
  <si>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</si>
  <si>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</si>
  <si>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</si>
  <si>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</si>
  <si>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</si>
  <si>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</si>
  <si>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</si>
  <si>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</si>
  <si>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</si>
  <si>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</si>
  <si>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</si>
  <si>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</si>
  <si>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</si>
  <si>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</si>
  <si>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</si>
  <si>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</si>
  <si>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</si>
  <si>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</si>
  <si>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</si>
  <si>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</si>
  <si>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</si>
  <si>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</si>
  <si>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</si>
  <si>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</si>
  <si>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</si>
  <si>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</si>
  <si>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</si>
  <si>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</si>
  <si>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</si>
  <si>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</si>
  <si>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</si>
  <si>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</si>
  <si>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</si>
  <si>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</si>
  <si>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</si>
  <si>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</si>
  <si>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</si>
  <si>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</si>
  <si>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</si>
  <si>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</si>
  <si>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</si>
  <si>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</si>
  <si>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</si>
  <si>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</si>
  <si>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</si>
  <si>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</si>
  <si>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</si>
  <si>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</si>
  <si>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</si>
  <si>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</si>
  <si>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</si>
  <si>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</si>
  <si>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</si>
  <si>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</si>
  <si>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</si>
  <si>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</si>
  <si>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</si>
  <si>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</si>
  <si>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</si>
  <si>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</si>
  <si>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</si>
  <si>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</si>
  <si>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</si>
  <si>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</si>
  <si>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</si>
  <si>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</si>
  <si>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</si>
  <si>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</si>
  <si>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</si>
  <si>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</si>
  <si>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</si>
  <si>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</si>
  <si>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</si>
  <si>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</si>
  <si>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</si>
  <si>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</si>
  <si>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</si>
  <si>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</si>
  <si>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</si>
  <si>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</si>
  <si>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</si>
  <si>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</si>
  <si>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</si>
  <si>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</si>
  <si>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</si>
  <si>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</si>
  <si>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</si>
  <si>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</si>
  <si>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</si>
  <si>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</si>
  <si>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</si>
  <si>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</si>
  <si>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</si>
  <si>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</si>
  <si>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</si>
  <si>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</si>
  <si>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</si>
  <si>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</si>
  <si>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</si>
  <si>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</si>
  <si>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</si>
  <si>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</si>
  <si>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</si>
  <si>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</si>
  <si>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</si>
  <si>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</si>
  <si>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</si>
  <si>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</si>
  <si>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</si>
  <si>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</si>
  <si>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</si>
  <si>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</si>
  <si>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</si>
  <si>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</si>
  <si>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</si>
  <si>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</si>
  <si>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</si>
  <si>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</si>
  <si>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</si>
  <si>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</si>
  <si>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</si>
  <si>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</si>
  <si>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</si>
  <si>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</si>
  <si>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</si>
  <si>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</si>
  <si>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</si>
  <si>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</si>
  <si>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</si>
  <si>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</si>
  <si>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</si>
  <si>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</si>
  <si>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</si>
  <si>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</si>
  <si>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</si>
  <si>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</si>
  <si>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</si>
  <si>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</si>
  <si>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</si>
  <si>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</si>
  <si>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</si>
  <si>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</si>
  <si>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</si>
  <si>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</si>
  <si>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</si>
  <si>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</si>
  <si>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</si>
  <si>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</si>
  <si>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</si>
  <si>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</si>
  <si>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</si>
  <si>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</si>
  <si>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</si>
  <si>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</si>
  <si>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</si>
  <si>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</si>
  <si>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</si>
  <si>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</si>
  <si>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</si>
  <si>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</si>
  <si>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</si>
  <si>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</si>
  <si>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</si>
  <si>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</si>
  <si>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</si>
  <si>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</si>
  <si>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</si>
  <si>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</si>
  <si>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</si>
  <si>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</si>
  <si>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</si>
  <si>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</si>
  <si>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</si>
  <si>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</si>
  <si>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</si>
  <si>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</si>
  <si>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</si>
  <si>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</si>
  <si>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</si>
  <si>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</si>
  <si>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</si>
  <si>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</si>
  <si>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</si>
  <si>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</si>
  <si>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</si>
  <si>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</si>
  <si>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</si>
  <si>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</si>
  <si>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</si>
  <si>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</si>
  <si>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</si>
  <si>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</si>
  <si>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</si>
  <si>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</si>
  <si>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</si>
  <si>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</si>
  <si>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</si>
  <si>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</si>
  <si>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</si>
  <si>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</si>
  <si>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</si>
  <si>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</si>
  <si>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</si>
  <si>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</si>
  <si>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</si>
  <si>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</si>
  <si>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</si>
  <si>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</si>
  <si>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</si>
  <si>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</si>
  <si>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</si>
  <si>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</si>
  <si>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</si>
  <si>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</si>
  <si>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</si>
  <si>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</si>
  <si>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</si>
  <si>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</si>
  <si>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</si>
  <si>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</si>
  <si>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</si>
  <si>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</si>
  <si>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</si>
  <si>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</si>
  <si>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</si>
  <si>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</si>
  <si>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</si>
  <si>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</si>
  <si>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</si>
  <si>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</si>
  <si>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</si>
  <si>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</si>
  <si>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</si>
  <si>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</si>
  <si>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</si>
  <si>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</si>
  <si>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</si>
  <si>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</si>
  <si>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</si>
  <si>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</si>
  <si>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</si>
  <si>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</si>
  <si>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</si>
  <si>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</si>
  <si>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</si>
  <si>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</si>
  <si>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</si>
  <si>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</si>
  <si>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</si>
  <si>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</si>
  <si>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</si>
  <si>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</si>
  <si>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</si>
  <si>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</si>
  <si>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</si>
  <si>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</si>
  <si>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</si>
  <si>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</si>
  <si>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</si>
  <si>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</si>
  <si>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</si>
  <si>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</si>
  <si>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</si>
  <si>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</si>
  <si>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</si>
  <si>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</si>
  <si>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</si>
  <si>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</si>
  <si>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</si>
  <si>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</si>
  <si>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</si>
  <si>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</si>
  <si>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</si>
  <si>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</si>
  <si>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</si>
  <si>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</si>
  <si>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</si>
  <si>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</si>
  <si>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</si>
  <si>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</si>
  <si>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</si>
  <si>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</si>
  <si>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</si>
  <si>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</si>
  <si>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</si>
  <si>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</si>
  <si>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</si>
  <si>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</si>
  <si>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</si>
  <si>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</si>
  <si>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</si>
  <si>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</si>
  <si>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</si>
  <si>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</si>
  <si>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</si>
  <si>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</si>
  <si>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</si>
  <si>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</si>
  <si>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</si>
  <si>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</si>
  <si>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</si>
  <si>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</si>
  <si>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</si>
  <si>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</si>
  <si>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</si>
  <si>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</si>
  <si>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</si>
  <si>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</si>
  <si>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</si>
  <si>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</si>
  <si>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</si>
  <si>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</si>
  <si>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</si>
  <si>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</si>
  <si>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</si>
  <si>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</si>
  <si>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</si>
  <si>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</si>
  <si>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</si>
  <si>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</si>
  <si>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</si>
  <si>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</si>
  <si>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</si>
  <si>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</si>
  <si>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</si>
  <si>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</si>
  <si>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</si>
  <si>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</si>
  <si>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</si>
  <si>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</si>
  <si>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</si>
  <si>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</si>
  <si>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</si>
  <si>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</si>
  <si>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</si>
  <si>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</si>
  <si>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</si>
  <si>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</si>
  <si>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</si>
  <si>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</si>
  <si>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</si>
  <si>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</si>
  <si>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</si>
  <si>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</si>
  <si>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</si>
  <si>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</si>
  <si>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</si>
  <si>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</si>
  <si>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</si>
  <si>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</si>
  <si>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</si>
  <si>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</si>
  <si>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</si>
  <si>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</si>
  <si>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</si>
  <si>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DANILO VESOVIC</t>
  </si>
  <si>
    <t>MARKO LEPOVIC</t>
  </si>
  <si>
    <t>FRANCESC SENPAU-VILLANUEVA</t>
  </si>
  <si>
    <t>SANJA RSOVAC</t>
  </si>
  <si>
    <t>IVANA PRPA</t>
  </si>
  <si>
    <t>BILJANA KOSTRES</t>
  </si>
  <si>
    <t>05:45</t>
  </si>
  <si>
    <t>Excellent work. I corrected a rebound where a player tips intentionally the ball to a teammate. Remember to test both PC and tell the scrore at the end of each quarter.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</si>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</sst>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18_177_DUB_MIL_E2025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177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46014.833333333336</v>
      </c>
      <c r="C3" s="157"/>
      <c r="D3" s="39">
        <v>580</v>
      </c>
      <c r="E3" s="29"/>
      <c r="F3" s="26">
        <f>SUBTOTAL(3,I17:I106)</f>
        <v>1</v>
      </c>
      <c r="G3" s="27">
        <f>IF(OR(D3="",D3=0),"",F3/D3)</f>
        <v>1.7241379310344827E-3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1.7241379310344827E-3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0.17241379310344829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0.67241379310344829</v>
      </c>
      <c r="N7" s="58"/>
      <c r="O7" s="2"/>
      <c r="P7" s="2"/>
      <c r="Q7" s="86">
        <f>SUM(R5,S5,AC16)</f>
        <v>0.67241379310344829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0.67241379310344829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177</v>
      </c>
      <c r="D17" s="32" t="s">
        <v>757</v>
      </c>
      <c r="E17" s="33">
        <v>4</v>
      </c>
      <c r="F17" s="36">
        <v>84</v>
      </c>
      <c r="G17" s="36">
        <v>78</v>
      </c>
      <c r="H17" s="38" t="str">
        <f>IF(I17="","",$I$14)</f>
        <v>SCOUTING</v>
      </c>
      <c r="I17" s="34">
        <v>492</v>
      </c>
      <c r="J17" s="13" t="s">
        <v>4</v>
      </c>
      <c r="K17" s="13" t="s">
        <v>63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"E2025177"</v>
      </c>
      <c r="F3" s="45" t="str">
        <f t="shared" ref="F3:F16" si="0">""""&amp;B3&amp;"""" &amp; " : " &amp;C3&amp;","</f>
        <v>"name" : "E2025177",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"E177"</v>
      </c>
      <c r="F4" s="45" t="str">
        <f t="shared" si="0"/>
        <v>"cod" : "E177",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177</v>
      </c>
      <c r="F6" s="45" t="str">
        <f t="shared" si="0"/>
        <v>"number" : 177,</v>
      </c>
    </row>
    <row r="7" spans="2:6" x14ac:dyDescent="0.25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SENPAU-VILLANUEVA"</v>
      </c>
      <c r="F12" s="45" t="str">
        <f t="shared" si="0"/>
        <v>"Caller_2" : "FRANCESC SENPAU-VILLANUEVA",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"SANJA RSOVAC"</v>
      </c>
      <c r="F13" s="45" t="str">
        <f t="shared" si="0"/>
        <v>"Timerkeeper" : "SANJA RSOVAC",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"IVANA PRPA"</v>
      </c>
      <c r="F14" s="45" t="str">
        <f t="shared" si="0"/>
        <v>"Shotclock" : "IVANA PRPA",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"BILJANA KOSTRES"</v>
      </c>
      <c r="F15" s="45" t="str">
        <f t="shared" si="0"/>
        <v>"IRS" : "BILJANA KOSTRES",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580</v>
      </c>
      <c r="F25" s="45" t="str">
        <f t="shared" ref="F25:F48" si="1">""""&amp;C25&amp;"""" &amp; " : " &amp;D25&amp;","</f>
        <v>"total_actions" : 580,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work. I corrected a rebound where a player tips intentionally the ball to a teammate. Remember to test both PC and tell the scrore at the end of each quarter."</v>
      </c>
      <c r="F51" s="45" t="str">
        <f>""""&amp;B51&amp;"""" &amp; " : " &amp;C51&amp;","</f>
        <v>"comments" : "Excellent work. I corrected a rebound where a player tips intentionally the ball to a teammate. Remember to test both PC and tell the scrore at the end of each quarter.",</v>
      </c>
    </row>
    <row r="52" spans="2:6" x14ac:dyDescent="0.25">
      <c r="B52" s="43" t="s">
        <v>153</v>
      </c>
      <c r="C52" s="43" t="str">
        <f>TEXT('SCOUT &amp; LOGISTICS'!F1,"0,0")</f>
        <v>18_177_DUB_MIL_E2025</v>
      </c>
      <c r="F52" s="45" t="str">
        <f>""""&amp;B52&amp;"""" &amp; " : " &amp;C52</f>
        <v>"result" : 18_177_DUB_MIL_E2025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E177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DANILO VESOVIC</v>
      </c>
      <c r="C8" s="206"/>
      <c r="D8" s="206"/>
      <c r="E8" s="206"/>
      <c r="F8" s="206"/>
      <c r="G8" s="206" t="str">
        <f>IF('SCOUT &amp; LOGISTICS'!D7="","",'SCOUT &amp; LOGISTICS'!D7)</f>
        <v>MARKO LEPOVIC</v>
      </c>
      <c r="H8" s="206"/>
      <c r="I8" s="206"/>
      <c r="J8" s="206"/>
      <c r="K8" s="206"/>
      <c r="L8" s="206" t="str">
        <f>IF('SCOUT &amp; LOGISTICS'!D8="","",'SCOUT &amp; LOGISTICS'!D8)</f>
        <v>FRANCESC SENPAU-VILLANUEVA</v>
      </c>
      <c r="M8" s="206"/>
      <c r="N8" s="206"/>
      <c r="O8" s="206"/>
      <c r="P8" s="206"/>
      <c r="Q8" s="206" t="str">
        <f>IF('SCOUT &amp; LOGISTICS'!D9="","",'SCOUT &amp; LOGISTICS'!D9)</f>
        <v>SANJA RSOVAC</v>
      </c>
      <c r="R8" s="206"/>
      <c r="S8" s="206"/>
      <c r="T8" s="206"/>
      <c r="U8" s="206"/>
      <c r="V8" s="206" t="str">
        <f>IF('SCOUT &amp; LOGISTICS'!D10="","",'SCOUT &amp; LOGISTICS'!D10)</f>
        <v>IVANA PRPA</v>
      </c>
      <c r="W8" s="206"/>
      <c r="X8" s="206"/>
      <c r="Y8" s="206"/>
      <c r="Z8" s="206"/>
      <c r="AA8" s="206" t="str">
        <f>IF('SCOUT &amp; LOGISTICS'!D11="","",'SCOUT &amp; LOGISTICS'!D11)</f>
        <v>BILJANA KOSTRES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1.7241379310344827E-3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work. I corrected a rebound where a player tips intentionally the ball to a teammate. Remember to test both PC and tell the scrore at the end of each quarter.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0.67241379310344829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84E1A0-AB70-4725-9448-F84BBB2FD8C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2025-12-26T15:02:19Z</cp:lastPrinted>
  <dcterms:created xsi:type="dcterms:W3CDTF">2023-09-19T19:50:35Z</dcterms:created>
  <dcterms:modified xsi:type="dcterms:W3CDTF">2025-12-26T15:02:42Z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