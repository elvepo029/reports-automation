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85" documentId="8_{333F156E-5525-4945-9DA7-87A469DAC540}" xr6:coauthVersionLast="47" xr6:coauthVersionMax="47" xr10:uidLastSave="{2681359E-B84F-4A84-B7C7-E96DDB38F91A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<sst xmlns="http://schemas.openxmlformats.org/spreadsheetml/2006/main" count="3280" uniqueCount="765">
  <si>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</si>
  <si>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</si>
  <si>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</si>
  <si>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</si>
  <si>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</si>
  <si>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</si>
  <si>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</si>
  <si>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</si>
  <si>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</si>
  <si>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</si>
  <si>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</si>
  <si>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</si>
  <si>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</si>
  <si>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</si>
  <si>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</si>
  <si>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</si>
  <si>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</si>
  <si>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</si>
  <si>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</si>
  <si>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</si>
  <si>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</si>
  <si>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</si>
  <si>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</si>
  <si>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</si>
  <si>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</si>
  <si>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</si>
  <si>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</si>
  <si>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</si>
  <si>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</si>
  <si>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</si>
  <si>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</si>
  <si>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</si>
  <si>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</si>
  <si>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</si>
  <si>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</si>
  <si>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</si>
  <si>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</si>
  <si>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</si>
  <si>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</si>
  <si>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</si>
  <si>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</si>
  <si>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</si>
  <si>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</si>
  <si>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</si>
  <si>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</si>
  <si>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</si>
  <si>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</si>
  <si>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</si>
  <si>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</si>
  <si>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</si>
  <si>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</si>
  <si>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</si>
  <si>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</si>
  <si>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</si>
  <si>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</si>
  <si>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</si>
  <si>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</si>
  <si>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</si>
  <si>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</si>
  <si>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</si>
  <si>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</si>
  <si>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</si>
  <si>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</si>
  <si>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</si>
  <si>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</si>
  <si>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</si>
  <si>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</si>
  <si>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</si>
  <si>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</si>
  <si>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</si>
  <si>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</si>
  <si>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</si>
  <si>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</si>
  <si>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</si>
  <si>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</si>
  <si>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</si>
  <si>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</si>
  <si>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</si>
  <si>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</si>
  <si>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</si>
  <si>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</si>
  <si>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</si>
  <si>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</si>
  <si>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</si>
  <si>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</si>
  <si>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</si>
  <si>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</si>
  <si>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</si>
  <si>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</si>
  <si>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</si>
  <si>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</si>
  <si>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</si>
  <si>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</si>
  <si>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</si>
  <si>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</si>
  <si>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</si>
  <si>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</si>
  <si>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</si>
  <si>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</si>
  <si>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</si>
  <si>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</si>
  <si>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</si>
  <si>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</si>
  <si>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</si>
  <si>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</si>
  <si>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</si>
  <si>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</si>
  <si>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</si>
  <si>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</si>
  <si>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</si>
  <si>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</si>
  <si>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</si>
  <si>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</si>
  <si>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</si>
  <si>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</si>
  <si>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</si>
  <si>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</si>
  <si>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</si>
  <si>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</si>
  <si>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</si>
  <si>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</si>
  <si>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</si>
  <si>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</si>
  <si>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</si>
  <si>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</si>
  <si>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</si>
  <si>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</si>
  <si>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</si>
  <si>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</si>
  <si>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</si>
  <si>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</si>
  <si>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</si>
  <si>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</si>
  <si>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</si>
  <si>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</si>
  <si>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</si>
  <si>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</si>
  <si>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</si>
  <si>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</si>
  <si>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</si>
  <si>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</si>
  <si>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</si>
  <si>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</si>
  <si>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</si>
  <si>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</si>
  <si>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</si>
  <si>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</si>
  <si>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</si>
  <si>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</si>
  <si>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</si>
  <si>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</si>
  <si>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</si>
  <si>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</si>
  <si>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</si>
  <si>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</si>
  <si>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</si>
  <si>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</si>
  <si>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</si>
  <si>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</si>
  <si>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</si>
  <si>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</si>
  <si>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</si>
  <si>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</si>
  <si>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</si>
  <si>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</si>
  <si>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</si>
  <si>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</si>
  <si>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</si>
  <si>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</si>
  <si>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</si>
  <si>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</si>
  <si>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</si>
  <si>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</si>
  <si>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</si>
  <si>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</si>
  <si>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</si>
  <si>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</si>
  <si>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</si>
  <si>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</si>
  <si>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</si>
  <si>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</si>
  <si>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</si>
  <si>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</si>
  <si>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</si>
  <si>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</si>
  <si>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</si>
  <si>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</si>
  <si>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</si>
  <si>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</si>
  <si>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</si>
  <si>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</si>
  <si>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</si>
  <si>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</si>
  <si>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</si>
  <si>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</si>
  <si>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</si>
  <si>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</si>
  <si>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</si>
  <si>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</si>
  <si>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</si>
  <si>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</si>
  <si>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</si>
  <si>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</si>
  <si>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</si>
  <si>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</si>
  <si>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</si>
  <si>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</si>
  <si>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</si>
  <si>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</si>
  <si>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</si>
  <si>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</si>
  <si>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</si>
  <si>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</si>
  <si>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</si>
  <si>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</si>
  <si>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</si>
  <si>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</si>
  <si>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</si>
  <si>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</si>
  <si>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</si>
  <si>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</si>
  <si>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</si>
  <si>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</si>
  <si>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</si>
  <si>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</si>
  <si>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</si>
  <si>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</si>
  <si>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</si>
  <si>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</si>
  <si>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</si>
  <si>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</si>
  <si>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</si>
  <si>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</si>
  <si>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</si>
  <si>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</si>
  <si>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</si>
  <si>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</si>
  <si>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</si>
  <si>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</si>
  <si>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</si>
  <si>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</si>
  <si>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</si>
  <si>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</si>
  <si>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</si>
  <si>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</si>
  <si>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</si>
  <si>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</si>
  <si>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</si>
  <si>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</si>
  <si>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</si>
  <si>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</si>
  <si>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</si>
  <si>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</si>
  <si>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</si>
  <si>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</si>
  <si>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</si>
  <si>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</si>
  <si>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</si>
  <si>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</si>
  <si>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</si>
  <si>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</si>
  <si>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</si>
  <si>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</si>
  <si>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</si>
  <si>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</si>
  <si>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</si>
  <si>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</si>
  <si>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</si>
  <si>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</si>
  <si>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</si>
  <si>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</si>
  <si>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</si>
  <si>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</si>
  <si>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</si>
  <si>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</si>
  <si>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</si>
  <si>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</si>
  <si>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</si>
  <si>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</si>
  <si>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</si>
  <si>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</si>
  <si>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</si>
  <si>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</si>
  <si>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</si>
  <si>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</si>
  <si>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</si>
  <si>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</si>
  <si>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</si>
  <si>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</si>
  <si>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</si>
  <si>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</si>
  <si>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</si>
  <si>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</si>
  <si>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</si>
  <si>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</si>
  <si>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</si>
  <si>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</si>
  <si>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</si>
  <si>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</si>
  <si>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</si>
  <si>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</si>
  <si>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</si>
  <si>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</si>
  <si>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</si>
  <si>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</si>
  <si>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</si>
  <si>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</si>
  <si>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</si>
  <si>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</si>
  <si>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</si>
  <si>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</si>
  <si>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</si>
  <si>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</si>
  <si>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</si>
  <si>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</si>
  <si>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</si>
  <si>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</si>
  <si>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</si>
  <si>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</si>
  <si>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</si>
  <si>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</si>
  <si>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</si>
  <si>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</si>
  <si>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</si>
  <si>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</si>
  <si>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</si>
  <si>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</si>
  <si>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</si>
  <si>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</si>
  <si>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</si>
  <si>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</si>
  <si>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</si>
  <si>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</si>
  <si>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</si>
  <si>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</si>
  <si>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</si>
  <si>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</si>
  <si>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</si>
  <si>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</si>
  <si>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</si>
  <si>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</si>
  <si>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</si>
  <si>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</si>
  <si>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</si>
  <si>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</si>
  <si>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</si>
  <si>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</si>
  <si>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</si>
  <si>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</si>
  <si>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</si>
  <si>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</si>
  <si>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</si>
  <si>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</si>
  <si>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</si>
  <si>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</si>
  <si>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</si>
  <si>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</si>
  <si>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</si>
  <si>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</si>
  <si>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</si>
  <si>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</si>
  <si>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</si>
  <si>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</si>
  <si>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</si>
  <si>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</si>
  <si>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</si>
  <si>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</si>
  <si>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</si>
  <si>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</si>
  <si>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</si>
  <si>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</si>
  <si>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</si>
  <si>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</si>
  <si>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</si>
  <si>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</si>
  <si>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</si>
  <si>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</si>
  <si>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</si>
  <si>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</si>
  <si>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</si>
  <si>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</si>
  <si>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</si>
  <si>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</si>
  <si>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</si>
  <si>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</si>
  <si>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</si>
  <si>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</si>
  <si>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</si>
  <si>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</si>
  <si>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</si>
  <si>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</si>
  <si>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</si>
  <si>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</si>
  <si>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</si>
  <si>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</si>
  <si>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</si>
  <si>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</si>
  <si>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</si>
  <si>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</si>
  <si>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</si>
  <si>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</si>
  <si>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</si>
  <si>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</si>
  <si>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</si>
  <si>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</si>
  <si>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</si>
  <si>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</si>
  <si>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</si>
  <si>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</si>
  <si>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</si>
  <si>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</si>
  <si>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</si>
  <si>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</si>
  <si>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</si>
  <si>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</si>
  <si>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</si>
  <si>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</si>
  <si>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</si>
  <si>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</si>
  <si>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</si>
  <si>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</si>
  <si>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</si>
  <si>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</si>
  <si>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</si>
  <si>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</si>
  <si>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</si>
  <si>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</si>
  <si>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</si>
  <si>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</si>
  <si>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</si>
  <si>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</si>
  <si>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</si>
  <si>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</si>
  <si>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</si>
  <si>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</si>
  <si>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</si>
  <si>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</si>
  <si>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</si>
  <si>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</si>
  <si>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</si>
  <si>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</si>
  <si>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</si>
  <si>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</si>
  <si>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</si>
  <si>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</si>
  <si>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</si>
  <si>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</si>
  <si>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</si>
  <si>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</si>
  <si>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</si>
  <si>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</si>
  <si>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</si>
  <si>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</si>
  <si>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</si>
  <si>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</si>
  <si>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</si>
  <si>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</si>
  <si>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</si>
  <si>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</si>
  <si>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</si>
  <si>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</si>
  <si>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</si>
  <si>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</si>
  <si>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</si>
  <si>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</si>
  <si>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</si>
  <si>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</si>
  <si>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</si>
  <si>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</si>
  <si>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</si>
  <si>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</si>
  <si>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</si>
  <si>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</si>
  <si>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</si>
  <si>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</si>
  <si>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</si>
  <si>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</si>
  <si>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</si>
  <si>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</si>
  <si>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</si>
  <si>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</si>
  <si>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</si>
  <si>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</si>
  <si>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</si>
  <si>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</si>
  <si>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</si>
  <si>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</si>
  <si>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</si>
  <si>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</si>
  <si>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</si>
  <si>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</si>
  <si>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</si>
  <si>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</si>
  <si>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</si>
  <si>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</si>
  <si>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</si>
  <si>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</si>
  <si>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</si>
  <si>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</si>
  <si>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</si>
  <si>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</si>
  <si>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</si>
  <si>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</si>
  <si>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</si>
  <si>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</si>
  <si>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</si>
  <si>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</si>
  <si>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</si>
  <si>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</si>
  <si>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</si>
  <si>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</si>
  <si>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</si>
  <si>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</si>
  <si>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</si>
  <si>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</si>
  <si>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</si>
  <si>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</si>
  <si>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</si>
  <si>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</si>
  <si>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</si>
  <si>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</si>
  <si>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</si>
  <si>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</si>
  <si>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</si>
  <si>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</si>
  <si>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</si>
  <si>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</si>
  <si>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</si>
  <si>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</si>
  <si>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</si>
  <si>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</si>
  <si>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</si>
  <si>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</si>
  <si>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</si>
  <si>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</si>
  <si>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</si>
  <si>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</si>
  <si>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</si>
  <si>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</si>
  <si>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</si>
  <si>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</si>
  <si>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</si>
  <si>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</si>
  <si>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</si>
  <si>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</si>
  <si>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</si>
  <si>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</si>
  <si>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</si>
  <si>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</si>
  <si>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</si>
  <si>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</si>
  <si>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</si>
  <si>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</si>
  <si>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</si>
  <si>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</si>
  <si>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</si>
  <si>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</si>
  <si>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</si>
  <si>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</si>
  <si>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</si>
  <si>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</si>
  <si>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</si>
  <si>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</si>
  <si>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</si>
  <si>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</si>
  <si>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</si>
  <si>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</si>
  <si>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</si>
  <si>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</si>
  <si>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</si>
  <si>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</si>
  <si>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</si>
  <si>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</si>
  <si>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</si>
  <si>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</si>
  <si>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</si>
  <si>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</si>
  <si>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</si>
  <si>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</si>
  <si>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</si>
  <si>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</si>
  <si>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</si>
  <si>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</si>
  <si>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</si>
  <si>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</si>
  <si>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</si>
  <si>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</si>
  <si>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</si>
  <si>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</si>
  <si>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</si>
  <si>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</si>
  <si>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</si>
  <si>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</si>
  <si>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</si>
  <si>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</si>
  <si>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</si>
  <si>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</si>
  <si>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</si>
  <si>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</si>
  <si>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</si>
  <si>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</si>
  <si>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</si>
  <si>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</si>
  <si>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</si>
  <si>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</si>
  <si>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</si>
  <si>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</si>
  <si>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</si>
  <si>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</si>
  <si>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</si>
  <si>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</si>
  <si>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</si>
  <si>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</si>
  <si>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</si>
  <si>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</si>
  <si>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</si>
  <si>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</si>
  <si>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</si>
  <si>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</si>
  <si>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</si>
  <si>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</si>
  <si>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</si>
  <si>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</si>
  <si>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</si>
  <si>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</si>
  <si>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</si>
  <si>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</si>
  <si>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</si>
  <si>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</si>
  <si>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</si>
  <si>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</si>
  <si>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</si>
  <si>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</si>
  <si>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</si>
  <si>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</si>
  <si>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</si>
  <si>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</si>
  <si>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</si>
  <si>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</si>
  <si>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</si>
  <si>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</si>
  <si>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</si>
  <si>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</si>
  <si>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</si>
  <si>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</si>
  <si>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</si>
  <si>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</si>
  <si>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</si>
  <si>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</si>
  <si>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</si>
  <si>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</si>
  <si>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</si>
  <si>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</si>
  <si>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</si>
  <si>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</si>
  <si>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</si>
  <si>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</si>
  <si>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</si>
  <si>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</si>
  <si>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</si>
  <si>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</si>
  <si>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</si>
  <si>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</si>
  <si>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</si>
  <si>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</si>
  <si>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</si>
  <si>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</si>
  <si>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</si>
  <si>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</si>
  <si>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</si>
  <si>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</si>
  <si>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</si>
  <si>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</si>
  <si>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</si>
  <si>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</si>
  <si>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</si>
  <si>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</si>
  <si>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</si>
  <si>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</si>
  <si>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</si>
  <si>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</si>
  <si>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</si>
  <si>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</si>
  <si>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</si>
  <si>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</si>
  <si>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</si>
  <si>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</si>
  <si>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</si>
  <si>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</si>
  <si>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</si>
  <si>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</si>
  <si>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</si>
  <si>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</si>
  <si>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</si>
  <si>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</si>
  <si>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</si>
  <si>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</si>
  <si>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</si>
  <si>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</si>
  <si>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</si>
  <si>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</si>
  <si>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</si>
  <si>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</si>
  <si>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</si>
  <si>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</si>
  <si>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</si>
  <si>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</si>
  <si>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</si>
  <si>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</si>
  <si>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</si>
  <si>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</si>
  <si>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</si>
  <si>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</si>
  <si>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</si>
  <si>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</si>
  <si>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</si>
  <si>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</si>
  <si>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</si>
  <si>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</si>
  <si>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</si>
  <si>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</si>
  <si>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</si>
  <si>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</si>
  <si>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</si>
  <si>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</si>
  <si>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</si>
  <si>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</si>
  <si>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</si>
  <si>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</si>
  <si>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</si>
  <si>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</si>
  <si>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</si>
  <si>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</si>
  <si>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</si>
  <si>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</si>
  <si>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</si>
  <si>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</si>
  <si>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</si>
  <si>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</si>
  <si>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</si>
  <si>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</si>
  <si>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</si>
  <si>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</si>
  <si>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</si>
  <si>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</si>
  <si>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</si>
  <si>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</si>
  <si>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</si>
  <si>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</si>
  <si>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CATHERINE RICARD</t>
  </si>
  <si>
    <t>VANESSA CAUCHIE</t>
  </si>
  <si>
    <t>CLAUDINE CARADONNA</t>
  </si>
  <si>
    <t>ISABELLE GUITTI</t>
  </si>
  <si>
    <t>JEAN-PAUL JUSTINIANO</t>
  </si>
  <si>
    <t>THOMAS ROUSSEL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</si>
  <si>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</si>
  <si>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</si>
  <si>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</si>
  <si>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8:18</t>
  </si>
  <si>
    <t>9:24</t>
  </si>
  <si>
    <t>1:36</t>
  </si>
  <si>
    <t>7:54</t>
  </si>
  <si>
    <t>9:06</t>
  </si>
  <si>
    <t>7:27</t>
  </si>
  <si>
    <t>Try to pay a bit more attention to off-ball play, as many of the corrections related to fouls drawn come from there. Despite that, you did a good game!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</si>
</sst>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18_178_MCO_MAD_E2025</v>
      </c>
      <c r="G1" s="5"/>
      <c r="H1" s="5"/>
      <c r="I1" s="5"/>
      <c r="J1" s="8" t="s">
        <v>707</v>
      </c>
      <c r="K1" s="121" t="s">
        <v>756</v>
      </c>
      <c r="L1" s="121"/>
      <c r="M1" s="122" t="s">
        <v>239</v>
      </c>
      <c r="N1" s="121" t="s">
        <v>757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178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46017.8125</v>
      </c>
      <c r="C3" s="178"/>
      <c r="D3" s="39">
        <v>609</v>
      </c>
      <c r="E3" s="29"/>
      <c r="F3" s="26">
        <f>SUBTOTAL(3,I17:I106)</f>
        <v>7</v>
      </c>
      <c r="G3" s="27">
        <f>IF(OR(D3="",D3=0),"",F3/D3)</f>
        <v>1.1494252873563218E-2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742</v>
      </c>
      <c r="L4" s="5"/>
      <c r="M4" s="185" t="s">
        <v>764</v>
      </c>
      <c r="N4" s="186"/>
      <c r="O4" s="2"/>
      <c r="P4" s="2"/>
      <c r="Q4" s="84" t="s">
        <v>175</v>
      </c>
      <c r="R4" s="94">
        <f>(IF(G3="",0,G3))</f>
        <v>1.1494252873563218E-2</v>
      </c>
      <c r="S4" s="61">
        <f>SUM(I13:M13)</f>
        <v>0</v>
      </c>
      <c r="T4" s="78"/>
      <c r="U4" s="61">
        <f>AC18</f>
        <v>7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1.1494252873563218</v>
      </c>
      <c r="S5" s="70">
        <f t="shared" ref="S5" si="0">S4*S3</f>
        <v>0</v>
      </c>
      <c r="T5" s="92"/>
      <c r="U5" s="70">
        <f t="shared" ref="U5:AG5" si="1">U4*U3</f>
        <v>3.5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749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4.6494252873563218</v>
      </c>
      <c r="N7" s="58"/>
      <c r="O7" s="2"/>
      <c r="P7" s="2"/>
      <c r="Q7" s="86">
        <f>SUM(R5,S5,AC16)</f>
        <v>4.6494252873563218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4.6494252873563218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754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178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7</v>
      </c>
      <c r="J15" s="24">
        <f>SUBTOTAL(3,J17:J106)</f>
        <v>7</v>
      </c>
      <c r="K15" s="24">
        <f>SUBTOTAL(3,K17:K106)</f>
        <v>7</v>
      </c>
      <c r="L15" s="24">
        <f>SUBTOTAL(3,L17:L106)</f>
        <v>7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7</v>
      </c>
      <c r="Z16" s="90" t="s">
        <v>110</v>
      </c>
      <c r="AA16" s="75">
        <f>SUM(AA17:AA24)</f>
        <v>7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7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178</v>
      </c>
      <c r="D17" s="32" t="s">
        <v>758</v>
      </c>
      <c r="E17" s="33">
        <v>1</v>
      </c>
      <c r="F17" s="36">
        <v>4</v>
      </c>
      <c r="G17" s="36">
        <v>2</v>
      </c>
      <c r="H17" s="38" t="str">
        <f>IF(I17="","",$I$14)</f>
        <v>SCOUTING</v>
      </c>
      <c r="I17" s="34">
        <v>26</v>
      </c>
      <c r="J17" s="13" t="s">
        <v>4</v>
      </c>
      <c r="K17" s="13" t="s">
        <v>62</v>
      </c>
      <c r="L17" s="13" t="s">
        <v>5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7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178</v>
      </c>
      <c r="D18" s="32" t="s">
        <v>759</v>
      </c>
      <c r="E18" s="33">
        <v>2</v>
      </c>
      <c r="F18" s="36">
        <v>21</v>
      </c>
      <c r="G18" s="36">
        <v>22</v>
      </c>
      <c r="H18" s="38" t="str">
        <f t="shared" ref="H18:H81" si="8">IF(I18="","",$I$14)</f>
        <v>SCOUTING</v>
      </c>
      <c r="I18" s="34">
        <v>160</v>
      </c>
      <c r="J18" s="13" t="s">
        <v>4</v>
      </c>
      <c r="K18" s="13" t="s">
        <v>62</v>
      </c>
      <c r="L18" s="13" t="s">
        <v>5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6</v>
      </c>
      <c r="AB18" s="66" t="s">
        <v>5</v>
      </c>
      <c r="AC18" s="61">
        <f t="shared" si="5"/>
        <v>7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178</v>
      </c>
      <c r="D19" s="32" t="s">
        <v>760</v>
      </c>
      <c r="E19" s="33">
        <v>2</v>
      </c>
      <c r="F19" s="36">
        <v>38</v>
      </c>
      <c r="G19" s="36">
        <v>36</v>
      </c>
      <c r="H19" s="38" t="str">
        <f t="shared" si="8"/>
        <v>SCOUTING</v>
      </c>
      <c r="I19" s="34">
        <v>287</v>
      </c>
      <c r="J19" s="13" t="s">
        <v>4</v>
      </c>
      <c r="K19" s="13" t="s">
        <v>62</v>
      </c>
      <c r="L19" s="13" t="s">
        <v>5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178</v>
      </c>
      <c r="D20" s="32" t="s">
        <v>760</v>
      </c>
      <c r="E20" s="33">
        <v>2</v>
      </c>
      <c r="F20" s="36">
        <v>38</v>
      </c>
      <c r="G20" s="36">
        <v>36</v>
      </c>
      <c r="H20" s="38" t="str">
        <f t="shared" si="8"/>
        <v>SCOUTING</v>
      </c>
      <c r="I20" s="34">
        <v>287</v>
      </c>
      <c r="J20" s="13" t="s">
        <v>4</v>
      </c>
      <c r="K20" s="13" t="s">
        <v>62</v>
      </c>
      <c r="L20" s="13" t="s">
        <v>5</v>
      </c>
      <c r="M20" s="13" t="s">
        <v>27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178</v>
      </c>
      <c r="D21" s="32" t="s">
        <v>761</v>
      </c>
      <c r="E21" s="33">
        <v>3</v>
      </c>
      <c r="F21" s="36">
        <v>55</v>
      </c>
      <c r="G21" s="36">
        <v>43</v>
      </c>
      <c r="H21" s="38" t="str">
        <f t="shared" si="8"/>
        <v>SCOUTING</v>
      </c>
      <c r="I21" s="34">
        <v>346</v>
      </c>
      <c r="J21" s="13" t="s">
        <v>4</v>
      </c>
      <c r="K21" s="13" t="s">
        <v>63</v>
      </c>
      <c r="L21" s="13" t="s">
        <v>5</v>
      </c>
      <c r="M21" s="13" t="s">
        <v>22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178</v>
      </c>
      <c r="D22" s="32" t="s">
        <v>762</v>
      </c>
      <c r="E22" s="33">
        <v>4</v>
      </c>
      <c r="F22" s="36">
        <v>72</v>
      </c>
      <c r="G22" s="36">
        <v>70</v>
      </c>
      <c r="H22" s="38" t="str">
        <f t="shared" si="8"/>
        <v>SCOUTING</v>
      </c>
      <c r="I22" s="34">
        <v>474</v>
      </c>
      <c r="J22" s="13" t="s">
        <v>4</v>
      </c>
      <c r="K22" s="13" t="s">
        <v>62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178</v>
      </c>
      <c r="D23" s="32" t="s">
        <v>763</v>
      </c>
      <c r="E23" s="33">
        <v>4</v>
      </c>
      <c r="F23" s="36">
        <v>75</v>
      </c>
      <c r="G23" s="36">
        <v>75</v>
      </c>
      <c r="H23" s="38" t="str">
        <f t="shared" si="8"/>
        <v>SCOUTING</v>
      </c>
      <c r="I23" s="34">
        <v>490</v>
      </c>
      <c r="J23" s="13" t="s">
        <v>4</v>
      </c>
      <c r="K23" s="13" t="s">
        <v>62</v>
      </c>
      <c r="L23" s="13" t="s">
        <v>5</v>
      </c>
      <c r="M23" s="13" t="s">
        <v>22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4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REPORT_E2025178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"E2025178"</v>
      </c>
      <c r="F3" s="45" t="str">
        <f t="shared" ref="F3:F16" si="0">""""&amp;B3&amp;"""" &amp; " : " &amp;C3&amp;","</f>
        <v>"name" : "E2025178",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"E178"</v>
      </c>
      <c r="F4" s="45" t="str">
        <f t="shared" si="0"/>
        <v>"cod" : "E178",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178</v>
      </c>
      <c r="F6" s="45" t="str">
        <f t="shared" si="0"/>
        <v>"number" : 178,</v>
      </c>
    </row>
    <row r="7" spans="2:6" x14ac:dyDescent="0.25">
      <c r="B7" s="43" t="s">
        <v>116</v>
      </c>
      <c r="C7" s="43" t="str">
        <f ca="1">""""&amp;TEXT('SCOUT &amp; LOGISTICS'!B3,"dd/mm/aaaa")&amp;""""</f>
        <v>"26/12/Friday"</v>
      </c>
      <c r="F7" s="45" t="str">
        <f t="shared" ca="1" si="0"/>
        <v>"date" : "26/12/Friday",</v>
      </c>
    </row>
    <row r="8" spans="2:6" x14ac:dyDescent="0.25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5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"CATHERINE RICARD"</v>
      </c>
      <c r="F10" s="45" t="str">
        <f t="shared" si="0"/>
        <v>"Data_entry" : "CATHERINE RICARD",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"VANESSA CAUCHIE"</v>
      </c>
      <c r="F11" s="45" t="str">
        <f t="shared" si="0"/>
        <v>"Caller_1" : "VANESSA CAUCHIE",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"CLAUDINE CARADONNA"</v>
      </c>
      <c r="F12" s="45" t="str">
        <f t="shared" si="0"/>
        <v>"Caller_2" : "CLAUDINE CARADONNA",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"ISABELLE GUITTI"</v>
      </c>
      <c r="F13" s="45" t="str">
        <f t="shared" si="0"/>
        <v>"Timerkeeper" : "ISABELLE GUITTI",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"JEAN-PAUL JUSTINIANO"</v>
      </c>
      <c r="F14" s="45" t="str">
        <f t="shared" si="0"/>
        <v>"Shotclock" : "JEAN-PAUL JUSTINIANO",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"THOMAS ROUSSEL"</v>
      </c>
      <c r="F15" s="45" t="str">
        <f t="shared" si="0"/>
        <v>"IRS" : "THOMAS ROUSSEL",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609</v>
      </c>
      <c r="F25" s="45" t="str">
        <f t="shared" ref="F25:F48" si="1">""""&amp;C25&amp;"""" &amp; " : " &amp;D25&amp;","</f>
        <v>"total_actions" : 609,</v>
      </c>
    </row>
    <row r="26" spans="2:6" x14ac:dyDescent="0.25">
      <c r="C26" s="43" t="s">
        <v>132</v>
      </c>
      <c r="D26" s="43">
        <f>'SCOUT &amp; LOGISTICS'!F3</f>
        <v>7</v>
      </c>
      <c r="F26" s="45" t="str">
        <f t="shared" si="1"/>
        <v>"total_correcions" : 7,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7</v>
      </c>
      <c r="F37" s="45" t="str">
        <f t="shared" si="1"/>
        <v>"scoresheet_corrections" : 7,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7</v>
      </c>
      <c r="F39" s="45" t="str">
        <f t="shared" si="1"/>
        <v>"missidentity" : 7,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"Try to pay a bit more attention to off-ball play, as many of the corrections related to fouls drawn come from there. Despite that, you did a good game! Keep it up!"</v>
      </c>
      <c r="F51" s="45" t="str">
        <f>""""&amp;B51&amp;"""" &amp; " : " &amp;C51&amp;","</f>
        <v>"comments" : "Try to pay a bit more attention to off-ball play, as many of the corrections related to fouls drawn come from there. Despite that, you did a good game! Keep it up!",</v>
      </c>
    </row>
    <row r="52" spans="2:6" x14ac:dyDescent="0.25">
      <c r="B52" s="43" t="s">
        <v>153</v>
      </c>
      <c r="C52" s="43" t="str">
        <f>TEXT('SCOUT &amp; LOGISTICS'!F1,"0,0")</f>
        <v>18_178_MCO_MAD_E2025</v>
      </c>
      <c r="F52" s="45" t="str">
        <f>""""&amp;B52&amp;"""" &amp; " : " &amp;C52</f>
        <v>"result" : 18_178_MCO_MAD_E2025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E178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26/12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CATHERINE RICARD</v>
      </c>
      <c r="C8" s="201"/>
      <c r="D8" s="201"/>
      <c r="E8" s="201"/>
      <c r="F8" s="201"/>
      <c r="G8" s="201" t="str">
        <f>IF('SCOUT &amp; LOGISTICS'!D7="","",'SCOUT &amp; LOGISTICS'!D7)</f>
        <v>VANESSA CAUCHIE</v>
      </c>
      <c r="H8" s="201"/>
      <c r="I8" s="201"/>
      <c r="J8" s="201"/>
      <c r="K8" s="201"/>
      <c r="L8" s="201" t="str">
        <f>IF('SCOUT &amp; LOGISTICS'!D8="","",'SCOUT &amp; LOGISTICS'!D8)</f>
        <v>CLAUDINE CARADONNA</v>
      </c>
      <c r="M8" s="201"/>
      <c r="N8" s="201"/>
      <c r="O8" s="201"/>
      <c r="P8" s="201"/>
      <c r="Q8" s="201" t="str">
        <f>IF('SCOUT &amp; LOGISTICS'!D9="","",'SCOUT &amp; LOGISTICS'!D9)</f>
        <v>ISABELLE GUITTI</v>
      </c>
      <c r="R8" s="201"/>
      <c r="S8" s="201"/>
      <c r="T8" s="201"/>
      <c r="U8" s="201"/>
      <c r="V8" s="201" t="str">
        <f>IF('SCOUT &amp; LOGISTICS'!D10="","",'SCOUT &amp; LOGISTICS'!D10)</f>
        <v>JEAN-PAUL JUSTINIANO</v>
      </c>
      <c r="W8" s="201"/>
      <c r="X8" s="201"/>
      <c r="Y8" s="201"/>
      <c r="Z8" s="201"/>
      <c r="AA8" s="201" t="str">
        <f>IF('SCOUT &amp; LOGISTICS'!D11="","",'SCOUT &amp; LOGISTICS'!D11)</f>
        <v>THOMAS ROUSSEL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609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7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1.1494252873563218E-2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6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3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7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7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Try to pay a bit more attention to off-ball play, as many of the corrections related to fouls drawn come from there. Despite that, you did a good game!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4.6494252873563218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BEE4718-75A3-414C-9C1C-BAAE72970F1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2025-12-26T20:42:20Z</cp:lastPrinted>
  <dcterms:created xsi:type="dcterms:W3CDTF">2023-09-19T19:50:35Z</dcterms:created>
  <dcterms:modified xsi:type="dcterms:W3CDTF">2026-01-02T16:44:43Z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