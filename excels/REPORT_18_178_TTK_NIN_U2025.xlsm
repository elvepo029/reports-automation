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2" documentId="8_{ECAC76BD-5B73-4DE6-93E8-6E9D006AABA5}" xr6:coauthVersionLast="47" xr6:coauthVersionMax="47" xr10:uidLastSave="{59760B33-41A6-4EDD-BB63-36EF3DB7C59D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<sst xmlns="http://schemas.openxmlformats.org/spreadsheetml/2006/main" count="3332" uniqueCount="833">
  <si>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</si>
  <si>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</si>
  <si>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</si>
  <si>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</si>
  <si>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</si>
  <si>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</si>
  <si>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</si>
  <si>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</si>
  <si>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</si>
  <si>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</si>
  <si>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</si>
  <si>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</si>
  <si>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</si>
  <si>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</si>
  <si>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</si>
  <si>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</si>
  <si>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</si>
  <si>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</si>
  <si>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</si>
  <si>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</si>
  <si>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</si>
  <si>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</si>
  <si>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</si>
  <si>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</si>
  <si>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</si>
  <si>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</si>
  <si>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</si>
  <si>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</si>
  <si>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</si>
  <si>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</si>
  <si>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</si>
  <si>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</si>
  <si>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</si>
  <si>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</si>
  <si>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</si>
  <si>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</si>
  <si>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</si>
  <si>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</si>
  <si>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</si>
  <si>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</si>
  <si>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</si>
  <si>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</si>
  <si>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</si>
  <si>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</si>
  <si>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</si>
  <si>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</si>
  <si>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</si>
  <si>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</si>
  <si>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</si>
  <si>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</si>
  <si>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</si>
  <si>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</si>
  <si>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</si>
  <si>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</si>
  <si>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</si>
  <si>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</si>
  <si>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</si>
  <si>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</si>
  <si>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</si>
  <si>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</si>
  <si>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</si>
  <si>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</si>
  <si>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</si>
  <si>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</si>
  <si>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</si>
  <si>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</si>
  <si>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</si>
  <si>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</si>
  <si>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</si>
  <si>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</si>
  <si>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</si>
  <si>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</si>
  <si>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</si>
  <si>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</si>
  <si>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</si>
  <si>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</si>
  <si>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</si>
  <si>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</si>
  <si>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</si>
  <si>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</si>
  <si>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</si>
  <si>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</si>
  <si>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</si>
  <si>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</si>
  <si>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</si>
  <si>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</si>
  <si>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</si>
  <si>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</si>
  <si>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</si>
  <si>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</si>
  <si>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</si>
  <si>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</si>
  <si>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</si>
  <si>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</si>
  <si>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</si>
  <si>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</si>
  <si>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</si>
  <si>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</si>
  <si>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</si>
  <si>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</si>
  <si>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</si>
  <si>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</si>
  <si>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</si>
  <si>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</si>
  <si>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</si>
  <si>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</si>
  <si>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</si>
  <si>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</si>
  <si>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</si>
  <si>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</si>
  <si>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</si>
  <si>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</si>
  <si>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</si>
  <si>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</si>
  <si>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</si>
  <si>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</si>
  <si>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</si>
  <si>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</si>
  <si>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</si>
  <si>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</si>
  <si>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</si>
  <si>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</si>
  <si>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</si>
  <si>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</si>
  <si>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</si>
  <si>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</si>
  <si>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</si>
  <si>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</si>
  <si>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</si>
  <si>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</si>
  <si>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</si>
  <si>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</si>
  <si>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</si>
  <si>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</si>
  <si>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</si>
  <si>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</si>
  <si>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</si>
  <si>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</si>
  <si>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</si>
  <si>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</si>
  <si>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</si>
  <si>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</si>
  <si>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</si>
  <si>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</si>
  <si>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</si>
  <si>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</si>
  <si>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</si>
  <si>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</si>
  <si>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</si>
  <si>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</si>
  <si>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</si>
  <si>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</si>
  <si>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</si>
  <si>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</si>
  <si>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</si>
  <si>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</si>
  <si>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</si>
  <si>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</si>
  <si>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</si>
  <si>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</si>
  <si>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</si>
  <si>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</si>
  <si>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</si>
  <si>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</si>
  <si>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</si>
  <si>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</si>
  <si>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</si>
  <si>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</si>
  <si>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</si>
  <si>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</si>
  <si>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</si>
  <si>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</si>
  <si>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</si>
  <si>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</si>
  <si>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</si>
  <si>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</si>
  <si>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</si>
  <si>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</si>
  <si>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</si>
  <si>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</si>
  <si>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</si>
  <si>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</si>
  <si>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</si>
  <si>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</si>
  <si>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</si>
  <si>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</si>
  <si>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</si>
  <si>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</si>
  <si>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</si>
  <si>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</si>
  <si>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</si>
  <si>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</si>
  <si>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</si>
  <si>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</si>
  <si>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</si>
  <si>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</si>
  <si>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</si>
  <si>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</si>
  <si>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</si>
  <si>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</si>
  <si>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</si>
  <si>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</si>
  <si>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</si>
  <si>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</si>
  <si>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</si>
  <si>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</si>
  <si>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</si>
  <si>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</si>
  <si>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</si>
  <si>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</si>
  <si>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</si>
  <si>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</si>
  <si>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</si>
  <si>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</si>
  <si>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</si>
  <si>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</si>
  <si>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</si>
  <si>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</si>
  <si>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</si>
  <si>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</si>
  <si>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</si>
  <si>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</si>
  <si>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</si>
  <si>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</si>
  <si>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</si>
  <si>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</si>
  <si>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</si>
  <si>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</si>
  <si>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</si>
  <si>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</si>
  <si>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</si>
  <si>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</si>
  <si>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</si>
  <si>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</si>
  <si>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</si>
  <si>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</si>
  <si>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</si>
  <si>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</si>
  <si>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</si>
  <si>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</si>
  <si>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</si>
  <si>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</si>
  <si>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</si>
  <si>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</si>
  <si>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</si>
  <si>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</si>
  <si>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</si>
  <si>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</si>
  <si>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</si>
  <si>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</si>
  <si>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</si>
  <si>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</si>
  <si>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</si>
  <si>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</si>
  <si>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</si>
  <si>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</si>
  <si>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</si>
  <si>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</si>
  <si>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</si>
  <si>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</si>
  <si>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</si>
  <si>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</si>
  <si>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</si>
  <si>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</si>
  <si>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</si>
  <si>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</si>
  <si>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</si>
  <si>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</si>
  <si>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</si>
  <si>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</si>
  <si>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</si>
  <si>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</si>
  <si>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</si>
  <si>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</si>
  <si>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</si>
  <si>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</si>
  <si>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</si>
  <si>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</si>
  <si>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</si>
  <si>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</si>
  <si>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</si>
  <si>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</si>
  <si>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</si>
  <si>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</si>
  <si>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</si>
  <si>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</si>
  <si>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</si>
  <si>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</si>
  <si>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</si>
  <si>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</si>
  <si>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</si>
  <si>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</si>
  <si>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</si>
  <si>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</si>
  <si>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</si>
  <si>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</si>
  <si>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</si>
  <si>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</si>
  <si>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</si>
  <si>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</si>
  <si>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</si>
  <si>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</si>
  <si>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</si>
  <si>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</si>
  <si>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</si>
  <si>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</si>
  <si>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</si>
  <si>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</si>
  <si>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</si>
  <si>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</si>
  <si>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</si>
  <si>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</si>
  <si>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</si>
  <si>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</si>
  <si>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</si>
  <si>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</si>
  <si>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</si>
  <si>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</si>
  <si>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</si>
  <si>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</si>
  <si>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</si>
  <si>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</si>
  <si>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</si>
  <si>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</si>
  <si>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</si>
  <si>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</si>
  <si>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</si>
  <si>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</si>
  <si>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</si>
  <si>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</si>
  <si>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</si>
  <si>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</si>
  <si>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</si>
  <si>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</si>
  <si>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</si>
  <si>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</si>
  <si>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</si>
  <si>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</si>
  <si>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</si>
  <si>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</si>
  <si>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</si>
  <si>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</si>
  <si>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</si>
  <si>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</si>
  <si>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</si>
  <si>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</si>
  <si>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</si>
  <si>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</si>
  <si>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</si>
  <si>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</si>
  <si>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</si>
  <si>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</si>
  <si>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</si>
  <si>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</si>
  <si>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</si>
  <si>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</si>
  <si>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</si>
  <si>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</si>
  <si>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</si>
  <si>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</si>
  <si>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</si>
  <si>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</si>
  <si>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</si>
  <si>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</si>
  <si>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</si>
  <si>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</si>
  <si>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</si>
  <si>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</si>
  <si>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</si>
  <si>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</si>
  <si>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</si>
  <si>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</si>
  <si>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</si>
  <si>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</si>
  <si>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</si>
  <si>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</si>
  <si>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</si>
  <si>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</si>
  <si>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</si>
  <si>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</si>
  <si>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</si>
  <si>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</si>
  <si>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</si>
  <si>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</si>
  <si>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</si>
  <si>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</si>
  <si>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</si>
  <si>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</si>
  <si>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</si>
  <si>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</si>
  <si>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</si>
  <si>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</si>
  <si>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</si>
  <si>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</si>
  <si>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</si>
  <si>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</si>
  <si>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</si>
  <si>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</si>
  <si>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</si>
  <si>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</si>
  <si>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</si>
  <si>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</si>
  <si>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</si>
  <si>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</si>
  <si>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</si>
  <si>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</si>
  <si>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</si>
  <si>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</si>
  <si>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</si>
  <si>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</si>
  <si>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</si>
  <si>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</si>
  <si>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</si>
  <si>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</si>
  <si>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</si>
  <si>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</si>
  <si>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</si>
  <si>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</si>
  <si>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</si>
  <si>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</si>
  <si>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</si>
  <si>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</si>
  <si>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</si>
  <si>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</si>
  <si>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</si>
  <si>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</si>
  <si>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</si>
  <si>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</si>
  <si>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</si>
  <si>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</si>
  <si>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</si>
  <si>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</si>
  <si>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</si>
  <si>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</si>
  <si>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</si>
  <si>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</si>
  <si>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</si>
  <si>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</si>
  <si>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</si>
  <si>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</si>
  <si>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</si>
  <si>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</si>
  <si>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</si>
  <si>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</si>
  <si>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</si>
  <si>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</si>
  <si>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</si>
  <si>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</si>
  <si>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</si>
  <si>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</si>
  <si>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</si>
  <si>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</si>
  <si>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</si>
  <si>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</si>
  <si>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</si>
  <si>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</si>
  <si>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</si>
  <si>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</si>
  <si>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</si>
  <si>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</si>
  <si>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</si>
  <si>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</si>
  <si>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</si>
  <si>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</si>
  <si>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</si>
  <si>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</si>
  <si>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</si>
  <si>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</si>
  <si>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</si>
  <si>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</si>
  <si>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</si>
  <si>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</si>
  <si>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</si>
  <si>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</si>
  <si>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</si>
  <si>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</si>
  <si>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</si>
  <si>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</si>
  <si>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</si>
  <si>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</si>
  <si>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</si>
  <si>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</si>
  <si>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</si>
  <si>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</si>
  <si>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</si>
  <si>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</si>
  <si>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</si>
  <si>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</si>
  <si>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</si>
  <si>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</si>
  <si>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</si>
  <si>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</si>
  <si>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</si>
  <si>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</si>
  <si>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</si>
  <si>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</si>
  <si>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</si>
  <si>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</si>
  <si>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</si>
  <si>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</si>
  <si>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</si>
  <si>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</si>
  <si>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</si>
  <si>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</si>
  <si>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</si>
  <si>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</si>
  <si>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</si>
  <si>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</si>
  <si>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</si>
  <si>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</si>
  <si>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</si>
  <si>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</si>
  <si>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</si>
  <si>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</si>
  <si>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</si>
  <si>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</si>
  <si>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</si>
  <si>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</si>
  <si>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</si>
  <si>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</si>
  <si>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</si>
  <si>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</si>
  <si>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</si>
  <si>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</si>
  <si>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</si>
  <si>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</si>
  <si>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</si>
  <si>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</si>
  <si>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</si>
  <si>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</si>
  <si>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</si>
  <si>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</si>
  <si>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</si>
  <si>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</si>
  <si>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</si>
  <si>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</si>
  <si>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</si>
  <si>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</si>
  <si>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</si>
  <si>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</si>
  <si>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</si>
  <si>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</si>
  <si>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</si>
  <si>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</si>
  <si>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</si>
  <si>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</si>
  <si>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</si>
  <si>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</si>
  <si>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</si>
  <si>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</si>
  <si>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</si>
  <si>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</si>
  <si>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</si>
  <si>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</si>
  <si>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</si>
  <si>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</si>
  <si>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</si>
  <si>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</si>
  <si>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</si>
  <si>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</si>
  <si>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</si>
  <si>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</si>
  <si>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</si>
  <si>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</si>
  <si>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</si>
  <si>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</si>
  <si>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</si>
  <si>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</si>
  <si>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</si>
  <si>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</si>
  <si>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</si>
  <si>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</si>
  <si>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</si>
  <si>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</si>
  <si>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</si>
  <si>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</si>
  <si>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</si>
  <si>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</si>
  <si>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</si>
  <si>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</si>
  <si>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</si>
  <si>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</si>
  <si>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</si>
  <si>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</si>
  <si>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</si>
  <si>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</si>
  <si>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</si>
  <si>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</si>
  <si>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</si>
  <si>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</si>
  <si>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</si>
  <si>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</si>
  <si>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</si>
  <si>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</si>
  <si>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</si>
  <si>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</si>
  <si>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</si>
  <si>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</si>
  <si>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</si>
  <si>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</si>
  <si>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</si>
  <si>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</si>
  <si>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</si>
  <si>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</si>
  <si>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</si>
  <si>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</si>
  <si>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</si>
  <si>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</si>
  <si>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</si>
  <si>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</si>
  <si>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</si>
  <si>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</si>
  <si>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</si>
  <si>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</si>
  <si>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</si>
  <si>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</si>
  <si>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</si>
  <si>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</si>
  <si>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</si>
  <si>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</si>
  <si>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</si>
  <si>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</si>
  <si>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</si>
  <si>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</si>
  <si>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</si>
  <si>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</si>
  <si>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</si>
  <si>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</si>
  <si>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</si>
  <si>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</si>
  <si>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</si>
  <si>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</si>
  <si>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</si>
  <si>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</si>
  <si>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</si>
  <si>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</si>
  <si>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</si>
  <si>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</si>
  <si>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</si>
  <si>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</si>
  <si>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</si>
  <si>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</si>
  <si>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</si>
  <si>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</si>
  <si>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</si>
  <si>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</si>
  <si>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</si>
  <si>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</si>
  <si>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</si>
  <si>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</si>
  <si>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</si>
  <si>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</si>
  <si>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</si>
  <si>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</si>
  <si>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</si>
  <si>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</si>
  <si>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</si>
  <si>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</si>
  <si>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</si>
  <si>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</si>
  <si>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</si>
  <si>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</si>
  <si>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</si>
  <si>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</si>
  <si>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</si>
  <si>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</si>
  <si>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</si>
  <si>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</si>
  <si>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</si>
  <si>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</si>
  <si>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</si>
  <si>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</si>
  <si>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</si>
  <si>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</si>
  <si>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</si>
  <si>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</si>
  <si>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</si>
  <si>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</si>
  <si>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</si>
  <si>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</si>
  <si>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</si>
  <si>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</si>
  <si>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</si>
  <si>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</si>
  <si>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</si>
  <si>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</si>
  <si>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</si>
  <si>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</si>
  <si>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</si>
  <si>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</si>
  <si>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</si>
  <si>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</si>
  <si>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</si>
  <si>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</si>
  <si>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</si>
  <si>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</si>
  <si>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</si>
  <si>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</si>
  <si>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</si>
  <si>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</si>
  <si>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</si>
  <si>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</si>
  <si>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</si>
  <si>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</si>
  <si>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</si>
  <si>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</si>
  <si>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</si>
  <si>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</si>
  <si>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</si>
  <si>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</si>
  <si>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</si>
  <si>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</si>
  <si>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</si>
  <si>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</si>
  <si>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</si>
  <si>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</si>
  <si>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</si>
  <si>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</si>
  <si>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</si>
  <si>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</si>
  <si>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</si>
  <si>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</si>
  <si>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</si>
  <si>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</si>
  <si>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</si>
  <si>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</si>
  <si>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</si>
  <si>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</si>
  <si>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</si>
  <si>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</si>
  <si>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</si>
  <si>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</si>
  <si>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</si>
  <si>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</si>
  <si>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</si>
  <si>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</si>
  <si>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</si>
  <si>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</si>
  <si>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</si>
  <si>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</si>
  <si>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</si>
  <si>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</si>
  <si>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</si>
  <si>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</si>
  <si>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</si>
  <si>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</si>
  <si>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</si>
  <si>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</si>
  <si>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</si>
  <si>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</si>
  <si>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</si>
  <si>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</si>
  <si>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</si>
  <si>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</si>
  <si>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</si>
  <si>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</si>
  <si>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</si>
  <si>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</si>
  <si>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</si>
  <si>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</si>
  <si>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</si>
  <si>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</si>
  <si>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</si>
  <si>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</si>
  <si>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</si>
  <si>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</si>
  <si>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</si>
  <si>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</si>
  <si>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</si>
  <si>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</si>
  <si>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</si>
  <si>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</si>
  <si>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</si>
  <si>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</si>
  <si>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</si>
  <si>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</si>
  <si>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</si>
  <si>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</si>
  <si>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</si>
  <si>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</si>
  <si>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</si>
  <si>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</si>
  <si>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</si>
  <si>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</si>
  <si>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</si>
  <si>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</si>
  <si>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</si>
  <si>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</si>
  <si>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</si>
  <si>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</si>
  <si>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</si>
  <si>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</si>
  <si>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</si>
  <si>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</si>
  <si>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</si>
  <si>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</si>
  <si>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</si>
  <si>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</si>
  <si>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</si>
  <si>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</si>
  <si>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</si>
  <si>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</si>
  <si>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</si>
  <si>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</si>
  <si>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</si>
  <si>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</si>
  <si>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</si>
  <si>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</si>
  <si>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</si>
  <si>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</si>
  <si>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</si>
  <si>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</si>
  <si>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</si>
  <si>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</si>
  <si>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</si>
  <si>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</si>
  <si>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</si>
  <si>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</si>
  <si>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</si>
  <si>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</si>
  <si>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</si>
  <si>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</si>
  <si>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</si>
  <si>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</si>
  <si>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</si>
  <si>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</si>
  <si>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</si>
  <si>
    <t>MERIC AKAR</t>
  </si>
  <si>
    <t>FATIH ASLAN</t>
  </si>
  <si>
    <t>ALI MURAT SUNGUR</t>
  </si>
  <si>
    <t>FATIH SEN</t>
  </si>
  <si>
    <t>HECTOR GUILLEN</t>
  </si>
  <si>
    <t>Very good game!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</si>
</sst>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18_178_TTK_NIN_U2025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46064.791666666664</v>
      </c>
      <c r="C3" s="178"/>
      <c r="D3" s="39">
        <v>581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Turk Telekom Ankara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742</v>
      </c>
      <c r="L4" s="5"/>
      <c r="M4" s="185" t="s">
        <v>832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NINERS Chemnitz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178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REPORT_U2025178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"U2025178"</v>
      </c>
      <c r="F3" s="45" t="str">
        <f t="shared" ref="F3:F16" si="0">""""&amp;B3&amp;"""" &amp; " : " &amp;C3&amp;","</f>
        <v>"name" : "U2025178",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"U178"</v>
      </c>
      <c r="F4" s="45" t="str">
        <f t="shared" si="0"/>
        <v>"cod" : "U178",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178</v>
      </c>
      <c r="F6" s="45" t="str">
        <f t="shared" si="0"/>
        <v>"number" : 178,</v>
      </c>
    </row>
    <row r="7" spans="2:6" x14ac:dyDescent="0.25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"ALI MURAT SUNGUR"</v>
      </c>
      <c r="F13" s="45" t="str">
        <f t="shared" si="0"/>
        <v>"Timerkeeper" : "ALI MURAT SUNGUR",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"FATIH SEN"</v>
      </c>
      <c r="F14" s="45" t="str">
        <f t="shared" si="0"/>
        <v>"Shotclock" : "FATIH 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581</v>
      </c>
      <c r="F25" s="45" t="str">
        <f t="shared" ref="F25:F48" si="1">""""&amp;C25&amp;"""" &amp; " : " &amp;D25&amp;","</f>
        <v>"total_actions" : 581,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game! Keep it up!"</v>
      </c>
      <c r="F51" s="45" t="str">
        <f>""""&amp;B51&amp;"""" &amp; " : " &amp;C51&amp;","</f>
        <v>"comments" : "Very good game! Keep it up!",</v>
      </c>
    </row>
    <row r="52" spans="2:6" x14ac:dyDescent="0.25">
      <c r="B52" s="43" t="s">
        <v>153</v>
      </c>
      <c r="C52" s="43" t="str">
        <f>TEXT('SCOUT &amp; LOGISTICS'!F1,"0,0")</f>
        <v>18_178_TTK_NIN_U2025</v>
      </c>
      <c r="F52" s="45" t="str">
        <f>""""&amp;B52&amp;"""" &amp; " : " &amp;C52</f>
        <v>"result" : 18_178_TTK_NIN_U2025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U178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11/02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Turk Telekom Ankara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Niners Chemnitz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MERIC AKAR</v>
      </c>
      <c r="H8" s="201"/>
      <c r="I8" s="201"/>
      <c r="J8" s="201"/>
      <c r="K8" s="201"/>
      <c r="L8" s="201" t="str">
        <f>IF('SCOUT &amp; LOGISTICS'!D8="","",'SCOUT &amp; LOGISTICS'!D8)</f>
        <v>FATIH ASLAN</v>
      </c>
      <c r="M8" s="201"/>
      <c r="N8" s="201"/>
      <c r="O8" s="201"/>
      <c r="P8" s="201"/>
      <c r="Q8" s="201" t="str">
        <f>IF('SCOUT &amp; LOGISTICS'!D9="","",'SCOUT &amp; LOGISTICS'!D9)</f>
        <v>ALI MURAT SUNGUR</v>
      </c>
      <c r="R8" s="201"/>
      <c r="S8" s="201"/>
      <c r="T8" s="201"/>
      <c r="U8" s="201"/>
      <c r="V8" s="201" t="str">
        <f>IF('SCOUT &amp; LOGISTICS'!D10="","",'SCOUT &amp; LOGISTICS'!D10)</f>
        <v>FATIH SEN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game!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C4C72437-EBA1-414F-88AB-28ABBFFF55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2026-03-05T16:36:38Z</cp:lastPrinted>
  <dcterms:created xsi:type="dcterms:W3CDTF">2023-09-19T19:50:35Z</dcterms:created>
  <dcterms:modified xsi:type="dcterms:W3CDTF">2026-03-05T16:36:47Z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