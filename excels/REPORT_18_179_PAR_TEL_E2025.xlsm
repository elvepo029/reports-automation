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25" documentId="8_{9CCA5537-DC40-4151-A724-A6AF77AE2331}" xr6:coauthVersionLast="47" xr6:coauthVersionMax="47" xr10:uidLastSave="{A63488FE-29CF-423D-9698-6D3F7F5AAA00}"/>
  <bookViews>
    <workbookView xWindow="30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<sst xmlns="http://schemas.openxmlformats.org/spreadsheetml/2006/main" count="3250" uniqueCount="758">
  <si>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</si>
  <si>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</si>
  <si>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</si>
  <si>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</si>
  <si>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</si>
  <si>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</si>
  <si>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</si>
  <si>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</si>
  <si>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</si>
  <si>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</si>
  <si>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</si>
  <si>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</si>
  <si>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</si>
  <si>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</si>
  <si>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</si>
  <si>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</si>
  <si>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</si>
  <si>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</si>
  <si>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</si>
  <si>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</si>
  <si>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</si>
  <si>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</si>
  <si>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</si>
  <si>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</si>
  <si>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</si>
  <si>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</si>
  <si>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</si>
  <si>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</si>
  <si>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</si>
  <si>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</si>
  <si>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</si>
  <si>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</si>
  <si>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</si>
  <si>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</si>
  <si>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</si>
  <si>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</si>
  <si>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</si>
  <si>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</si>
  <si>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</si>
  <si>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</si>
  <si>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</si>
  <si>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</si>
  <si>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</si>
  <si>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</si>
  <si>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</si>
  <si>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</si>
  <si>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</si>
  <si>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</si>
  <si>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</si>
  <si>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</si>
  <si>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</si>
  <si>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</si>
  <si>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</si>
  <si>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</si>
  <si>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</si>
  <si>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</si>
  <si>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</si>
  <si>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</si>
  <si>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</si>
  <si>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</si>
  <si>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</si>
  <si>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</si>
  <si>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</si>
  <si>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</si>
  <si>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</si>
  <si>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</si>
  <si>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</si>
  <si>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</si>
  <si>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</si>
  <si>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</si>
  <si>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</si>
  <si>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</si>
  <si>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</si>
  <si>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</si>
  <si>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</si>
  <si>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</si>
  <si>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</si>
  <si>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</si>
  <si>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</si>
  <si>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</si>
  <si>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</si>
  <si>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</si>
  <si>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</si>
  <si>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</si>
  <si>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</si>
  <si>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</si>
  <si>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</si>
  <si>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</si>
  <si>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</si>
  <si>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</si>
  <si>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</si>
  <si>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</si>
  <si>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</si>
  <si>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</si>
  <si>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</si>
  <si>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</si>
  <si>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</si>
  <si>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</si>
  <si>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</si>
  <si>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</si>
  <si>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</si>
  <si>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</si>
  <si>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</si>
  <si>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</si>
  <si>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</si>
  <si>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</si>
  <si>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</si>
  <si>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</si>
  <si>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</si>
  <si>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</si>
  <si>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</si>
  <si>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</si>
  <si>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</si>
  <si>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</si>
  <si>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</si>
  <si>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</si>
  <si>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</si>
  <si>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</si>
  <si>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</si>
  <si>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</si>
  <si>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</si>
  <si>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</si>
  <si>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</si>
  <si>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</si>
  <si>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</si>
  <si>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</si>
  <si>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</si>
  <si>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</si>
  <si>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</si>
  <si>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</si>
  <si>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</si>
  <si>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</si>
  <si>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</si>
  <si>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</si>
  <si>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</si>
  <si>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</si>
  <si>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</si>
  <si>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</si>
  <si>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</si>
  <si>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</si>
  <si>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</si>
  <si>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</si>
  <si>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</si>
  <si>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</si>
  <si>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</si>
  <si>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</si>
  <si>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</si>
  <si>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</si>
  <si>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</si>
  <si>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</si>
  <si>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</si>
  <si>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</si>
  <si>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</si>
  <si>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</si>
  <si>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</si>
  <si>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</si>
  <si>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</si>
  <si>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</si>
  <si>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</si>
  <si>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</si>
  <si>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</si>
  <si>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</si>
  <si>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</si>
  <si>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</si>
  <si>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</si>
  <si>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</si>
  <si>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</si>
  <si>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</si>
  <si>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</si>
  <si>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</si>
  <si>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</si>
  <si>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</si>
  <si>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</si>
  <si>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</si>
  <si>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</si>
  <si>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</si>
  <si>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</si>
  <si>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</si>
  <si>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</si>
  <si>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</si>
  <si>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</si>
  <si>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</si>
  <si>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</si>
  <si>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</si>
  <si>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</si>
  <si>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</si>
  <si>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</si>
  <si>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</si>
  <si>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</si>
  <si>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</si>
  <si>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</si>
  <si>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</si>
  <si>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</si>
  <si>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</si>
  <si>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</si>
  <si>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</si>
  <si>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</si>
  <si>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</si>
  <si>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</si>
  <si>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</si>
  <si>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</si>
  <si>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</si>
  <si>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</si>
  <si>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</si>
  <si>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</si>
  <si>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</si>
  <si>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</si>
  <si>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</si>
  <si>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</si>
  <si>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</si>
  <si>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</si>
  <si>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</si>
  <si>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</si>
  <si>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</si>
  <si>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</si>
  <si>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</si>
  <si>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</si>
  <si>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</si>
  <si>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</si>
  <si>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</si>
  <si>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</si>
  <si>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</si>
  <si>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</si>
  <si>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</si>
  <si>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</si>
  <si>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</si>
  <si>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</si>
  <si>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</si>
  <si>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</si>
  <si>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</si>
  <si>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</si>
  <si>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</si>
  <si>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</si>
  <si>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</si>
  <si>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</si>
  <si>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</si>
  <si>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</si>
  <si>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</si>
  <si>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</si>
  <si>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</si>
  <si>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</si>
  <si>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</si>
  <si>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</si>
  <si>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</si>
  <si>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</si>
  <si>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</si>
  <si>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</si>
  <si>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</si>
  <si>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</si>
  <si>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</si>
  <si>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</si>
  <si>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</si>
  <si>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</si>
  <si>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</si>
  <si>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</si>
  <si>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</si>
  <si>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</si>
  <si>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</si>
  <si>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</si>
  <si>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</si>
  <si>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</si>
  <si>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</si>
  <si>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</si>
  <si>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</si>
  <si>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</si>
  <si>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</si>
  <si>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</si>
  <si>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</si>
  <si>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</si>
  <si>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</si>
  <si>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</si>
  <si>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</si>
  <si>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</si>
  <si>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</si>
  <si>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</si>
  <si>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</si>
  <si>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</si>
  <si>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</si>
  <si>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</si>
  <si>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</si>
  <si>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</si>
  <si>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</si>
  <si>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</si>
  <si>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</si>
  <si>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</si>
  <si>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</si>
  <si>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</si>
  <si>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</si>
  <si>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</si>
  <si>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</si>
  <si>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</si>
  <si>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</si>
  <si>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</si>
  <si>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</si>
  <si>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</si>
  <si>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</si>
  <si>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</si>
  <si>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</si>
  <si>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</si>
  <si>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</si>
  <si>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</si>
  <si>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</si>
  <si>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</si>
  <si>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</si>
  <si>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</si>
  <si>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</si>
  <si>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</si>
  <si>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</si>
  <si>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</si>
  <si>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</si>
  <si>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</si>
  <si>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</si>
  <si>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</si>
  <si>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</si>
  <si>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</si>
  <si>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</si>
  <si>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</si>
  <si>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</si>
  <si>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</si>
  <si>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</si>
  <si>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</si>
  <si>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</si>
  <si>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</si>
  <si>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</si>
  <si>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</si>
  <si>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</si>
  <si>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</si>
  <si>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</si>
  <si>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</si>
  <si>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</si>
  <si>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</si>
  <si>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</si>
  <si>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</si>
  <si>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</si>
  <si>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</si>
  <si>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</si>
  <si>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</si>
  <si>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</si>
  <si>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</si>
  <si>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</si>
  <si>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</si>
  <si>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</si>
  <si>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</si>
  <si>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</si>
  <si>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</si>
  <si>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</si>
  <si>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</si>
  <si>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</si>
  <si>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</si>
  <si>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</si>
  <si>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</si>
  <si>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</si>
  <si>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</si>
  <si>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</si>
  <si>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</si>
  <si>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</si>
  <si>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</si>
  <si>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</si>
  <si>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</si>
  <si>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</si>
  <si>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</si>
  <si>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</si>
  <si>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</si>
  <si>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</si>
  <si>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</si>
  <si>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</si>
  <si>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</si>
  <si>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</si>
  <si>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</si>
  <si>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</si>
  <si>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</si>
  <si>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</si>
  <si>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</si>
  <si>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</si>
  <si>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</si>
  <si>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</si>
  <si>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</si>
  <si>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</si>
  <si>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</si>
  <si>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</si>
  <si>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</si>
  <si>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</si>
  <si>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</si>
  <si>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</si>
  <si>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</si>
  <si>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</si>
  <si>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</si>
  <si>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</si>
  <si>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</si>
  <si>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</si>
  <si>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</si>
  <si>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</si>
  <si>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</si>
  <si>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</si>
  <si>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</si>
  <si>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</si>
  <si>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</si>
  <si>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</si>
  <si>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</si>
  <si>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</si>
  <si>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</si>
  <si>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</si>
  <si>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</si>
  <si>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</si>
  <si>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</si>
  <si>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</si>
  <si>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</si>
  <si>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</si>
  <si>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</si>
  <si>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</si>
  <si>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</si>
  <si>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</si>
  <si>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</si>
  <si>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</si>
  <si>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</si>
  <si>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</si>
  <si>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</si>
  <si>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</si>
  <si>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</si>
  <si>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</si>
  <si>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</si>
  <si>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</si>
  <si>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</si>
  <si>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</si>
  <si>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</si>
  <si>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</si>
  <si>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</si>
  <si>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</si>
  <si>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</si>
  <si>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</si>
  <si>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</si>
  <si>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</si>
  <si>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</si>
  <si>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</si>
  <si>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</si>
  <si>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</si>
  <si>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</si>
  <si>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</si>
  <si>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</si>
  <si>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</si>
  <si>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</si>
  <si>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</si>
  <si>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</si>
  <si>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</si>
  <si>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</si>
  <si>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</si>
  <si>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</si>
  <si>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</si>
  <si>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</si>
  <si>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</si>
  <si>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</si>
  <si>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</si>
  <si>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</si>
  <si>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</si>
  <si>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</si>
  <si>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</si>
  <si>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</si>
  <si>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</si>
  <si>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</si>
  <si>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</si>
  <si>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</si>
  <si>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</si>
  <si>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</si>
  <si>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</si>
  <si>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</si>
  <si>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</si>
  <si>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</si>
  <si>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</si>
  <si>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</si>
  <si>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</si>
  <si>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</si>
  <si>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</si>
  <si>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</si>
  <si>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</si>
  <si>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</si>
  <si>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</si>
  <si>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</si>
  <si>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</si>
  <si>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</si>
  <si>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</si>
  <si>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</si>
  <si>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</si>
  <si>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</si>
  <si>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</si>
  <si>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</si>
  <si>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</si>
  <si>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</si>
  <si>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</si>
  <si>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</si>
  <si>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</si>
  <si>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</si>
  <si>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</si>
  <si>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</si>
  <si>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</si>
  <si>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</si>
  <si>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</si>
  <si>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</si>
  <si>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</si>
  <si>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</si>
  <si>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</si>
  <si>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</si>
  <si>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</si>
  <si>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</si>
  <si>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</si>
  <si>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</si>
  <si>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</si>
  <si>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</si>
  <si>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</si>
  <si>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</si>
  <si>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</si>
  <si>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</si>
  <si>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</si>
  <si>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</si>
  <si>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</si>
  <si>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</si>
  <si>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</si>
  <si>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</si>
  <si>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</si>
  <si>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</si>
  <si>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</si>
  <si>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</si>
  <si>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</si>
  <si>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</si>
  <si>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</si>
  <si>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</si>
  <si>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</si>
  <si>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</si>
  <si>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</si>
  <si>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</si>
  <si>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</si>
  <si>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</si>
  <si>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</si>
  <si>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</si>
  <si>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</si>
  <si>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</si>
  <si>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</si>
  <si>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</si>
  <si>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</si>
  <si>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</si>
  <si>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</si>
  <si>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</si>
  <si>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</si>
  <si>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</si>
  <si>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</si>
  <si>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</si>
  <si>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</si>
  <si>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</si>
  <si>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</si>
  <si>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</si>
  <si>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</si>
  <si>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</si>
  <si>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</si>
  <si>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</si>
  <si>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</si>
  <si>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</si>
  <si>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</si>
  <si>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</si>
  <si>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</si>
  <si>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</si>
  <si>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</si>
  <si>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</si>
  <si>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</si>
  <si>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</si>
  <si>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</si>
  <si>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</si>
  <si>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</si>
  <si>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</si>
  <si>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</si>
  <si>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</si>
  <si>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</si>
  <si>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</si>
  <si>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</si>
  <si>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</si>
  <si>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</si>
  <si>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</si>
  <si>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</si>
  <si>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</si>
  <si>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</si>
  <si>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</si>
  <si>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</si>
  <si>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</si>
  <si>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</si>
  <si>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</si>
  <si>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</si>
  <si>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</si>
  <si>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</si>
  <si>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</si>
  <si>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</si>
  <si>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</si>
  <si>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</si>
  <si>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</si>
  <si>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</si>
  <si>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</si>
  <si>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</si>
  <si>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</si>
  <si>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</si>
  <si>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</si>
  <si>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</si>
  <si>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</si>
  <si>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</si>
  <si>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</si>
  <si>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</si>
  <si>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</si>
  <si>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</si>
  <si>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</si>
  <si>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</si>
  <si>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</si>
  <si>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</si>
  <si>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</si>
  <si>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</si>
  <si>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</si>
  <si>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</si>
  <si>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</si>
  <si>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</si>
  <si>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</si>
  <si>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</si>
  <si>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</si>
  <si>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</si>
  <si>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</si>
  <si>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</si>
  <si>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</si>
  <si>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</si>
  <si>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</si>
  <si>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</si>
  <si>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</si>
  <si>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</si>
  <si>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</si>
  <si>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</si>
  <si>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</si>
  <si>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</si>
  <si>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</si>
  <si>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</si>
  <si>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</si>
  <si>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</si>
  <si>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</si>
  <si>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</si>
  <si>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</si>
  <si>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</si>
  <si>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</si>
  <si>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</si>
  <si>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</si>
  <si>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</si>
  <si>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</si>
  <si>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</si>
  <si>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</si>
  <si>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</si>
  <si>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</si>
  <si>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</si>
  <si>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</si>
  <si>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</si>
  <si>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</si>
  <si>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</si>
  <si>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</si>
  <si>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</si>
  <si>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</si>
  <si>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</si>
  <si>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</si>
  <si>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</si>
  <si>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</si>
  <si>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</si>
  <si>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</si>
  <si>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</si>
  <si>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</si>
  <si>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</si>
  <si>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</si>
  <si>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</si>
  <si>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</si>
  <si>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</si>
  <si>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</si>
  <si>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</si>
  <si>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</si>
  <si>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</si>
  <si>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</si>
  <si>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</si>
  <si>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</si>
  <si>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</si>
  <si>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</si>
  <si>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</si>
  <si>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</si>
  <si>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</si>
  <si>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</si>
  <si>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</si>
  <si>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</si>
  <si>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</si>
  <si>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</si>
  <si>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</si>
  <si>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</si>
  <si>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</si>
  <si>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</si>
  <si>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</si>
  <si>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</si>
  <si>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</si>
  <si>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</si>
  <si>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</si>
  <si>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</si>
  <si>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</si>
  <si>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</si>
  <si>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</si>
  <si>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</si>
  <si>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</si>
  <si>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</si>
  <si>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</si>
  <si>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</si>
  <si>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</si>
  <si>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</si>
  <si>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</si>
  <si>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</si>
  <si>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</si>
  <si>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</si>
  <si>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</si>
  <si>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</si>
  <si>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</si>
  <si>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</si>
  <si>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</si>
  <si>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</si>
  <si>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</si>
  <si>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</si>
  <si>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</si>
  <si>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</si>
  <si>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</si>
  <si>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</si>
  <si>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</si>
  <si>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</si>
  <si>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</si>
  <si>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</si>
  <si>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</si>
  <si>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</si>
  <si>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</si>
  <si>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</si>
  <si>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</si>
  <si>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</si>
  <si>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</si>
  <si>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</si>
  <si>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</si>
  <si>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</si>
  <si>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</si>
  <si>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</si>
  <si>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</si>
  <si>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</si>
  <si>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</si>
  <si>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</si>
  <si>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</si>
  <si>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</si>
  <si>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</si>
  <si>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</si>
  <si>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</si>
  <si>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</si>
  <si>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</si>
  <si>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</si>
  <si>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C:\Users\eloi.verge\OneDrive - EUROLEAGUE\Desktop\GAME REPORTS\25-26</t>
  </si>
  <si>
    <t>MILOS ANTONIJEVIC</t>
  </si>
  <si>
    <t>OGNJEN MARINOVIC</t>
  </si>
  <si>
    <t>SONJA STANKOVIC</t>
  </si>
  <si>
    <t>IVANA PRPA</t>
  </si>
  <si>
    <t>BILJANA KOSTRES</t>
  </si>
  <si>
    <t>ELOI VERGE</t>
  </si>
  <si>
    <t>01:21</t>
  </si>
  <si>
    <t>Really good performance in both scouting and comunicating. Keep it up!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</si>
</sst>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5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5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M4" sqref="M4:N6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18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18_179_PAR_TEL_E2025</v>
      </c>
      <c r="G1" s="5"/>
      <c r="H1" s="5"/>
      <c r="I1" s="5"/>
      <c r="J1" s="8" t="s">
        <v>707</v>
      </c>
      <c r="K1" s="121" t="s">
        <v>749</v>
      </c>
      <c r="L1" s="121"/>
      <c r="M1" s="122" t="s">
        <v>239</v>
      </c>
      <c r="N1" s="121" t="s">
        <v>749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179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46017.75</v>
      </c>
      <c r="C3" s="157"/>
      <c r="D3" s="39">
        <v>582</v>
      </c>
      <c r="E3" s="29"/>
      <c r="F3" s="26">
        <f>SUBTOTAL(3,I17:I106)</f>
        <v>1</v>
      </c>
      <c r="G3" s="27">
        <f>IF(OR(D3="",D3=0),"",F3/D3)</f>
        <v>1.718213058419244E-3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Partizan Mozzart Bet Belgrade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PAR</v>
      </c>
      <c r="I4" s="5"/>
      <c r="J4" s="119" t="s">
        <v>714</v>
      </c>
      <c r="K4" s="54" t="s">
        <v>742</v>
      </c>
      <c r="L4" s="5"/>
      <c r="M4" s="167" t="s">
        <v>757</v>
      </c>
      <c r="N4" s="168"/>
      <c r="O4" s="2"/>
      <c r="P4" s="2"/>
      <c r="Q4" s="84" t="s">
        <v>175</v>
      </c>
      <c r="R4" s="94">
        <f>(IF(G3="",0,G3))</f>
        <v>1.718213058419244E-3</v>
      </c>
      <c r="S4" s="61">
        <f>SUM(I13:M13)</f>
        <v>0</v>
      </c>
      <c r="T4" s="78"/>
      <c r="U4" s="61">
        <f>AC18</f>
        <v>1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Maccabi Rapyd Tel Aviv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TEL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0.1718213058419244</v>
      </c>
      <c r="S5" s="70">
        <f t="shared" ref="S5" si="0">S4*S3</f>
        <v>0</v>
      </c>
      <c r="T5" s="92"/>
      <c r="U5" s="70">
        <f t="shared" ref="U5:AG5" si="1">U4*U3</f>
        <v>0.5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746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750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0.67182130584192445</v>
      </c>
      <c r="N7" s="58"/>
      <c r="O7" s="2"/>
      <c r="P7" s="2"/>
      <c r="Q7" s="86">
        <f>SUM(R5,S5,AC16)</f>
        <v>0.67182130584192445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751</v>
      </c>
      <c r="E8" s="182"/>
      <c r="F8" s="182"/>
      <c r="G8" s="18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0.67182130584192445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752</v>
      </c>
      <c r="E9" s="179"/>
      <c r="F9" s="179"/>
      <c r="G9" s="180"/>
      <c r="H9" s="130" t="str">
        <f>VLOOKUP($H$4,Teams!$B$3:$O$44,3,FALSE)</f>
        <v>PETAR VASILJEVIC</v>
      </c>
      <c r="I9" s="130" t="str">
        <f>VLOOKUP($H$4,Teams!$B$3:$O$44,3,FALSE)</f>
        <v>PETAR VASILJEVIC</v>
      </c>
      <c r="J9" s="130" t="str">
        <f>VLOOKUP($H$4,Teams!$B$3:$O$44,5,FALSE)</f>
        <v>PREDAG VASILJEVIC</v>
      </c>
      <c r="K9" s="130" t="str">
        <f>VLOOKUP($H$4,Teams!$B$3:$O$44,6,FALSE)</f>
        <v>ANA KRSTIC</v>
      </c>
      <c r="L9" s="130" t="str">
        <f>VLOOKUP($H$4,Teams!$B$3:$O$44,7,FALSE)</f>
        <v>SARA PROJOVIC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753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754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179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755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1</v>
      </c>
      <c r="J15" s="24">
        <f>SUBTOTAL(3,J17:J106)</f>
        <v>1</v>
      </c>
      <c r="K15" s="24">
        <f>SUBTOTAL(3,K17:K106)</f>
        <v>1</v>
      </c>
      <c r="L15" s="24">
        <f>SUBTOTAL(3,L17:L106)</f>
        <v>1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1</v>
      </c>
      <c r="Z16" s="90" t="s">
        <v>110</v>
      </c>
      <c r="AA16" s="75">
        <f>SUM(AA17:AA24)</f>
        <v>1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0.5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1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179</v>
      </c>
      <c r="D17" s="32" t="s">
        <v>756</v>
      </c>
      <c r="E17" s="33">
        <v>4</v>
      </c>
      <c r="F17" s="36">
        <v>86</v>
      </c>
      <c r="G17" s="36">
        <v>110</v>
      </c>
      <c r="H17" s="38" t="str">
        <f>IF(I17="","",$I$14)</f>
        <v>SCOUTING</v>
      </c>
      <c r="I17" s="34">
        <v>569</v>
      </c>
      <c r="J17" s="13" t="s">
        <v>4</v>
      </c>
      <c r="K17" s="13" t="s">
        <v>62</v>
      </c>
      <c r="L17" s="13" t="s">
        <v>5</v>
      </c>
      <c r="M17" s="13" t="s">
        <v>28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1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1</v>
      </c>
      <c r="AB18" s="66" t="s">
        <v>5</v>
      </c>
      <c r="AC18" s="61">
        <f t="shared" si="5"/>
        <v>1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1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1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3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REPORT_E2025179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"E2025179"</v>
      </c>
      <c r="F3" s="45" t="str">
        <f t="shared" ref="F3:F16" si="0">""""&amp;B3&amp;"""" &amp; " : " &amp;C3&amp;","</f>
        <v>"name" : "E2025179",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"E179"</v>
      </c>
      <c r="F4" s="45" t="str">
        <f t="shared" si="0"/>
        <v>"cod" : "E179",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179</v>
      </c>
      <c r="F6" s="45" t="str">
        <f t="shared" si="0"/>
        <v>"number" : 179,</v>
      </c>
    </row>
    <row r="7" spans="2:6" x14ac:dyDescent="0.25">
      <c r="B7" s="43" t="s">
        <v>116</v>
      </c>
      <c r="C7" s="43" t="str">
        <f ca="1">""""&amp;TEXT('SCOUT &amp; LOGISTICS'!B3,"dd/mm/aaaa")&amp;""""</f>
        <v>"26/12/2025"</v>
      </c>
      <c r="F7" s="45" t="str">
        <f t="shared" ca="1" si="0"/>
        <v>"date" : "26/12/2025",</v>
      </c>
    </row>
    <row r="8" spans="2:6" x14ac:dyDescent="0.25">
      <c r="B8" s="43" t="s">
        <v>125</v>
      </c>
      <c r="C8" s="43" t="str">
        <f>""""&amp;'SCOUT &amp; LOGISTICS'!D4 &amp;""""</f>
        <v>"Partizan Mozzart Bet Belgrade"</v>
      </c>
      <c r="F8" s="45" t="str">
        <f t="shared" si="0"/>
        <v>"home_team" : "Partizan Mozzart Bet Belgrade",</v>
      </c>
    </row>
    <row r="9" spans="2:6" x14ac:dyDescent="0.25">
      <c r="B9" s="43" t="s">
        <v>126</v>
      </c>
      <c r="C9" s="43" t="str">
        <f>""""&amp;'SCOUT &amp; LOGISTICS'!D5&amp;""""</f>
        <v>"Maccabi Rapyd Tel Aviv"</v>
      </c>
      <c r="F9" s="45" t="str">
        <f t="shared" si="0"/>
        <v>"away_team" : "Maccabi Rapyd Tel Aviv",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"PETAR VASILJEVIC"</v>
      </c>
      <c r="F10" s="45" t="str">
        <f t="shared" si="0"/>
        <v>"Data_entry" : "PETAR VASILJEVIC",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"MILOS ANTONIJEVIC"</v>
      </c>
      <c r="F11" s="45" t="str">
        <f t="shared" si="0"/>
        <v>"Caller_1" : "MILOS ANTONIJEVIC",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"OGNJEN MARINOVIC"</v>
      </c>
      <c r="F12" s="45" t="str">
        <f t="shared" si="0"/>
        <v>"Caller_2" : "OGNJEN MARINOVIC",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"SONJA STANKOVIC"</v>
      </c>
      <c r="F13" s="45" t="str">
        <f t="shared" si="0"/>
        <v>"Timerkeeper" : "SONJA STANKOVIC",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"IVANA PRPA"</v>
      </c>
      <c r="F14" s="45" t="str">
        <f t="shared" si="0"/>
        <v>"Shotclock" : "IVANA PRPA",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"BILJANA KOSTRES"</v>
      </c>
      <c r="F15" s="45" t="str">
        <f t="shared" si="0"/>
        <v>"IRS" : "BILJANA KOSTRES",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"ELOI VERGE"</v>
      </c>
      <c r="F16" s="45" t="str">
        <f t="shared" si="0"/>
        <v>"Live_Game_Manager" : "ELOI VERGE",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582</v>
      </c>
      <c r="F25" s="45" t="str">
        <f t="shared" ref="F25:F48" si="1">""""&amp;C25&amp;"""" &amp; " : " &amp;D25&amp;","</f>
        <v>"total_actions" : 582,</v>
      </c>
    </row>
    <row r="26" spans="2:6" x14ac:dyDescent="0.25">
      <c r="C26" s="43" t="s">
        <v>132</v>
      </c>
      <c r="D26" s="43">
        <f>'SCOUT &amp; LOGISTICS'!F3</f>
        <v>1</v>
      </c>
      <c r="F26" s="45" t="str">
        <f t="shared" si="1"/>
        <v>"total_correcions" : 1,</v>
      </c>
    </row>
    <row r="27" spans="2:6" x14ac:dyDescent="0.25">
      <c r="C27" s="43" t="s">
        <v>133</v>
      </c>
      <c r="D27" s="43" t="str">
        <f>""""&amp;IF(OR(D25="",D25=0),"",TEXT(D26/D25,"0,0%"))&amp;""""</f>
        <v>"0,2%"</v>
      </c>
      <c r="F27" s="45" t="str">
        <f t="shared" si="1"/>
        <v>"%_corrections" : "0,2%",</v>
      </c>
    </row>
    <row r="28" spans="2:6" x14ac:dyDescent="0.25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5">
      <c r="C29" s="43" t="s">
        <v>134</v>
      </c>
      <c r="D29" s="43">
        <f>IF('SCOUT &amp; LOGISTICS'!AA18="","",'SCOUT &amp; LOGISTICS'!AA18)</f>
        <v>1</v>
      </c>
      <c r="F29" s="45" t="str">
        <f t="shared" si="1"/>
        <v>"no_team" : 1,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1</v>
      </c>
      <c r="F34" s="45" t="str">
        <f t="shared" si="1"/>
        <v>"q4" : 1,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1</v>
      </c>
      <c r="F37" s="45" t="str">
        <f t="shared" si="1"/>
        <v>"scoresheet_corrections" : 1,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1</v>
      </c>
      <c r="F39" s="45" t="str">
        <f t="shared" si="1"/>
        <v>"missidentity" : 1,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"Really good performance in both scouting and comunicating. Keep it up!"</v>
      </c>
      <c r="F51" s="45" t="str">
        <f>""""&amp;B51&amp;"""" &amp; " : " &amp;C51&amp;","</f>
        <v>"comments" : "Really good performance in both scouting and comunicating. Keep it up!",</v>
      </c>
    </row>
    <row r="52" spans="2:6" x14ac:dyDescent="0.25">
      <c r="B52" s="43" t="s">
        <v>153</v>
      </c>
      <c r="C52" s="43" t="str">
        <f>TEXT('SCOUT &amp; LOGISTICS'!F1,"0,0")</f>
        <v>18_179_PAR_TEL_E2025</v>
      </c>
      <c r="F52" s="45" t="str">
        <f>""""&amp;B52&amp;"""" &amp; " : " &amp;C52</f>
        <v>"result" : 18_179_PAR_TEL_E2025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5.5" zeroHeight="1" x14ac:dyDescent="0.4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45"/>
    <row r="2" spans="1:33" ht="42.65" customHeight="1" thickBot="1" x14ac:dyDescent="0.5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5">
      <c r="A3" s="48"/>
      <c r="B3" s="208" t="str">
        <f>"GAME: "&amp; LEFT('SCOUT &amp; LOGISTICS'!B2,1) &amp; TEXT('SCOUT &amp; LOGISTICS'!C2,"000") &amp; " " &amp; IF(LEFT('SCOUT &amp; LOGISTICS'!B2,1)="U","(EUROCUP)","(EUROLEAGUE)")</f>
        <v>GAME: E179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5">
      <c r="A4" s="48"/>
      <c r="B4" s="194" t="str">
        <f ca="1">"DATE: " &amp; TEXT('SCOUT &amp; LOGISTICS'!B3,"dd/mm")</f>
        <v>DATE: 26/12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5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5">
      <c r="A6" s="48"/>
      <c r="B6" s="212" t="str">
        <f>PROPER('SCOUT &amp; LOGISTICS'!D4)</f>
        <v>Partizan Mozzart Bet Belgrade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Maccabi Rapyd Tel Aviv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5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5">
      <c r="A8" s="48"/>
      <c r="B8" s="206" t="str">
        <f>IF('SCOUT &amp; LOGISTICS'!D6="","",'SCOUT &amp; LOGISTICS'!D6)</f>
        <v>PETAR VASILJEVIC</v>
      </c>
      <c r="C8" s="206"/>
      <c r="D8" s="206"/>
      <c r="E8" s="206"/>
      <c r="F8" s="206"/>
      <c r="G8" s="206" t="str">
        <f>IF('SCOUT &amp; LOGISTICS'!D7="","",'SCOUT &amp; LOGISTICS'!D7)</f>
        <v>MILOS ANTONIJEVIC</v>
      </c>
      <c r="H8" s="206"/>
      <c r="I8" s="206"/>
      <c r="J8" s="206"/>
      <c r="K8" s="206"/>
      <c r="L8" s="206" t="str">
        <f>IF('SCOUT &amp; LOGISTICS'!D8="","",'SCOUT &amp; LOGISTICS'!D8)</f>
        <v>OGNJEN MARINOVIC</v>
      </c>
      <c r="M8" s="206"/>
      <c r="N8" s="206"/>
      <c r="O8" s="206"/>
      <c r="P8" s="206"/>
      <c r="Q8" s="206" t="str">
        <f>IF('SCOUT &amp; LOGISTICS'!D9="","",'SCOUT &amp; LOGISTICS'!D9)</f>
        <v>SONJA STANKOVIC</v>
      </c>
      <c r="R8" s="206"/>
      <c r="S8" s="206"/>
      <c r="T8" s="206"/>
      <c r="U8" s="206"/>
      <c r="V8" s="206" t="str">
        <f>IF('SCOUT &amp; LOGISTICS'!D10="","",'SCOUT &amp; LOGISTICS'!D10)</f>
        <v>IVANA PRPA</v>
      </c>
      <c r="W8" s="206"/>
      <c r="X8" s="206"/>
      <c r="Y8" s="206"/>
      <c r="Z8" s="206"/>
      <c r="AA8" s="206" t="str">
        <f>IF('SCOUT &amp; LOGISTICS'!D11="","",'SCOUT &amp; LOGISTICS'!D11)</f>
        <v>BILJANA KOSTRES</v>
      </c>
      <c r="AB8" s="206"/>
      <c r="AC8" s="206"/>
      <c r="AD8" s="206"/>
      <c r="AE8" s="206"/>
      <c r="AF8" s="48"/>
    </row>
    <row r="9" spans="1:33" ht="16" thickBot="1" x14ac:dyDescent="0.5">
      <c r="A9" s="48"/>
      <c r="B9" s="200" t="str">
        <f>IF(OR('SCOUT &amp; LOGISTICS'!D14="",'SCOUT &amp; LOGISTICS'!D14=0),"",'SCOUT &amp; LOGISTICS'!B14 &amp; ": " &amp; 'SCOUT &amp; LOGISTICS'!D14) &amp; "     "</f>
        <v xml:space="preserve">L G M: : ELOI VERGE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6" thickBot="1" x14ac:dyDescent="0.5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5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5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5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6" thickBot="1" x14ac:dyDescent="0.5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5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5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5">
      <c r="A17" s="48"/>
      <c r="B17" s="204">
        <f>'SCOUT &amp; LOGISTICS'!D3</f>
        <v>582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1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1.718213058419244E-3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6" thickBot="1" x14ac:dyDescent="0.5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5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5">
      <c r="A20" s="48"/>
      <c r="B20" s="197">
        <f>IF('SCOUT &amp; LOGISTICS'!AA17="","",'SCOUT &amp; LOGISTICS'!AA17)</f>
        <v>0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1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5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5">
      <c r="A22" s="48"/>
      <c r="B22" s="197">
        <f>'SCOUT &amp; LOGISTICS'!AG17</f>
        <v>0</v>
      </c>
      <c r="C22" s="197"/>
      <c r="D22" s="197"/>
      <c r="E22" s="197"/>
      <c r="F22" s="197"/>
      <c r="G22" s="197"/>
      <c r="H22" s="197">
        <f>'SCOUT &amp; LOGISTICS'!AG18</f>
        <v>0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1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6" thickBot="1" x14ac:dyDescent="0.5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5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5">
      <c r="A25" s="48"/>
      <c r="B25" s="197">
        <f>'SCOUT &amp; LOGISTICS'!Y17</f>
        <v>1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5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5">
      <c r="A27" s="48"/>
      <c r="B27" s="197">
        <f>'SCOUT &amp; LOGISTICS'!AC18</f>
        <v>1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5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5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6" thickBot="1" x14ac:dyDescent="0.5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5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5">
      <c r="A32" s="48"/>
      <c r="B32" s="195" t="str">
        <f>IF('SCOUT &amp; LOGISTICS'!M4="","",'SCOUT &amp; LOGISTICS'!M4)</f>
        <v>Really good performance in both scouting and comunicating. Keep it up!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5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5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5">
      <c r="A35" s="48"/>
      <c r="B35" s="196">
        <f>'SCOUT &amp; LOGISTICS'!M7</f>
        <v>0.67182130584192445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4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8419FC8-3849-4C9B-AB31-54AF7A91EAC0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Eloi Vergé</cp:lastModifiedBy>
  <cp:lastPrinted>2025-10-09T17:11:09Z</cp:lastPrinted>
  <dcterms:created xsi:type="dcterms:W3CDTF">2023-09-19T19:50:35Z</dcterms:created>
  <dcterms:modified xsi:type="dcterms:W3CDTF">2025-12-26T18:51:55Z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