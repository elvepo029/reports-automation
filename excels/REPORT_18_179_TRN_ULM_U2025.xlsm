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38DE4229-B135-44C0-9C36-2D1C574FC7A7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<sst xmlns="http://schemas.openxmlformats.org/spreadsheetml/2006/main" count="3382" uniqueCount="843">
  <si>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</si>
  <si>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</si>
  <si>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</si>
  <si>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</si>
  <si>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</si>
  <si>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</si>
  <si>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</si>
  <si>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</si>
  <si>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</si>
  <si>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</si>
  <si>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</si>
  <si>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</si>
  <si>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</si>
  <si>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</si>
  <si>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</si>
  <si>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</si>
  <si>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</si>
  <si>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</si>
  <si>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</si>
  <si>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</si>
  <si>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</si>
  <si>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</si>
  <si>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</si>
  <si>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</si>
  <si>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</si>
  <si>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</si>
  <si>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</si>
  <si>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</si>
  <si>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</si>
  <si>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</si>
  <si>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</si>
  <si>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</si>
  <si>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</si>
  <si>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</si>
  <si>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</si>
  <si>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</si>
  <si>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</si>
  <si>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</si>
  <si>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</si>
  <si>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</si>
  <si>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</si>
  <si>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</si>
  <si>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</si>
  <si>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</si>
  <si>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</si>
  <si>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</si>
  <si>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</si>
  <si>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</si>
  <si>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</si>
  <si>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</si>
  <si>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</si>
  <si>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</si>
  <si>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</si>
  <si>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</si>
  <si>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</si>
  <si>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</si>
  <si>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</si>
  <si>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</si>
  <si>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</si>
  <si>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</si>
  <si>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</si>
  <si>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</si>
  <si>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</si>
  <si>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</si>
  <si>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</si>
  <si>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</si>
  <si>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</si>
  <si>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</si>
  <si>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</si>
  <si>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</si>
  <si>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</si>
  <si>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</si>
  <si>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</si>
  <si>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</si>
  <si>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</si>
  <si>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</si>
  <si>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</si>
  <si>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</si>
  <si>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</si>
  <si>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</si>
  <si>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</si>
  <si>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</si>
  <si>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</si>
  <si>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</si>
  <si>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</si>
  <si>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</si>
  <si>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</si>
  <si>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</si>
  <si>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</si>
  <si>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</si>
  <si>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</si>
  <si>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</si>
  <si>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</si>
  <si>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</si>
  <si>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</si>
  <si>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</si>
  <si>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</si>
  <si>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</si>
  <si>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</si>
  <si>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</si>
  <si>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</si>
  <si>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</si>
  <si>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</si>
  <si>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</si>
  <si>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</si>
  <si>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</si>
  <si>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</si>
  <si>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</si>
  <si>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</si>
  <si>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</si>
  <si>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</si>
  <si>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</si>
  <si>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</si>
  <si>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</si>
  <si>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</si>
  <si>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</si>
  <si>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</si>
  <si>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</si>
  <si>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</si>
  <si>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</si>
  <si>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</si>
  <si>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</si>
  <si>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</si>
  <si>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</si>
  <si>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</si>
  <si>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</si>
  <si>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</si>
  <si>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</si>
  <si>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</si>
  <si>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</si>
  <si>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</si>
  <si>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</si>
  <si>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</si>
  <si>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</si>
  <si>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</si>
  <si>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</si>
  <si>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</si>
  <si>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</si>
  <si>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</si>
  <si>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</si>
  <si>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</si>
  <si>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</si>
  <si>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</si>
  <si>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</si>
  <si>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</si>
  <si>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</si>
  <si>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</si>
  <si>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</si>
  <si>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</si>
  <si>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</si>
  <si>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</si>
  <si>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</si>
  <si>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</si>
  <si>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</si>
  <si>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</si>
  <si>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</si>
  <si>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</si>
  <si>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</si>
  <si>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</si>
  <si>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</si>
  <si>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</si>
  <si>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</si>
  <si>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</si>
  <si>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</si>
  <si>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</si>
  <si>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</si>
  <si>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</si>
  <si>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</si>
  <si>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</si>
  <si>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</si>
  <si>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</si>
  <si>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</si>
  <si>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</si>
  <si>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</si>
  <si>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</si>
  <si>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</si>
  <si>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</si>
  <si>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</si>
  <si>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</si>
  <si>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</si>
  <si>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</si>
  <si>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</si>
  <si>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</si>
  <si>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</si>
  <si>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</si>
  <si>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</si>
  <si>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</si>
  <si>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</si>
  <si>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</si>
  <si>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</si>
  <si>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</si>
  <si>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</si>
  <si>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</si>
  <si>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</si>
  <si>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</si>
  <si>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</si>
  <si>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</si>
  <si>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</si>
  <si>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</si>
  <si>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</si>
  <si>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</si>
  <si>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</si>
  <si>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</si>
  <si>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</si>
  <si>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</si>
  <si>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</si>
  <si>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</si>
  <si>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</si>
  <si>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</si>
  <si>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</si>
  <si>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</si>
  <si>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</si>
  <si>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</si>
  <si>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</si>
  <si>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</si>
  <si>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</si>
  <si>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</si>
  <si>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</si>
  <si>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</si>
  <si>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</si>
  <si>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</si>
  <si>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</si>
  <si>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</si>
  <si>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</si>
  <si>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</si>
  <si>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</si>
  <si>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</si>
  <si>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</si>
  <si>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</si>
  <si>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</si>
  <si>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</si>
  <si>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</si>
  <si>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</si>
  <si>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</si>
  <si>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</si>
  <si>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</si>
  <si>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</si>
  <si>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</si>
  <si>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</si>
  <si>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</si>
  <si>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</si>
  <si>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</si>
  <si>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</si>
  <si>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</si>
  <si>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</si>
  <si>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</si>
  <si>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</si>
  <si>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</si>
  <si>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</si>
  <si>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</si>
  <si>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</si>
  <si>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</si>
  <si>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</si>
  <si>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</si>
  <si>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</si>
  <si>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</si>
  <si>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</si>
  <si>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</si>
  <si>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</si>
  <si>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</si>
  <si>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</si>
  <si>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</si>
  <si>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</si>
  <si>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</si>
  <si>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</si>
  <si>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</si>
  <si>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</si>
  <si>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</si>
  <si>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</si>
  <si>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</si>
  <si>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</si>
  <si>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</si>
  <si>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</si>
  <si>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</si>
  <si>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</si>
  <si>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</si>
  <si>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</si>
  <si>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</si>
  <si>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</si>
  <si>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</si>
  <si>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</si>
  <si>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</si>
  <si>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</si>
  <si>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</si>
  <si>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</si>
  <si>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</si>
  <si>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</si>
  <si>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</si>
  <si>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</si>
  <si>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</si>
  <si>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</si>
  <si>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</si>
  <si>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</si>
  <si>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</si>
  <si>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</si>
  <si>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</si>
  <si>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</si>
  <si>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</si>
  <si>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</si>
  <si>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</si>
  <si>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</si>
  <si>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</si>
  <si>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</si>
  <si>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</si>
  <si>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</si>
  <si>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</si>
  <si>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</si>
  <si>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</si>
  <si>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</si>
  <si>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</si>
  <si>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</si>
  <si>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</si>
  <si>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</si>
  <si>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</si>
  <si>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</si>
  <si>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</si>
  <si>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</si>
  <si>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</si>
  <si>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</si>
  <si>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</si>
  <si>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</si>
  <si>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</si>
  <si>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</si>
  <si>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</si>
  <si>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</si>
  <si>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</si>
  <si>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</si>
  <si>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</si>
  <si>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</si>
  <si>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</si>
  <si>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</si>
  <si>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</si>
  <si>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</si>
  <si>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</si>
  <si>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</si>
  <si>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</si>
  <si>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</si>
  <si>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</si>
  <si>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</si>
  <si>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</si>
  <si>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</si>
  <si>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</si>
  <si>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</si>
  <si>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</si>
  <si>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</si>
  <si>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</si>
  <si>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</si>
  <si>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</si>
  <si>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</si>
  <si>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</si>
  <si>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</si>
  <si>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</si>
  <si>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</si>
  <si>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</si>
  <si>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</si>
  <si>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</si>
  <si>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</si>
  <si>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</si>
  <si>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</si>
  <si>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</si>
  <si>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</si>
  <si>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</si>
  <si>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</si>
  <si>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</si>
  <si>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</si>
  <si>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</si>
  <si>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</si>
  <si>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</si>
  <si>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</si>
  <si>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</si>
  <si>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</si>
  <si>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</si>
  <si>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</si>
  <si>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</si>
  <si>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</si>
  <si>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</si>
  <si>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</si>
  <si>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</si>
  <si>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</si>
  <si>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</si>
  <si>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</si>
  <si>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</si>
  <si>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</si>
  <si>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</si>
  <si>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</si>
  <si>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</si>
  <si>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</si>
  <si>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</si>
  <si>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</si>
  <si>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</si>
  <si>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</si>
  <si>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</si>
  <si>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</si>
  <si>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</si>
  <si>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</si>
  <si>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</si>
  <si>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</si>
  <si>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</si>
  <si>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</si>
  <si>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</si>
  <si>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</si>
  <si>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</si>
  <si>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</si>
  <si>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</si>
  <si>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</si>
  <si>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</si>
  <si>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</si>
  <si>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</si>
  <si>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</si>
  <si>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</si>
  <si>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</si>
  <si>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</si>
  <si>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</si>
  <si>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</si>
  <si>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</si>
  <si>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</si>
  <si>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</si>
  <si>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</si>
  <si>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</si>
  <si>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</si>
  <si>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</si>
  <si>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</si>
  <si>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</si>
  <si>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</si>
  <si>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</si>
  <si>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</si>
  <si>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</si>
  <si>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</si>
  <si>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</si>
  <si>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</si>
  <si>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</si>
  <si>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</si>
  <si>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</si>
  <si>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</si>
  <si>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</si>
  <si>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</si>
  <si>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</si>
  <si>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</si>
  <si>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</si>
  <si>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</si>
  <si>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</si>
  <si>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</si>
  <si>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</si>
  <si>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</si>
  <si>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</si>
  <si>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</si>
  <si>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</si>
  <si>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</si>
  <si>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</si>
  <si>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</si>
  <si>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</si>
  <si>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</si>
  <si>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</si>
  <si>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</si>
  <si>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</si>
  <si>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</si>
  <si>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</si>
  <si>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</si>
  <si>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</si>
  <si>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</si>
  <si>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</si>
  <si>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</si>
  <si>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</si>
  <si>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</si>
  <si>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</si>
  <si>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</si>
  <si>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</si>
  <si>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</si>
  <si>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</si>
  <si>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</si>
  <si>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</si>
  <si>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</si>
  <si>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</si>
  <si>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</si>
  <si>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</si>
  <si>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</si>
  <si>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</si>
  <si>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</si>
  <si>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</si>
  <si>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</si>
  <si>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</si>
  <si>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</si>
  <si>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</si>
  <si>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</si>
  <si>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</si>
  <si>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</si>
  <si>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</si>
  <si>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</si>
  <si>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</si>
  <si>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</si>
  <si>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</si>
  <si>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</si>
  <si>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</si>
  <si>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</si>
  <si>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</si>
  <si>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</si>
  <si>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</si>
  <si>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</si>
  <si>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</si>
  <si>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</si>
  <si>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</si>
  <si>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</si>
  <si>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</si>
  <si>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</si>
  <si>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</si>
  <si>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</si>
  <si>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</si>
  <si>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</si>
  <si>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</si>
  <si>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</si>
  <si>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</si>
  <si>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</si>
  <si>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</si>
  <si>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</si>
  <si>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</si>
  <si>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</si>
  <si>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</si>
  <si>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</si>
  <si>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</si>
  <si>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</si>
  <si>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</si>
  <si>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</si>
  <si>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</si>
  <si>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</si>
  <si>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</si>
  <si>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</si>
  <si>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</si>
  <si>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</si>
  <si>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</si>
  <si>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</si>
  <si>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</si>
  <si>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</si>
  <si>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</si>
  <si>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</si>
  <si>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</si>
  <si>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</si>
  <si>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</si>
  <si>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</si>
  <si>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</si>
  <si>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</si>
  <si>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</si>
  <si>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</si>
  <si>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</si>
  <si>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</si>
  <si>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</si>
  <si>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</si>
  <si>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</si>
  <si>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</si>
  <si>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</si>
  <si>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</si>
  <si>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</si>
  <si>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</si>
  <si>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</si>
  <si>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</si>
  <si>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</si>
  <si>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</si>
  <si>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</si>
  <si>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</si>
  <si>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</si>
  <si>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</si>
  <si>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</si>
  <si>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</si>
  <si>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</si>
  <si>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</si>
  <si>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</si>
  <si>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</si>
  <si>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</si>
  <si>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</si>
  <si>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</si>
  <si>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</si>
  <si>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</si>
  <si>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</si>
  <si>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</si>
  <si>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</si>
  <si>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</si>
  <si>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</si>
  <si>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</si>
  <si>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</si>
  <si>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</si>
  <si>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</si>
  <si>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</si>
  <si>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</si>
  <si>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</si>
  <si>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</si>
  <si>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</si>
  <si>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</si>
  <si>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</si>
  <si>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</si>
  <si>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</si>
  <si>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</si>
  <si>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</si>
  <si>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</si>
  <si>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</si>
  <si>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</si>
  <si>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</si>
  <si>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</si>
  <si>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</si>
  <si>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</si>
  <si>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</si>
  <si>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</si>
  <si>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</si>
  <si>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</si>
  <si>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</si>
  <si>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</si>
  <si>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</si>
  <si>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</si>
  <si>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</si>
  <si>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</si>
  <si>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</si>
  <si>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</si>
  <si>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</si>
  <si>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</si>
  <si>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</si>
  <si>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</si>
  <si>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</si>
  <si>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</si>
  <si>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</si>
  <si>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</si>
  <si>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</si>
  <si>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</si>
  <si>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</si>
  <si>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</si>
  <si>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</si>
  <si>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</si>
  <si>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</si>
  <si>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</si>
  <si>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</si>
  <si>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</si>
  <si>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</si>
  <si>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</si>
  <si>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</si>
  <si>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</si>
  <si>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</si>
  <si>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</si>
  <si>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</si>
  <si>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</si>
  <si>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</si>
  <si>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</si>
  <si>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</si>
  <si>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</si>
  <si>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</si>
  <si>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</si>
  <si>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</si>
  <si>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</si>
  <si>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</si>
  <si>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</si>
  <si>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</si>
  <si>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</si>
  <si>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</si>
  <si>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</si>
  <si>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</si>
  <si>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</si>
  <si>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</si>
  <si>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</si>
  <si>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</si>
  <si>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</si>
  <si>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</si>
  <si>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</si>
  <si>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</si>
  <si>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</si>
  <si>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</si>
  <si>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</si>
  <si>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</si>
  <si>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</si>
  <si>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</si>
  <si>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</si>
  <si>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</si>
  <si>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</si>
  <si>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</si>
  <si>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</si>
  <si>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</si>
  <si>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</si>
  <si>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</si>
  <si>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</si>
  <si>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</si>
  <si>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</si>
  <si>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</si>
  <si>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</si>
  <si>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</si>
  <si>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</si>
  <si>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</si>
  <si>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</si>
  <si>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</si>
  <si>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</si>
  <si>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</si>
  <si>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</si>
  <si>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</si>
  <si>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</si>
  <si>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</si>
  <si>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</si>
  <si>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</si>
  <si>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</si>
  <si>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</si>
  <si>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</si>
  <si>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</si>
  <si>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</si>
  <si>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</si>
  <si>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</si>
  <si>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</si>
  <si>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</si>
  <si>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</si>
  <si>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</si>
  <si>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</si>
  <si>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</si>
  <si>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</si>
  <si>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</si>
  <si>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</si>
  <si>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</si>
  <si>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</si>
  <si>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</si>
  <si>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</si>
  <si>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</si>
  <si>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</si>
  <si>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</si>
  <si>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</si>
  <si>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</si>
  <si>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</si>
  <si>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</si>
  <si>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</si>
  <si>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</si>
  <si>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</si>
  <si>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</si>
  <si>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</si>
  <si>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</si>
  <si>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</si>
  <si>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</si>
  <si>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</si>
  <si>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</si>
  <si>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</si>
  <si>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</si>
  <si>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</si>
  <si>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</si>
  <si>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</si>
  <si>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</si>
  <si>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</si>
  <si>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</si>
  <si>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</si>
  <si>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</si>
  <si>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</si>
  <si>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</si>
  <si>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</si>
  <si>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</si>
  <si>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</si>
  <si>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</si>
  <si>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</si>
  <si>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</si>
  <si>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</si>
  <si>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</si>
  <si>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</si>
  <si>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</si>
  <si>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</si>
  <si>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</si>
  <si>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</si>
  <si>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</si>
  <si>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</si>
  <si>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</si>
  <si>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</si>
  <si>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</si>
  <si>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</si>
  <si>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</si>
  <si>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</si>
  <si>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</si>
  <si>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</si>
  <si>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</si>
  <si>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</si>
  <si>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</si>
  <si>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</si>
  <si>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</si>
  <si>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</si>
  <si>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</si>
  <si>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</si>
  <si>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</si>
  <si>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</si>
  <si>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</si>
  <si>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</si>
  <si>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</si>
  <si>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</si>
  <si>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</si>
  <si>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</si>
  <si>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</si>
  <si>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</si>
  <si>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</si>
  <si>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</si>
  <si>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</si>
  <si>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</si>
  <si>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</si>
  <si>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</si>
  <si>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</si>
  <si>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</si>
  <si>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</si>
  <si>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</si>
  <si>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</si>
  <si>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</si>
  <si>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</si>
  <si>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</si>
  <si>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</si>
  <si>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</si>
  <si>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</si>
  <si>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</si>
  <si>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</si>
  <si>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</si>
  <si>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</si>
  <si>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</si>
  <si>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</si>
  <si>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</si>
  <si>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</si>
  <si>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</si>
  <si>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</si>
  <si>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</si>
  <si>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</si>
  <si>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</si>
  <si>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</si>
  <si>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</si>
  <si>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</si>
  <si>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</si>
  <si>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</si>
  <si>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</si>
  <si>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</si>
  <si>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</si>
  <si>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</si>
  <si>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</si>
  <si>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</si>
  <si>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</si>
  <si>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</si>
  <si>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</si>
  <si>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</si>
  <si>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SILVIA BOTTURA</t>
  </si>
  <si>
    <t>SASHA ZORDAN</t>
  </si>
  <si>
    <t>ALESSANDRO COLOMBO</t>
  </si>
  <si>
    <t>FJORENCO HYSI</t>
  </si>
  <si>
    <t>NOEMI DEIMICHEI</t>
  </si>
  <si>
    <t>OSCAR CUESTA</t>
  </si>
  <si>
    <t>8:36</t>
  </si>
  <si>
    <t>6:57</t>
  </si>
  <si>
    <t>4:37</t>
  </si>
  <si>
    <t>0:47</t>
  </si>
  <si>
    <t>3:57</t>
  </si>
  <si>
    <t>2:12</t>
  </si>
  <si>
    <t>9:41</t>
  </si>
  <si>
    <t>3:01</t>
  </si>
  <si>
    <t>2.32</t>
  </si>
  <si>
    <t>1:45</t>
  </si>
  <si>
    <t>If you improve on criteria, you can lower mistakes and upgrade your performance. If oyu miss any play, you can always ask for help. That's what we are here for 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</si>
</sst>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18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18_179_TRN_ULM_U2025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U2025</v>
      </c>
      <c r="C2" s="123">
        <v>179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46063.833333333336</v>
      </c>
      <c r="C3" s="157"/>
      <c r="D3" s="39">
        <v>640</v>
      </c>
      <c r="E3" s="29"/>
      <c r="F3" s="26">
        <f>SUBTOTAL(3,I17:I106)</f>
        <v>10</v>
      </c>
      <c r="G3" s="27">
        <f>IF(OR(D3="",D3=0),"",F3/D3)</f>
        <v>1.5625E-2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Dolomiti Energia Trento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TRN</v>
      </c>
      <c r="I4" s="5"/>
      <c r="J4" s="119" t="s">
        <v>714</v>
      </c>
      <c r="K4" s="54" t="s">
        <v>743</v>
      </c>
      <c r="L4" s="5"/>
      <c r="M4" s="167" t="s">
        <v>842</v>
      </c>
      <c r="N4" s="168"/>
      <c r="O4" s="2"/>
      <c r="P4" s="2"/>
      <c r="Q4" s="84" t="s">
        <v>175</v>
      </c>
      <c r="R4" s="94">
        <f>(IF(G3="",0,G3))</f>
        <v>1.5625E-2</v>
      </c>
      <c r="S4" s="61">
        <f>SUM(I13:M13)</f>
        <v>0</v>
      </c>
      <c r="T4" s="78"/>
      <c r="U4" s="61">
        <f>AC18</f>
        <v>4</v>
      </c>
      <c r="V4" s="61">
        <f>+AC22</f>
        <v>3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3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ratiopharm Ulm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ULM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1.5625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3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7.5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826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827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14.0625</v>
      </c>
      <c r="N7" s="58"/>
      <c r="O7" s="2"/>
      <c r="P7" s="2"/>
      <c r="Q7" s="86">
        <f>SUM(R5,S5,AC16)</f>
        <v>14.0625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828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14.0625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829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830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179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831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10</v>
      </c>
      <c r="J15" s="24">
        <f>SUBTOTAL(3,J17:J106)</f>
        <v>10</v>
      </c>
      <c r="K15" s="24">
        <f>SUBTOTAL(3,K17:K106)</f>
        <v>10</v>
      </c>
      <c r="L15" s="24">
        <f>SUBTOTAL(3,L17:L106)</f>
        <v>10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10</v>
      </c>
      <c r="Z16" s="90" t="s">
        <v>110</v>
      </c>
      <c r="AA16" s="75">
        <f>SUM(AA17:AA24)</f>
        <v>10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12.5</v>
      </c>
      <c r="AD16" s="75">
        <f>SUM(AD17:AD24)</f>
        <v>45</v>
      </c>
      <c r="AE16" s="76" t="s">
        <v>42</v>
      </c>
      <c r="AF16" s="75">
        <f>SUM(AF17:AF24)</f>
        <v>7</v>
      </c>
      <c r="AG16" s="75">
        <f>SUM(AG17:AG21)</f>
        <v>10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U2025</v>
      </c>
      <c r="C17" s="31">
        <f t="shared" ref="C17:C48" si="3">IF(I17="","",$C$2)</f>
        <v>179</v>
      </c>
      <c r="D17" s="32" t="s">
        <v>832</v>
      </c>
      <c r="E17" s="33">
        <v>1</v>
      </c>
      <c r="F17" s="36">
        <v>0</v>
      </c>
      <c r="G17" s="36">
        <v>3</v>
      </c>
      <c r="H17" s="38" t="str">
        <f>IF(I17="","",$I$14)</f>
        <v>SCOUTING</v>
      </c>
      <c r="I17" s="34">
        <v>20</v>
      </c>
      <c r="J17" s="13" t="s">
        <v>4</v>
      </c>
      <c r="K17" s="13" t="s">
        <v>63</v>
      </c>
      <c r="L17" s="13" t="s">
        <v>6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10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U2025</v>
      </c>
      <c r="C18" s="31">
        <f t="shared" si="3"/>
        <v>179</v>
      </c>
      <c r="D18" s="32" t="s">
        <v>833</v>
      </c>
      <c r="E18" s="33">
        <v>1</v>
      </c>
      <c r="F18" s="36">
        <v>28</v>
      </c>
      <c r="G18" s="36">
        <v>26</v>
      </c>
      <c r="H18" s="38" t="str">
        <f t="shared" ref="H18:H81" si="8">IF(I18="","",$I$14)</f>
        <v>SCOUTING</v>
      </c>
      <c r="I18" s="34">
        <v>183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7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2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U2025</v>
      </c>
      <c r="C19" s="31">
        <f t="shared" si="3"/>
        <v>179</v>
      </c>
      <c r="D19" s="32" t="s">
        <v>834</v>
      </c>
      <c r="E19" s="33">
        <v>2</v>
      </c>
      <c r="F19" s="36">
        <v>40</v>
      </c>
      <c r="G19" s="36">
        <v>34</v>
      </c>
      <c r="H19" s="38" t="str">
        <f t="shared" si="8"/>
        <v>SCOUTING</v>
      </c>
      <c r="I19" s="34">
        <v>233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U2025</v>
      </c>
      <c r="C20" s="31">
        <f t="shared" si="3"/>
        <v>179</v>
      </c>
      <c r="D20" s="32" t="s">
        <v>835</v>
      </c>
      <c r="E20" s="33">
        <v>2</v>
      </c>
      <c r="F20" s="36">
        <v>40</v>
      </c>
      <c r="G20" s="36">
        <v>34</v>
      </c>
      <c r="H20" s="38" t="str">
        <f t="shared" si="8"/>
        <v>SCOUTING</v>
      </c>
      <c r="I20" s="34">
        <v>306</v>
      </c>
      <c r="J20" s="13" t="s">
        <v>4</v>
      </c>
      <c r="K20" s="13" t="s">
        <v>63</v>
      </c>
      <c r="L20" s="13" t="s">
        <v>6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4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>U2025</v>
      </c>
      <c r="C21" s="31">
        <f t="shared" si="3"/>
        <v>179</v>
      </c>
      <c r="D21" s="32" t="s">
        <v>836</v>
      </c>
      <c r="E21" s="33">
        <v>3</v>
      </c>
      <c r="F21" s="36">
        <v>51</v>
      </c>
      <c r="G21" s="36">
        <v>42</v>
      </c>
      <c r="H21" s="38" t="str">
        <f t="shared" si="8"/>
        <v>SCOUTING</v>
      </c>
      <c r="I21" s="34">
        <v>401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>U2025</v>
      </c>
      <c r="C22" s="31">
        <f t="shared" si="3"/>
        <v>179</v>
      </c>
      <c r="D22" s="32" t="s">
        <v>837</v>
      </c>
      <c r="E22" s="33">
        <v>3</v>
      </c>
      <c r="F22" s="36">
        <v>53</v>
      </c>
      <c r="G22" s="36">
        <v>49</v>
      </c>
      <c r="H22" s="38" t="str">
        <f t="shared" si="8"/>
        <v>SCOUTING</v>
      </c>
      <c r="I22" s="34">
        <v>424</v>
      </c>
      <c r="J22" s="13" t="s">
        <v>4</v>
      </c>
      <c r="K22" s="13" t="s">
        <v>62</v>
      </c>
      <c r="L22" s="13" t="s">
        <v>7</v>
      </c>
      <c r="M22" s="13" t="s">
        <v>12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>U2025</v>
      </c>
      <c r="C23" s="31">
        <f t="shared" si="3"/>
        <v>179</v>
      </c>
      <c r="D23" s="32" t="s">
        <v>838</v>
      </c>
      <c r="E23" s="33">
        <v>4</v>
      </c>
      <c r="F23" s="36">
        <v>55</v>
      </c>
      <c r="G23" s="36">
        <v>52</v>
      </c>
      <c r="H23" s="38" t="str">
        <f t="shared" si="8"/>
        <v>SCOUTING</v>
      </c>
      <c r="I23" s="34">
        <v>474</v>
      </c>
      <c r="J23" s="13" t="s">
        <v>4</v>
      </c>
      <c r="K23" s="13" t="s">
        <v>62</v>
      </c>
      <c r="L23" s="13" t="s">
        <v>5</v>
      </c>
      <c r="M23" s="13" t="s">
        <v>10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3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>U2025</v>
      </c>
      <c r="C24" s="31">
        <f t="shared" si="3"/>
        <v>179</v>
      </c>
      <c r="D24" s="32" t="s">
        <v>839</v>
      </c>
      <c r="E24" s="33">
        <v>4</v>
      </c>
      <c r="F24" s="36">
        <v>69</v>
      </c>
      <c r="G24" s="36">
        <v>61</v>
      </c>
      <c r="H24" s="38" t="str">
        <f t="shared" si="8"/>
        <v>SCOUTING</v>
      </c>
      <c r="I24" s="34">
        <v>554</v>
      </c>
      <c r="J24" s="13" t="s">
        <v>4</v>
      </c>
      <c r="K24" s="13" t="s">
        <v>62</v>
      </c>
      <c r="L24" s="13" t="s">
        <v>7</v>
      </c>
      <c r="M24" s="13" t="s">
        <v>12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>U2025</v>
      </c>
      <c r="C25" s="31">
        <f t="shared" si="3"/>
        <v>179</v>
      </c>
      <c r="D25" s="32" t="s">
        <v>840</v>
      </c>
      <c r="E25" s="33">
        <v>4</v>
      </c>
      <c r="F25" s="36">
        <v>71</v>
      </c>
      <c r="G25" s="36">
        <v>61</v>
      </c>
      <c r="H25" s="38" t="str">
        <f t="shared" si="8"/>
        <v>SCOUTING</v>
      </c>
      <c r="I25" s="34">
        <v>564</v>
      </c>
      <c r="J25" s="13" t="s">
        <v>4</v>
      </c>
      <c r="K25" s="13" t="s">
        <v>63</v>
      </c>
      <c r="L25" s="13" t="s">
        <v>6</v>
      </c>
      <c r="M25" s="13" t="s">
        <v>28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>U2025</v>
      </c>
      <c r="C26" s="31">
        <f t="shared" si="3"/>
        <v>179</v>
      </c>
      <c r="D26" s="32" t="s">
        <v>841</v>
      </c>
      <c r="E26" s="33">
        <v>4</v>
      </c>
      <c r="F26" s="36">
        <v>71</v>
      </c>
      <c r="G26" s="36">
        <v>63</v>
      </c>
      <c r="H26" s="38" t="str">
        <f t="shared" si="8"/>
        <v>SCOUTING</v>
      </c>
      <c r="I26" s="34">
        <v>578</v>
      </c>
      <c r="J26" s="13" t="s">
        <v>4</v>
      </c>
      <c r="K26" s="13" t="s">
        <v>62</v>
      </c>
      <c r="L26" s="13" t="s">
        <v>7</v>
      </c>
      <c r="M26" s="13" t="s">
        <v>28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REPORT_U2025179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"U2025179"</v>
      </c>
      <c r="F3" s="45" t="str">
        <f t="shared" ref="F3:F16" si="0">""""&amp;B3&amp;"""" &amp; " : " &amp;C3&amp;","</f>
        <v>"name" : "U2025179",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"U179"</v>
      </c>
      <c r="F4" s="45" t="str">
        <f t="shared" si="0"/>
        <v>"cod" : "U179",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179</v>
      </c>
      <c r="F6" s="45" t="str">
        <f t="shared" si="0"/>
        <v>"number" : 179,</v>
      </c>
    </row>
    <row r="7" spans="2:6" x14ac:dyDescent="0.25">
      <c r="B7" s="43" t="s">
        <v>116</v>
      </c>
      <c r="C7" s="43" t="str">
        <f ca="1">""""&amp;TEXT('SCOUT &amp; LOGISTICS'!B3,"dd/mm/aaaa")&amp;""""</f>
        <v>"10/02/2026"</v>
      </c>
      <c r="F7" s="45" t="str">
        <f t="shared" ca="1" si="0"/>
        <v>"date" : "10/02/2026",</v>
      </c>
    </row>
    <row r="8" spans="2:6" x14ac:dyDescent="0.25">
      <c r="B8" s="43" t="s">
        <v>125</v>
      </c>
      <c r="C8" s="43" t="str">
        <f>""""&amp;'SCOUT &amp; LOGISTICS'!D4 &amp;""""</f>
        <v>"Dolomiti Energia Trento"</v>
      </c>
      <c r="F8" s="45" t="str">
        <f t="shared" si="0"/>
        <v>"home_team" : "Dolomiti Energia Trento",</v>
      </c>
    </row>
    <row r="9" spans="2:6" x14ac:dyDescent="0.25">
      <c r="B9" s="43" t="s">
        <v>126</v>
      </c>
      <c r="C9" s="43" t="str">
        <f>""""&amp;'SCOUT &amp; LOGISTICS'!D5&amp;""""</f>
        <v>"ratiopharm Ulm"</v>
      </c>
      <c r="F9" s="45" t="str">
        <f t="shared" si="0"/>
        <v>"away_team" : "ratiopharm Ulm",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"SILVIA BOTTURA"</v>
      </c>
      <c r="F10" s="45" t="str">
        <f t="shared" si="0"/>
        <v>"Data_entry" : "SILVIA BOTTURA",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"SASHA ZORDAN"</v>
      </c>
      <c r="F11" s="45" t="str">
        <f t="shared" si="0"/>
        <v>"Caller_1" : "SASHA ZORDAN",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"ALESSANDRO COLOMBO"</v>
      </c>
      <c r="F12" s="45" t="str">
        <f t="shared" si="0"/>
        <v>"Caller_2" : "ALESSANDRO COLOMBO",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"FJORENCO HYSI"</v>
      </c>
      <c r="F13" s="45" t="str">
        <f t="shared" si="0"/>
        <v>"Timerkeeper" : "FJORENCO HYSI",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"NOEMI DEIMICHEI"</v>
      </c>
      <c r="F14" s="45" t="str">
        <f t="shared" si="0"/>
        <v>"Shotclock" : "NOEMI DEIMICHEI",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640</v>
      </c>
      <c r="F25" s="45" t="str">
        <f t="shared" ref="F25:F48" si="1">""""&amp;C25&amp;"""" &amp; " : " &amp;D25&amp;","</f>
        <v>"total_actions" : 640,</v>
      </c>
    </row>
    <row r="26" spans="2:6" x14ac:dyDescent="0.25">
      <c r="C26" s="43" t="s">
        <v>132</v>
      </c>
      <c r="D26" s="43">
        <f>'SCOUT &amp; LOGISTICS'!F3</f>
        <v>10</v>
      </c>
      <c r="F26" s="45" t="str">
        <f t="shared" si="1"/>
        <v>"total_correcions" : 10,</v>
      </c>
    </row>
    <row r="27" spans="2:6" x14ac:dyDescent="0.25">
      <c r="C27" s="43" t="s">
        <v>133</v>
      </c>
      <c r="D27" s="43" t="str">
        <f>""""&amp;IF(OR(D25="",D25=0),"",TEXT(D26/D25,"0,0%"))&amp;""""</f>
        <v>"1,6%"</v>
      </c>
      <c r="F27" s="45" t="str">
        <f t="shared" si="1"/>
        <v>"%_corrections" : "1,6%",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7</v>
      </c>
      <c r="F29" s="45" t="str">
        <f t="shared" si="1"/>
        <v>"no_team" : 7,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4</v>
      </c>
      <c r="F34" s="45" t="str">
        <f t="shared" si="1"/>
        <v>"q4" : 4,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10</v>
      </c>
      <c r="F37" s="45" t="str">
        <f t="shared" si="1"/>
        <v>"scoresheet_corrections" : 10,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3</v>
      </c>
      <c r="F46" s="45" t="str">
        <f t="shared" si="1"/>
        <v>"part_of_a_sequence" : 3,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"If you improve on criteria, you can lower mistakes and upgrade your performance. If oyu miss any play, you can always ask for help. That's what we are here for ;)"</v>
      </c>
      <c r="F51" s="45" t="str">
        <f>""""&amp;B51&amp;"""" &amp; " : " &amp;C51&amp;","</f>
        <v>"comments" : "If you improve on criteria, you can lower mistakes and upgrade your performance. If oyu miss any play, you can always ask for help. That's what we are here for ;)",</v>
      </c>
    </row>
    <row r="52" spans="2:6" x14ac:dyDescent="0.25">
      <c r="B52" s="43" t="s">
        <v>153</v>
      </c>
      <c r="C52" s="43" t="str">
        <f>TEXT('SCOUT &amp; LOGISTICS'!F1,"0,0")</f>
        <v>18_179_TRN_ULM_U2025</v>
      </c>
      <c r="F52" s="45" t="str">
        <f>""""&amp;B52&amp;"""" &amp; " : " &amp;C52</f>
        <v>"result" : 18_179_TRN_ULM_U2025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U179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10/02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Dolomiti Energia Trento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Ratiopharm Ulm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SILVIA BOTTURA</v>
      </c>
      <c r="C8" s="206"/>
      <c r="D8" s="206"/>
      <c r="E8" s="206"/>
      <c r="F8" s="206"/>
      <c r="G8" s="206" t="str">
        <f>IF('SCOUT &amp; LOGISTICS'!D7="","",'SCOUT &amp; LOGISTICS'!D7)</f>
        <v>SASHA ZORDAN</v>
      </c>
      <c r="H8" s="206"/>
      <c r="I8" s="206"/>
      <c r="J8" s="206"/>
      <c r="K8" s="206"/>
      <c r="L8" s="206" t="str">
        <f>IF('SCOUT &amp; LOGISTICS'!D8="","",'SCOUT &amp; LOGISTICS'!D8)</f>
        <v>ALESSANDRO COLOMBO</v>
      </c>
      <c r="M8" s="206"/>
      <c r="N8" s="206"/>
      <c r="O8" s="206"/>
      <c r="P8" s="206"/>
      <c r="Q8" s="206" t="str">
        <f>IF('SCOUT &amp; LOGISTICS'!D9="","",'SCOUT &amp; LOGISTICS'!D9)</f>
        <v>FJORENCO HYSI</v>
      </c>
      <c r="R8" s="206"/>
      <c r="S8" s="206"/>
      <c r="T8" s="206"/>
      <c r="U8" s="206"/>
      <c r="V8" s="206" t="str">
        <f>IF('SCOUT &amp; LOGISTICS'!D10="","",'SCOUT &amp; LOGISTICS'!D10)</f>
        <v>NOEMI DEIMICHEI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640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1.5625E-2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7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4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10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3</v>
      </c>
      <c r="H27" s="197"/>
      <c r="I27" s="197"/>
      <c r="J27" s="197"/>
      <c r="K27" s="197"/>
      <c r="L27" s="197">
        <f>'SCOUT &amp; LOGISTICS'!AC23</f>
        <v>3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If you improve on criteria, you can lower mistakes and upgrade your performance. If oyu miss any play, you can always ask for help. That's what we are here for ;)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14.0625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D68FBCC-2D5D-4D8C-9114-8DD64B2592AF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2026-02-11T20:49:08Z</cp:lastPrinted>
  <dcterms:created xsi:type="dcterms:W3CDTF">2023-09-19T19:50:35Z</dcterms:created>
  <dcterms:modified xsi:type="dcterms:W3CDTF">2026-02-11T20:49:13Z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