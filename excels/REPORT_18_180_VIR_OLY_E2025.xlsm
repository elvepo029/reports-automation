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league/"/>
    </mc:Choice>
  </mc:AlternateContent>
  <xr:revisionPtr revIDLastSave="104" documentId="8_{E146F329-021F-47FC-B2E3-E39A62522E06}" xr6:coauthVersionLast="47" xr6:coauthVersionMax="47" xr10:uidLastSave="{45ED77BB-9024-4E0C-BF06-9B78EE9294F1}"/>
  <bookViews>
    <workbookView xWindow="-90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W5" i="1" s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<sst xmlns="http://schemas.openxmlformats.org/spreadsheetml/2006/main" count="3290" uniqueCount="768">
  <si>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</si>
  <si>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</si>
  <si>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</si>
  <si>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</si>
  <si>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</si>
  <si>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</si>
  <si>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</si>
  <si>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</si>
  <si>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</si>
  <si>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</si>
  <si>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</si>
  <si>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</si>
  <si>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</si>
  <si>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</si>
  <si>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</si>
  <si>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</si>
  <si>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</si>
  <si>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</si>
  <si>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</si>
  <si>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</si>
  <si>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</si>
  <si>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</si>
  <si>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</si>
  <si>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</si>
  <si>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</si>
  <si>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</si>
  <si>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</si>
  <si>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</si>
  <si>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</si>
  <si>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</si>
  <si>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</si>
  <si>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</si>
  <si>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</si>
  <si>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</si>
  <si>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</si>
  <si>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</si>
  <si>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</si>
  <si>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</si>
  <si>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</si>
  <si>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</si>
  <si>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</si>
  <si>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</si>
  <si>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</si>
  <si>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</si>
  <si>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</si>
  <si>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</si>
  <si>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</si>
  <si>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</si>
  <si>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</si>
  <si>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</si>
  <si>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</si>
  <si>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</si>
  <si>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</si>
  <si>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</si>
  <si>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</si>
  <si>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</si>
  <si>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</si>
  <si>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</si>
  <si>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</si>
  <si>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</si>
  <si>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</si>
  <si>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</si>
  <si>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</si>
  <si>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</si>
  <si>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</si>
  <si>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</si>
  <si>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</si>
  <si>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</si>
  <si>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</si>
  <si>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</si>
  <si>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</si>
  <si>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</si>
  <si>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</si>
  <si>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</si>
  <si>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</si>
  <si>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</si>
  <si>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</si>
  <si>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</si>
  <si>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</si>
  <si>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</si>
  <si>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</si>
  <si>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</si>
  <si>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</si>
  <si>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</si>
  <si>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</si>
  <si>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</si>
  <si>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</si>
  <si>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</si>
  <si>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</si>
  <si>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</si>
  <si>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</si>
  <si>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</si>
  <si>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</si>
  <si>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</si>
  <si>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</si>
  <si>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</si>
  <si>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</si>
  <si>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</si>
  <si>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</si>
  <si>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</si>
  <si>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</si>
  <si>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</si>
  <si>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</si>
  <si>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</si>
  <si>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</si>
  <si>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</si>
  <si>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</si>
  <si>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</si>
  <si>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</si>
  <si>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</si>
  <si>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</si>
  <si>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</si>
  <si>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</si>
  <si>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</si>
  <si>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</si>
  <si>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</si>
  <si>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</si>
  <si>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</si>
  <si>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</si>
  <si>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</si>
  <si>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</si>
  <si>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</si>
  <si>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</si>
  <si>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</si>
  <si>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</si>
  <si>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</si>
  <si>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</si>
  <si>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</si>
  <si>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</si>
  <si>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</si>
  <si>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</si>
  <si>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</si>
  <si>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</si>
  <si>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</si>
  <si>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</si>
  <si>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</si>
  <si>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</si>
  <si>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</si>
  <si>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</si>
  <si>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</si>
  <si>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</si>
  <si>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</si>
  <si>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</si>
  <si>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</si>
  <si>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</si>
  <si>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</si>
  <si>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</si>
  <si>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</si>
  <si>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</si>
  <si>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</si>
  <si>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</si>
  <si>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</si>
  <si>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</si>
  <si>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</si>
  <si>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</si>
  <si>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</si>
  <si>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</si>
  <si>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</si>
  <si>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</si>
  <si>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</si>
  <si>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</si>
  <si>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</si>
  <si>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</si>
  <si>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</si>
  <si>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</si>
  <si>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</si>
  <si>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</si>
  <si>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</si>
  <si>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</si>
  <si>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</si>
  <si>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</si>
  <si>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</si>
  <si>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</si>
  <si>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</si>
  <si>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</si>
  <si>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</si>
  <si>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</si>
  <si>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</si>
  <si>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</si>
  <si>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</si>
  <si>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</si>
  <si>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</si>
  <si>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</si>
  <si>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</si>
  <si>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</si>
  <si>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</si>
  <si>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</si>
  <si>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</si>
  <si>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</si>
  <si>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</si>
  <si>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</si>
  <si>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</si>
  <si>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</si>
  <si>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</si>
  <si>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</si>
  <si>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</si>
  <si>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</si>
  <si>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</si>
  <si>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</si>
  <si>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</si>
  <si>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</si>
  <si>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</si>
  <si>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</si>
  <si>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</si>
  <si>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</si>
  <si>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</si>
  <si>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</si>
  <si>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</si>
  <si>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</si>
  <si>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</si>
  <si>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</si>
  <si>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</si>
  <si>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</si>
  <si>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</si>
  <si>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</si>
  <si>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</si>
  <si>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</si>
  <si>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</si>
  <si>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</si>
  <si>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</si>
  <si>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</si>
  <si>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</si>
  <si>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</si>
  <si>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</si>
  <si>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</si>
  <si>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</si>
  <si>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</si>
  <si>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</si>
  <si>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</si>
  <si>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</si>
  <si>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</si>
  <si>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</si>
  <si>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</si>
  <si>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</si>
  <si>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</si>
  <si>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</si>
  <si>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</si>
  <si>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</si>
  <si>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</si>
  <si>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</si>
  <si>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</si>
  <si>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</si>
  <si>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</si>
  <si>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</si>
  <si>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</si>
  <si>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</si>
  <si>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</si>
  <si>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</si>
  <si>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</si>
  <si>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</si>
  <si>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</si>
  <si>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</si>
  <si>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</si>
  <si>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</si>
  <si>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</si>
  <si>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</si>
  <si>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</si>
  <si>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</si>
  <si>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</si>
  <si>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</si>
  <si>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</si>
  <si>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</si>
  <si>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</si>
  <si>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</si>
  <si>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</si>
  <si>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</si>
  <si>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</si>
  <si>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</si>
  <si>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</si>
  <si>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</si>
  <si>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</si>
  <si>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</si>
  <si>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</si>
  <si>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</si>
  <si>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</si>
  <si>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</si>
  <si>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</si>
  <si>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</si>
  <si>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</si>
  <si>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</si>
  <si>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</si>
  <si>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</si>
  <si>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</si>
  <si>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</si>
  <si>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</si>
  <si>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</si>
  <si>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</si>
  <si>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</si>
  <si>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</si>
  <si>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</si>
  <si>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</si>
  <si>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</si>
  <si>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</si>
  <si>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</si>
  <si>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</si>
  <si>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</si>
  <si>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</si>
  <si>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</si>
  <si>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</si>
  <si>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</si>
  <si>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</si>
  <si>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</si>
  <si>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</si>
  <si>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</si>
  <si>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</si>
  <si>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</si>
  <si>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</si>
  <si>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</si>
  <si>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</si>
  <si>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</si>
  <si>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</si>
  <si>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</si>
  <si>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</si>
  <si>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</si>
  <si>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</si>
  <si>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</si>
  <si>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</si>
  <si>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</si>
  <si>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</si>
  <si>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</si>
  <si>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</si>
  <si>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</si>
  <si>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</si>
  <si>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</si>
  <si>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</si>
  <si>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</si>
  <si>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</si>
  <si>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</si>
  <si>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</si>
  <si>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</si>
  <si>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</si>
  <si>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</si>
  <si>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</si>
  <si>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</si>
  <si>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</si>
  <si>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</si>
  <si>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</si>
  <si>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</si>
  <si>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</si>
  <si>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</si>
  <si>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</si>
  <si>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</si>
  <si>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</si>
  <si>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</si>
  <si>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</si>
  <si>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</si>
  <si>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</si>
  <si>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</si>
  <si>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</si>
  <si>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</si>
  <si>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</si>
  <si>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</si>
  <si>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</si>
  <si>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</si>
  <si>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</si>
  <si>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</si>
  <si>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</si>
  <si>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</si>
  <si>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</si>
  <si>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</si>
  <si>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</si>
  <si>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</si>
  <si>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</si>
  <si>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</si>
  <si>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</si>
  <si>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</si>
  <si>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</si>
  <si>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</si>
  <si>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</si>
  <si>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</si>
  <si>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</si>
  <si>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</si>
  <si>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</si>
  <si>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</si>
  <si>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</si>
  <si>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</si>
  <si>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</si>
  <si>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</si>
  <si>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</si>
  <si>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</si>
  <si>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</si>
  <si>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</si>
  <si>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</si>
  <si>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</si>
  <si>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</si>
  <si>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</si>
  <si>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</si>
  <si>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</si>
  <si>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</si>
  <si>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</si>
  <si>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</si>
  <si>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</si>
  <si>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</si>
  <si>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</si>
  <si>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</si>
  <si>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</si>
  <si>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</si>
  <si>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</si>
  <si>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</si>
  <si>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</si>
  <si>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</si>
  <si>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</si>
  <si>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</si>
  <si>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</si>
  <si>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</si>
  <si>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</si>
  <si>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</si>
  <si>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</si>
  <si>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</si>
  <si>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</si>
  <si>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</si>
  <si>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</si>
  <si>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</si>
  <si>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</si>
  <si>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</si>
  <si>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</si>
  <si>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</si>
  <si>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</si>
  <si>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</si>
  <si>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</si>
  <si>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</si>
  <si>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</si>
  <si>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</si>
  <si>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</si>
  <si>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</si>
  <si>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</si>
  <si>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</si>
  <si>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</si>
  <si>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</si>
  <si>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</si>
  <si>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</si>
  <si>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</si>
  <si>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</si>
  <si>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</si>
  <si>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</si>
  <si>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</si>
  <si>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</si>
  <si>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</si>
  <si>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</si>
  <si>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</si>
  <si>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</si>
  <si>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</si>
  <si>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</si>
  <si>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</si>
  <si>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</si>
  <si>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</si>
  <si>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</si>
  <si>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</si>
  <si>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</si>
  <si>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</si>
  <si>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</si>
  <si>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</si>
  <si>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</si>
  <si>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</si>
  <si>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</si>
  <si>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</si>
  <si>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</si>
  <si>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</si>
  <si>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</si>
  <si>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</si>
  <si>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</si>
  <si>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</si>
  <si>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</si>
  <si>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</si>
  <si>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</si>
  <si>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</si>
  <si>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</si>
  <si>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</si>
  <si>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</si>
  <si>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</si>
  <si>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</si>
  <si>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</si>
  <si>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</si>
  <si>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</si>
  <si>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</si>
  <si>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</si>
  <si>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</si>
  <si>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</si>
  <si>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</si>
  <si>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</si>
  <si>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</si>
  <si>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</si>
  <si>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</si>
  <si>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</si>
  <si>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</si>
  <si>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</si>
  <si>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</si>
  <si>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</si>
  <si>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</si>
  <si>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</si>
  <si>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</si>
  <si>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</si>
  <si>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</si>
  <si>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</si>
  <si>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</si>
  <si>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</si>
  <si>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</si>
  <si>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</si>
  <si>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</si>
  <si>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</si>
  <si>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</si>
  <si>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</si>
  <si>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</si>
  <si>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</si>
  <si>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</si>
  <si>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</si>
  <si>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</si>
  <si>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</si>
  <si>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</si>
  <si>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</si>
  <si>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</si>
  <si>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</si>
  <si>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</si>
  <si>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</si>
  <si>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</si>
  <si>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</si>
  <si>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</si>
  <si>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</si>
  <si>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</si>
  <si>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</si>
  <si>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</si>
  <si>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</si>
  <si>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</si>
  <si>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</si>
  <si>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</si>
  <si>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</si>
  <si>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</si>
  <si>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</si>
  <si>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</si>
  <si>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</si>
  <si>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</si>
  <si>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</si>
  <si>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</si>
  <si>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</si>
  <si>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</si>
  <si>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</si>
  <si>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</si>
  <si>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</si>
  <si>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</si>
  <si>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</si>
  <si>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</si>
  <si>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</si>
  <si>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</si>
  <si>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</si>
  <si>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</si>
  <si>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</si>
  <si>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</si>
  <si>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</si>
  <si>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</si>
  <si>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</si>
  <si>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</si>
  <si>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</si>
  <si>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</si>
  <si>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</si>
  <si>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</si>
  <si>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</si>
  <si>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</si>
  <si>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</si>
  <si>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</si>
  <si>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</si>
  <si>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</si>
  <si>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</si>
  <si>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</si>
  <si>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</si>
  <si>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</si>
  <si>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</si>
  <si>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</si>
  <si>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</si>
  <si>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</si>
  <si>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</si>
  <si>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</si>
  <si>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</si>
  <si>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</si>
  <si>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</si>
  <si>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</si>
  <si>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</si>
  <si>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</si>
  <si>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</si>
  <si>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</si>
  <si>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</si>
  <si>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</si>
  <si>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</si>
  <si>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</si>
  <si>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</si>
  <si>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</si>
  <si>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</si>
  <si>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</si>
  <si>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</si>
  <si>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</si>
  <si>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</si>
  <si>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</si>
  <si>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</si>
  <si>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</si>
  <si>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</si>
  <si>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</si>
  <si>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</si>
  <si>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</si>
  <si>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</si>
  <si>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</si>
  <si>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</si>
  <si>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</si>
  <si>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</si>
  <si>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</si>
  <si>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</si>
  <si>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</si>
  <si>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</si>
  <si>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</si>
  <si>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</si>
  <si>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</si>
  <si>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</si>
  <si>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</si>
  <si>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</si>
  <si>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</si>
  <si>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</si>
  <si>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</si>
  <si>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</si>
  <si>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</si>
  <si>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</si>
  <si>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</si>
  <si>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</si>
  <si>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</si>
  <si>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</si>
  <si>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</si>
  <si>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</si>
  <si>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</si>
  <si>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</si>
  <si>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</si>
  <si>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</si>
  <si>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</si>
  <si>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</si>
  <si>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</si>
  <si>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</si>
  <si>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</si>
  <si>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</si>
  <si>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</si>
  <si>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</si>
  <si>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</si>
  <si>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</si>
  <si>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</si>
  <si>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</si>
  <si>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</si>
  <si>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</si>
  <si>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</si>
  <si>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</si>
  <si>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</si>
  <si>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</si>
  <si>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</si>
  <si>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</si>
  <si>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</si>
  <si>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</si>
  <si>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</si>
  <si>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</si>
  <si>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</si>
  <si>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</si>
  <si>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</si>
  <si>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</si>
  <si>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</si>
  <si>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</si>
  <si>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</si>
  <si>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</si>
  <si>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</si>
  <si>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</si>
  <si>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</si>
  <si>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</si>
  <si>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</si>
  <si>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</si>
  <si>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</si>
  <si>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</si>
  <si>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</si>
  <si>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</si>
  <si>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</si>
  <si>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</si>
  <si>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</si>
  <si>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</si>
  <si>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</si>
  <si>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</si>
  <si>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</si>
  <si>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</si>
  <si>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</si>
  <si>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</si>
  <si>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</si>
  <si>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</si>
  <si>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</si>
  <si>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</si>
  <si>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</si>
  <si>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</si>
  <si>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</si>
  <si>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</si>
  <si>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</si>
  <si>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</si>
  <si>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</si>
  <si>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</si>
  <si>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</si>
  <si>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</si>
  <si>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</si>
  <si>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</si>
  <si>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</si>
  <si>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</si>
  <si>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</si>
  <si>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</si>
  <si>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</si>
  <si>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</si>
  <si>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</si>
  <si>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</si>
  <si>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</si>
  <si>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</si>
  <si>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</si>
  <si>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</si>
  <si>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</si>
  <si>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</si>
  <si>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</si>
  <si>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</si>
  <si>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</si>
  <si>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</si>
  <si>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</si>
  <si>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</si>
  <si>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</si>
  <si>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</si>
  <si>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</si>
  <si>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</si>
  <si>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</si>
  <si>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</si>
  <si>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</si>
  <si>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</si>
  <si>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</si>
  <si>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</si>
  <si>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</si>
  <si>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</si>
  <si>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</si>
  <si>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</si>
  <si>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</si>
  <si>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</si>
  <si>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</si>
  <si>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</si>
  <si>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</si>
  <si>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</si>
  <si>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</si>
  <si>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</si>
  <si>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</si>
  <si>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</si>
  <si>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</si>
  <si>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</si>
  <si>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</si>
  <si>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</si>
  <si>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</si>
  <si>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</si>
  <si>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</si>
  <si>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</si>
  <si>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</si>
  <si>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E</t>
  </si>
  <si>
    <t>XAVIER MATEU</t>
  </si>
  <si>
    <t>GIACOMO CAMPANELLA</t>
  </si>
  <si>
    <t>EDOARDO GAUDENZI</t>
  </si>
  <si>
    <t>SIMONE LICEN</t>
  </si>
  <si>
    <t xml:space="preserve">ROBERTO PANTANI </t>
  </si>
  <si>
    <t>MARIA CHIARA PASCERINI</t>
  </si>
  <si>
    <t>DAVIDE PEDRINI</t>
  </si>
  <si>
    <t>07:05</t>
  </si>
  <si>
    <t>06:06</t>
  </si>
  <si>
    <t>01:35</t>
  </si>
  <si>
    <t>07:10</t>
  </si>
  <si>
    <t>06:29</t>
  </si>
  <si>
    <t>08:12</t>
  </si>
  <si>
    <t>03:30</t>
  </si>
  <si>
    <t>01:52</t>
  </si>
  <si>
    <t>01:41</t>
  </si>
  <si>
    <t>Very good job! You are always free to review any correction I make with the IRS. I only have one camera from a single position.</t>
  </si>
  <si>
    <t>C:\Users\xavi.mateu\OneDrive - EUROLEAGUE\Desktop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</si>
</sst>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/>
    </sheetView>
  </sheetViews>
  <sheetFormatPr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18</v>
      </c>
      <c r="D1" s="124" t="s">
        <v>749</v>
      </c>
      <c r="E1" s="125">
        <v>2025</v>
      </c>
      <c r="F1" s="120" t="str">
        <f>TEXT(C1,"00") &amp; "_" &amp; TEXT(C2,"000")&amp; "_" &amp; H4 &amp; "_" &amp; H5 &amp; "_" &amp; B2</f>
        <v>18_180_VIR_OLY_E2025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767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E2025</v>
      </c>
      <c r="C2" s="123">
        <v>180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56">
        <f ca="1">IF(ISERROR(VLOOKUP($B$2&amp;TEXT($C$2,"000"),GAMES!$A$3:$I$562,8,FALSE)),NOW(),VLOOKUP($B$2&amp;TEXT($C$2,"000"),GAMES!$A$3:$I$562,8,FALSE))</f>
        <v>46017.854166666664</v>
      </c>
      <c r="C3" s="157"/>
      <c r="D3" s="39">
        <v>606</v>
      </c>
      <c r="E3" s="29"/>
      <c r="F3" s="26">
        <f>SUBTOTAL(3,I17:I106)</f>
        <v>9</v>
      </c>
      <c r="G3" s="27">
        <f>IF(OR(D3="",D3=0),"",F3/D3)</f>
        <v>1.4851485148514851E-2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3" t="s">
        <v>86</v>
      </c>
      <c r="C4" s="164"/>
      <c r="D4" s="160" t="str">
        <f>IF(ISERROR(VLOOKUP(H4,Teams!$B$2:$C$44,2,FALSE)),"Local Team",VLOOKUP(H4,Teams!$B$2:$C$44,2,FALSE))</f>
        <v>Virtus Bologna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VIR</v>
      </c>
      <c r="I4" s="5"/>
      <c r="J4" s="119" t="s">
        <v>714</v>
      </c>
      <c r="K4" s="54" t="s">
        <v>743</v>
      </c>
      <c r="L4" s="5"/>
      <c r="M4" s="167" t="s">
        <v>766</v>
      </c>
      <c r="N4" s="168"/>
      <c r="O4" s="2"/>
      <c r="P4" s="2"/>
      <c r="Q4" s="84" t="s">
        <v>175</v>
      </c>
      <c r="R4" s="94">
        <f>(IF(G3="",0,G3))</f>
        <v>1.4851485148514851E-2</v>
      </c>
      <c r="S4" s="61">
        <f>SUM(I13:M13)</f>
        <v>0</v>
      </c>
      <c r="T4" s="78"/>
      <c r="U4" s="61">
        <f>AC18</f>
        <v>5</v>
      </c>
      <c r="V4" s="61">
        <f>+AC22</f>
        <v>4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65" t="s">
        <v>87</v>
      </c>
      <c r="C5" s="166"/>
      <c r="D5" s="173" t="str">
        <f>IF(ISERROR(VLOOKUP(H5,Teams!$B$2:$C$44,2,FALSE)),"Visitor Team",VLOOKUP(H5,Teams!$B$2:$C$44,2,FALSE))</f>
        <v>Olympiacos Piraeus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OLY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1.4851485148514851</v>
      </c>
      <c r="S5" s="70">
        <f t="shared" ref="S5" si="0">S4*S3</f>
        <v>0</v>
      </c>
      <c r="T5" s="92"/>
      <c r="U5" s="70">
        <f t="shared" ref="U5:AG5" si="1">U4*U3</f>
        <v>2.5</v>
      </c>
      <c r="V5" s="70">
        <f t="shared" si="1"/>
        <v>4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3" t="s">
        <v>95</v>
      </c>
      <c r="C6" s="164"/>
      <c r="D6" s="178" t="s">
        <v>751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87" t="s">
        <v>96</v>
      </c>
      <c r="C7" s="188"/>
      <c r="D7" s="178" t="s">
        <v>752</v>
      </c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7.9851485148514847</v>
      </c>
      <c r="N7" s="58"/>
      <c r="O7" s="2"/>
      <c r="P7" s="2"/>
      <c r="Q7" s="86">
        <f>SUM(R5,S5,AC16)</f>
        <v>7.9851485148514847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65" t="s">
        <v>97</v>
      </c>
      <c r="C8" s="189"/>
      <c r="D8" s="181" t="s">
        <v>753</v>
      </c>
      <c r="E8" s="182"/>
      <c r="F8" s="182"/>
      <c r="G8" s="18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7.9851485148514847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3" t="s">
        <v>98</v>
      </c>
      <c r="C9" s="190"/>
      <c r="D9" s="178" t="s">
        <v>754</v>
      </c>
      <c r="E9" s="179"/>
      <c r="F9" s="179"/>
      <c r="G9" s="18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65" t="s">
        <v>99</v>
      </c>
      <c r="C10" s="189"/>
      <c r="D10" s="181" t="s">
        <v>755</v>
      </c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76" t="s">
        <v>108</v>
      </c>
      <c r="C11" s="177"/>
      <c r="D11" s="191" t="s">
        <v>756</v>
      </c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180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76" t="s">
        <v>162</v>
      </c>
      <c r="C14" s="177"/>
      <c r="D14" s="184" t="s">
        <v>750</v>
      </c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9</v>
      </c>
      <c r="J15" s="24">
        <f>SUBTOTAL(3,J17:J106)</f>
        <v>9</v>
      </c>
      <c r="K15" s="24">
        <f>SUBTOTAL(3,K17:K106)</f>
        <v>9</v>
      </c>
      <c r="L15" s="24">
        <f>SUBTOTAL(3,L17:L106)</f>
        <v>9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9</v>
      </c>
      <c r="Z16" s="90" t="s">
        <v>110</v>
      </c>
      <c r="AA16" s="75">
        <f>SUM(AA17:AA24)</f>
        <v>9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6.5</v>
      </c>
      <c r="AD16" s="75">
        <f>SUM(AD17:AD24)</f>
        <v>45</v>
      </c>
      <c r="AE16" s="76" t="s">
        <v>42</v>
      </c>
      <c r="AF16" s="75">
        <f>SUM(AF17:AF24)</f>
        <v>2</v>
      </c>
      <c r="AG16" s="75">
        <f>SUM(AG17:AG21)</f>
        <v>9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>E2025</v>
      </c>
      <c r="C17" s="31">
        <f t="shared" ref="C17:C48" si="3">IF(I17="","",$C$2)</f>
        <v>180</v>
      </c>
      <c r="D17" s="32" t="s">
        <v>757</v>
      </c>
      <c r="E17" s="33">
        <v>1</v>
      </c>
      <c r="F17" s="36">
        <v>7</v>
      </c>
      <c r="G17" s="36">
        <v>10</v>
      </c>
      <c r="H17" s="38" t="str">
        <f>IF(I17="","",$I$14)</f>
        <v>SCOUTING</v>
      </c>
      <c r="I17" s="34">
        <v>28</v>
      </c>
      <c r="J17" s="13" t="s">
        <v>4</v>
      </c>
      <c r="K17" s="13" t="s">
        <v>63</v>
      </c>
      <c r="L17" s="13" t="s">
        <v>6</v>
      </c>
      <c r="M17" s="13" t="s">
        <v>10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9</v>
      </c>
      <c r="Z17" s="105" t="s">
        <v>63</v>
      </c>
      <c r="AA17" s="62">
        <f>COUNTIF($K$17:$K$106,Z17)</f>
        <v>3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1</v>
      </c>
      <c r="AG17" s="62">
        <f>COUNTIF($E$17:$E$106,$AK17)</f>
        <v>1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>E2025</v>
      </c>
      <c r="C18" s="31">
        <f t="shared" si="3"/>
        <v>180</v>
      </c>
      <c r="D18" s="32" t="s">
        <v>758</v>
      </c>
      <c r="E18" s="33">
        <v>2</v>
      </c>
      <c r="F18" s="36">
        <v>31</v>
      </c>
      <c r="G18" s="36">
        <v>34</v>
      </c>
      <c r="H18" s="38" t="str">
        <f t="shared" ref="H18:H81" si="8">IF(I18="","",$I$14)</f>
        <v>SCOUTING</v>
      </c>
      <c r="I18" s="34">
        <v>182</v>
      </c>
      <c r="J18" s="13" t="s">
        <v>4</v>
      </c>
      <c r="K18" s="13" t="s">
        <v>63</v>
      </c>
      <c r="L18" s="13" t="s">
        <v>6</v>
      </c>
      <c r="M18" s="13" t="s">
        <v>22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6</v>
      </c>
      <c r="AB18" s="66" t="s">
        <v>5</v>
      </c>
      <c r="AC18" s="61">
        <f t="shared" si="5"/>
        <v>5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2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>E2025</v>
      </c>
      <c r="C19" s="31">
        <f t="shared" si="3"/>
        <v>180</v>
      </c>
      <c r="D19" s="32" t="s">
        <v>759</v>
      </c>
      <c r="E19" s="33">
        <v>2</v>
      </c>
      <c r="F19" s="36">
        <v>39</v>
      </c>
      <c r="G19" s="36">
        <v>48</v>
      </c>
      <c r="H19" s="38" t="str">
        <f t="shared" si="8"/>
        <v>SCOUTING</v>
      </c>
      <c r="I19" s="34">
        <v>255</v>
      </c>
      <c r="J19" s="13" t="s">
        <v>4</v>
      </c>
      <c r="K19" s="13" t="s">
        <v>62</v>
      </c>
      <c r="L19" s="13" t="s">
        <v>6</v>
      </c>
      <c r="M19" s="13" t="s">
        <v>10</v>
      </c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2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>E2025</v>
      </c>
      <c r="C20" s="31">
        <f t="shared" si="3"/>
        <v>180</v>
      </c>
      <c r="D20" s="32" t="s">
        <v>760</v>
      </c>
      <c r="E20" s="33">
        <v>3</v>
      </c>
      <c r="F20" s="36">
        <v>48</v>
      </c>
      <c r="G20" s="36">
        <v>57</v>
      </c>
      <c r="H20" s="38" t="str">
        <f t="shared" si="8"/>
        <v>SCOUTING</v>
      </c>
      <c r="I20" s="34">
        <v>326</v>
      </c>
      <c r="J20" s="13" t="s">
        <v>4</v>
      </c>
      <c r="K20" s="13" t="s">
        <v>62</v>
      </c>
      <c r="L20" s="13" t="s">
        <v>6</v>
      </c>
      <c r="M20" s="13" t="s">
        <v>22</v>
      </c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1</v>
      </c>
      <c r="AG20" s="62">
        <f>COUNTIF($E$17:$E$106,$AK20)</f>
        <v>4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>E2025</v>
      </c>
      <c r="C21" s="31">
        <f t="shared" si="3"/>
        <v>180</v>
      </c>
      <c r="D21" s="32" t="s">
        <v>761</v>
      </c>
      <c r="E21" s="33">
        <v>3</v>
      </c>
      <c r="F21" s="36">
        <v>48</v>
      </c>
      <c r="G21" s="36">
        <v>57</v>
      </c>
      <c r="H21" s="38" t="str">
        <f t="shared" si="8"/>
        <v>SCOUTING</v>
      </c>
      <c r="I21" s="34">
        <v>340</v>
      </c>
      <c r="J21" s="13" t="s">
        <v>4</v>
      </c>
      <c r="K21" s="13" t="s">
        <v>62</v>
      </c>
      <c r="L21" s="13" t="s">
        <v>5</v>
      </c>
      <c r="M21" s="13" t="s">
        <v>9</v>
      </c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>E2025</v>
      </c>
      <c r="C22" s="31">
        <f t="shared" si="3"/>
        <v>180</v>
      </c>
      <c r="D22" s="32" t="s">
        <v>762</v>
      </c>
      <c r="E22" s="33">
        <v>4</v>
      </c>
      <c r="F22" s="36">
        <v>64</v>
      </c>
      <c r="G22" s="36">
        <v>80</v>
      </c>
      <c r="H22" s="38" t="str">
        <f t="shared" si="8"/>
        <v>SCOUTING</v>
      </c>
      <c r="I22" s="34">
        <v>474</v>
      </c>
      <c r="J22" s="13" t="s">
        <v>4</v>
      </c>
      <c r="K22" s="13" t="s">
        <v>62</v>
      </c>
      <c r="L22" s="13" t="s">
        <v>5</v>
      </c>
      <c r="M22" s="13" t="s">
        <v>168</v>
      </c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4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>E2025</v>
      </c>
      <c r="C23" s="31">
        <f t="shared" si="3"/>
        <v>180</v>
      </c>
      <c r="D23" s="32" t="s">
        <v>763</v>
      </c>
      <c r="E23" s="33">
        <v>4</v>
      </c>
      <c r="F23" s="36">
        <v>84</v>
      </c>
      <c r="G23" s="36">
        <v>88</v>
      </c>
      <c r="H23" s="38" t="str">
        <f t="shared" si="8"/>
        <v>SCOUTING</v>
      </c>
      <c r="I23" s="34">
        <v>540</v>
      </c>
      <c r="J23" s="13" t="s">
        <v>4</v>
      </c>
      <c r="K23" s="13" t="s">
        <v>62</v>
      </c>
      <c r="L23" s="13" t="s">
        <v>5</v>
      </c>
      <c r="M23" s="13" t="s">
        <v>11</v>
      </c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>E2025</v>
      </c>
      <c r="C24" s="31">
        <f t="shared" si="3"/>
        <v>180</v>
      </c>
      <c r="D24" s="32" t="s">
        <v>764</v>
      </c>
      <c r="E24" s="33">
        <v>4</v>
      </c>
      <c r="F24" s="36">
        <v>86</v>
      </c>
      <c r="G24" s="36">
        <v>90</v>
      </c>
      <c r="H24" s="38" t="str">
        <f t="shared" si="8"/>
        <v>SCOUTING</v>
      </c>
      <c r="I24" s="34">
        <v>555</v>
      </c>
      <c r="J24" s="13" t="s">
        <v>4</v>
      </c>
      <c r="K24" s="13" t="s">
        <v>63</v>
      </c>
      <c r="L24" s="13" t="s">
        <v>5</v>
      </c>
      <c r="M24" s="13" t="s">
        <v>28</v>
      </c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>E2025</v>
      </c>
      <c r="C25" s="31">
        <f t="shared" si="3"/>
        <v>180</v>
      </c>
      <c r="D25" s="32" t="s">
        <v>765</v>
      </c>
      <c r="E25" s="33">
        <v>4</v>
      </c>
      <c r="F25" s="36">
        <v>86</v>
      </c>
      <c r="G25" s="36">
        <v>90</v>
      </c>
      <c r="H25" s="38" t="str">
        <f t="shared" si="8"/>
        <v>SCOUTING</v>
      </c>
      <c r="I25" s="34">
        <v>558</v>
      </c>
      <c r="J25" s="13" t="s">
        <v>4</v>
      </c>
      <c r="K25" s="13" t="s">
        <v>62</v>
      </c>
      <c r="L25" s="13" t="s">
        <v>5</v>
      </c>
      <c r="M25" s="13" t="s">
        <v>10</v>
      </c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2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1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3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1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0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REPORT_E2025180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"E2025180"</v>
      </c>
      <c r="F3" s="45" t="str">
        <f t="shared" ref="F3:F16" si="0">""""&amp;B3&amp;"""" &amp; " : " &amp;C3&amp;","</f>
        <v>"name" : "E2025180",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"E180"</v>
      </c>
      <c r="F4" s="45" t="str">
        <f t="shared" si="0"/>
        <v>"cod" : "E180",</v>
      </c>
    </row>
    <row r="5" spans="2:6" x14ac:dyDescent="0.25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5">
      <c r="B6" s="43" t="s">
        <v>118</v>
      </c>
      <c r="C6" s="43" t="str">
        <f>TEXT('SCOUT &amp; LOGISTICS'!C2,"000")</f>
        <v>180</v>
      </c>
      <c r="F6" s="45" t="str">
        <f t="shared" si="0"/>
        <v>"number" : 180,</v>
      </c>
    </row>
    <row r="7" spans="2:6" x14ac:dyDescent="0.25">
      <c r="B7" s="43" t="s">
        <v>116</v>
      </c>
      <c r="C7" s="43" t="str">
        <f ca="1">""""&amp;TEXT('SCOUT &amp; LOGISTICS'!B3,"dd/mm/aaaa")&amp;""""</f>
        <v>"26/12/Friday"</v>
      </c>
      <c r="F7" s="45" t="str">
        <f t="shared" ca="1" si="0"/>
        <v>"date" : "26/12/Friday",</v>
      </c>
    </row>
    <row r="8" spans="2:6" x14ac:dyDescent="0.25">
      <c r="B8" s="43" t="s">
        <v>125</v>
      </c>
      <c r="C8" s="43" t="str">
        <f>""""&amp;'SCOUT &amp; LOGISTICS'!D4 &amp;""""</f>
        <v>"Virtus Bologna"</v>
      </c>
      <c r="F8" s="45" t="str">
        <f t="shared" si="0"/>
        <v>"home_team" : "Virtus Bologna",</v>
      </c>
    </row>
    <row r="9" spans="2:6" x14ac:dyDescent="0.25">
      <c r="B9" s="43" t="s">
        <v>126</v>
      </c>
      <c r="C9" s="43" t="str">
        <f>""""&amp;'SCOUT &amp; LOGISTICS'!D5&amp;""""</f>
        <v>"Olympiacos Piraeus"</v>
      </c>
      <c r="F9" s="45" t="str">
        <f t="shared" si="0"/>
        <v>"away_team" : "Olympiacos Piraeus",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"GIACOMO CAMPANELLA"</v>
      </c>
      <c r="F10" s="45" t="str">
        <f t="shared" si="0"/>
        <v>"Data_entry" : "GIACOMO CAMPANELLA",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"EDOARDO GAUDENZI"</v>
      </c>
      <c r="F11" s="45" t="str">
        <f t="shared" si="0"/>
        <v>"Caller_1" : "EDOARDO GAUDENZI",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"SIMONE LICEN"</v>
      </c>
      <c r="F12" s="45" t="str">
        <f t="shared" si="0"/>
        <v>"Caller_2" : "SIMONE LICEN",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"ROBERTO PANTANI "</v>
      </c>
      <c r="F13" s="45" t="str">
        <f t="shared" si="0"/>
        <v>"Timerkeeper" : "ROBERTO PANTANI 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"MARIA CHIARA PASCERINI"</v>
      </c>
      <c r="F14" s="45" t="str">
        <f t="shared" si="0"/>
        <v>"Shotclock" : "MARIA CHIARA PASCERINI",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"DAVIDE PEDRINI"</v>
      </c>
      <c r="F15" s="45" t="str">
        <f t="shared" si="0"/>
        <v>"IRS" : "DAVIDE PEDRINI",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"XAVIER MATEU"</v>
      </c>
      <c r="F16" s="45" t="str">
        <f t="shared" si="0"/>
        <v>"Live_Game_Manager" : "XAVIER MATEU",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606</v>
      </c>
      <c r="F25" s="45" t="str">
        <f t="shared" ref="F25:F48" si="1">""""&amp;C25&amp;"""" &amp; " : " &amp;D25&amp;","</f>
        <v>"total_actions" : 606,</v>
      </c>
    </row>
    <row r="26" spans="2:6" x14ac:dyDescent="0.25">
      <c r="C26" s="43" t="s">
        <v>132</v>
      </c>
      <c r="D26" s="43">
        <f>'SCOUT &amp; LOGISTICS'!F3</f>
        <v>9</v>
      </c>
      <c r="F26" s="45" t="str">
        <f t="shared" si="1"/>
        <v>"total_correcions" : 9,</v>
      </c>
    </row>
    <row r="27" spans="2:6" x14ac:dyDescent="0.25">
      <c r="C27" s="43" t="s">
        <v>133</v>
      </c>
      <c r="D27" s="43" t="str">
        <f>""""&amp;IF(OR(D25="",D25=0),"",TEXT(D26/D25,"0,0%"))&amp;""""</f>
        <v>"01%"</v>
      </c>
      <c r="F27" s="45" t="str">
        <f t="shared" si="1"/>
        <v>"%_corrections" : "01%",</v>
      </c>
    </row>
    <row r="28" spans="2:6" x14ac:dyDescent="0.25">
      <c r="C28" s="43" t="s">
        <v>125</v>
      </c>
      <c r="D28" s="43">
        <f>IF('SCOUT &amp; LOGISTICS'!AA17="","",'SCOUT &amp; LOGISTICS'!AA17)</f>
        <v>3</v>
      </c>
      <c r="F28" s="45" t="str">
        <f t="shared" si="1"/>
        <v>"home_team" : 3,</v>
      </c>
    </row>
    <row r="29" spans="2:6" x14ac:dyDescent="0.25">
      <c r="C29" s="43" t="s">
        <v>134</v>
      </c>
      <c r="D29" s="43">
        <f>IF('SCOUT &amp; LOGISTICS'!AA18="","",'SCOUT &amp; LOGISTICS'!AA18)</f>
        <v>6</v>
      </c>
      <c r="F29" s="45" t="str">
        <f t="shared" si="1"/>
        <v>"no_team" : 6,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1</v>
      </c>
      <c r="F31" s="45" t="str">
        <f t="shared" si="1"/>
        <v>"q1" : 1,</v>
      </c>
    </row>
    <row r="32" spans="2:6" x14ac:dyDescent="0.25">
      <c r="C32" s="43" t="s">
        <v>136</v>
      </c>
      <c r="D32" s="43">
        <f>'SCOUT &amp; LOGISTICS'!AG18</f>
        <v>2</v>
      </c>
      <c r="F32" s="45" t="str">
        <f t="shared" si="1"/>
        <v>"q2" : 2,</v>
      </c>
    </row>
    <row r="33" spans="3:6" x14ac:dyDescent="0.25">
      <c r="C33" s="43" t="s">
        <v>137</v>
      </c>
      <c r="D33" s="43">
        <f>'SCOUT &amp; LOGISTICS'!AG19</f>
        <v>2</v>
      </c>
      <c r="F33" s="45" t="str">
        <f t="shared" si="1"/>
        <v>"q3" : 2,</v>
      </c>
    </row>
    <row r="34" spans="3:6" x14ac:dyDescent="0.25">
      <c r="C34" s="43" t="s">
        <v>138</v>
      </c>
      <c r="D34" s="43">
        <f>'SCOUT &amp; LOGISTICS'!AG20</f>
        <v>4</v>
      </c>
      <c r="F34" s="45" t="str">
        <f t="shared" si="1"/>
        <v>"q4" : 4,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9</v>
      </c>
      <c r="F37" s="45" t="str">
        <f t="shared" si="1"/>
        <v>"scoresheet_corrections" : 9,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5</v>
      </c>
      <c r="F39" s="45" t="str">
        <f t="shared" si="1"/>
        <v>"missidentity" : 5,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"Very good job! You are always free to review any correction I make with the IRS. I only have one camera from a single position."</v>
      </c>
      <c r="F51" s="45" t="str">
        <f>""""&amp;B51&amp;"""" &amp; " : " &amp;C51&amp;","</f>
        <v>"comments" : "Very good job! You are always free to review any correction I make with the IRS. I only have one camera from a single position.",</v>
      </c>
    </row>
    <row r="52" spans="2:6" x14ac:dyDescent="0.25">
      <c r="B52" s="43" t="s">
        <v>153</v>
      </c>
      <c r="C52" s="43" t="str">
        <f>TEXT('SCOUT &amp; LOGISTICS'!F1,"0,0")</f>
        <v>18_180_VIR_OLY_E2025</v>
      </c>
      <c r="F52" s="45" t="str">
        <f>""""&amp;B52&amp;"""" &amp; " : " &amp;C52</f>
        <v>"result" : 18_180_VIR_OLY_E2025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2.5" zeroHeight="1" x14ac:dyDescent="0.2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25"/>
    <row r="2" spans="1:33" ht="42.65" customHeight="1" thickBot="1" x14ac:dyDescent="0.3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3">
      <c r="A3" s="48"/>
      <c r="B3" s="208" t="str">
        <f>"GAME: "&amp; LEFT('SCOUT &amp; LOGISTICS'!B2,1) &amp; TEXT('SCOUT &amp; LOGISTICS'!C2,"000") &amp; " " &amp; IF(LEFT('SCOUT &amp; LOGISTICS'!B2,1)="U","(EUROCUP)","(EUROLEAGUE)")</f>
        <v>GAME: E180 (EUROLEAGUE)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3">
      <c r="A4" s="48"/>
      <c r="B4" s="194" t="str">
        <f ca="1">"DATE: " &amp; TEXT('SCOUT &amp; LOGISTICS'!B3,"dd/mm")</f>
        <v>DATE: 26/12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49999999999999" customHeight="1" thickBot="1" x14ac:dyDescent="0.3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5" customHeight="1" thickBot="1" x14ac:dyDescent="0.3">
      <c r="A6" s="48"/>
      <c r="B6" s="212" t="str">
        <f>PROPER('SCOUT &amp; LOGISTICS'!D4)</f>
        <v>Virtus Bologna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Olympiacos Piraeus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3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3">
      <c r="A8" s="48"/>
      <c r="B8" s="206" t="str">
        <f>IF('SCOUT &amp; LOGISTICS'!D6="","",'SCOUT &amp; LOGISTICS'!D6)</f>
        <v>GIACOMO CAMPANELLA</v>
      </c>
      <c r="C8" s="206"/>
      <c r="D8" s="206"/>
      <c r="E8" s="206"/>
      <c r="F8" s="206"/>
      <c r="G8" s="206" t="str">
        <f>IF('SCOUT &amp; LOGISTICS'!D7="","",'SCOUT &amp; LOGISTICS'!D7)</f>
        <v>EDOARDO GAUDENZI</v>
      </c>
      <c r="H8" s="206"/>
      <c r="I8" s="206"/>
      <c r="J8" s="206"/>
      <c r="K8" s="206"/>
      <c r="L8" s="206" t="str">
        <f>IF('SCOUT &amp; LOGISTICS'!D8="","",'SCOUT &amp; LOGISTICS'!D8)</f>
        <v>SIMONE LICEN</v>
      </c>
      <c r="M8" s="206"/>
      <c r="N8" s="206"/>
      <c r="O8" s="206"/>
      <c r="P8" s="206"/>
      <c r="Q8" s="206" t="str">
        <f>IF('SCOUT &amp; LOGISTICS'!D9="","",'SCOUT &amp; LOGISTICS'!D9)</f>
        <v xml:space="preserve">ROBERTO PANTANI </v>
      </c>
      <c r="R8" s="206"/>
      <c r="S8" s="206"/>
      <c r="T8" s="206"/>
      <c r="U8" s="206"/>
      <c r="V8" s="206" t="str">
        <f>IF('SCOUT &amp; LOGISTICS'!D10="","",'SCOUT &amp; LOGISTICS'!D10)</f>
        <v>MARIA CHIARA PASCERINI</v>
      </c>
      <c r="W8" s="206"/>
      <c r="X8" s="206"/>
      <c r="Y8" s="206"/>
      <c r="Z8" s="206"/>
      <c r="AA8" s="206" t="str">
        <f>IF('SCOUT &amp; LOGISTICS'!D11="","",'SCOUT &amp; LOGISTICS'!D11)</f>
        <v>DAVIDE PEDRINI</v>
      </c>
      <c r="AB8" s="206"/>
      <c r="AC8" s="206"/>
      <c r="AD8" s="206"/>
      <c r="AE8" s="206"/>
      <c r="AF8" s="48"/>
    </row>
    <row r="9" spans="1:33" ht="13" thickBot="1" x14ac:dyDescent="0.3">
      <c r="A9" s="48"/>
      <c r="B9" s="200" t="str">
        <f>IF(OR('SCOUT &amp; LOGISTICS'!D14="",'SCOUT &amp; LOGISTICS'!D14=0),"",'SCOUT &amp; LOGISTICS'!B14 &amp; ": " &amp; 'SCOUT &amp; LOGISTICS'!D14) &amp; "     "</f>
        <v xml:space="preserve">L G M: : XAVIER MATEU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3" thickBot="1" x14ac:dyDescent="0.3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49999999999999" customHeight="1" thickBot="1" x14ac:dyDescent="0.3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3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3">
      <c r="A13" s="48"/>
      <c r="B13" s="207" t="str">
        <f>IF('SCOUT &amp; LOGISTICS'!I12="","",'SCOUT &amp; LOGISTICS'!I12)</f>
        <v>OK</v>
      </c>
      <c r="C13" s="207"/>
      <c r="D13" s="207"/>
      <c r="E13" s="207"/>
      <c r="F13" s="207"/>
      <c r="G13" s="207"/>
      <c r="H13" s="207" t="str">
        <f>IF('SCOUT &amp; LOGISTICS'!J12="","",'SCOUT &amp; LOGISTICS'!J12)</f>
        <v>YES</v>
      </c>
      <c r="I13" s="207"/>
      <c r="J13" s="207"/>
      <c r="K13" s="207"/>
      <c r="L13" s="207"/>
      <c r="M13" s="207"/>
      <c r="N13" s="207" t="str">
        <f>IF('SCOUT &amp; LOGISTICS'!K12="","",'SCOUT &amp; LOGISTICS'!K12)</f>
        <v>GOOD</v>
      </c>
      <c r="O13" s="207"/>
      <c r="P13" s="207"/>
      <c r="Q13" s="207"/>
      <c r="R13" s="207"/>
      <c r="S13" s="207"/>
      <c r="T13" s="207" t="str">
        <f>IF('SCOUT &amp; LOGISTICS'!L12="","",'SCOUT &amp; LOGISTICS'!L12)</f>
        <v>FAST</v>
      </c>
      <c r="U13" s="207"/>
      <c r="V13" s="207"/>
      <c r="W13" s="207"/>
      <c r="X13" s="207"/>
      <c r="Y13" s="207"/>
      <c r="Z13" s="207" t="str">
        <f>IF('SCOUT &amp; LOGISTICS'!M12="","",'SCOUT &amp; LOGISTICS'!M12)</f>
        <v>NO</v>
      </c>
      <c r="AA13" s="207"/>
      <c r="AB13" s="207"/>
      <c r="AC13" s="207"/>
      <c r="AD13" s="207"/>
      <c r="AE13" s="207"/>
      <c r="AF13" s="48"/>
    </row>
    <row r="14" spans="1:33" s="48" customFormat="1" ht="13" thickBot="1" x14ac:dyDescent="0.3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49999999999999" customHeight="1" thickBot="1" x14ac:dyDescent="0.3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3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49999999999999" customHeight="1" thickBot="1" x14ac:dyDescent="0.3">
      <c r="A17" s="48"/>
      <c r="B17" s="204">
        <f>'SCOUT &amp; LOGISTICS'!D3</f>
        <v>606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9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>
        <f>IF(OR(B17="",B17=0),"",L17/B17)</f>
        <v>1.4851485148514851E-2</v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3" thickBot="1" x14ac:dyDescent="0.3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3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3">
      <c r="A20" s="48"/>
      <c r="B20" s="197">
        <f>IF('SCOUT &amp; LOGISTICS'!AA17="","",'SCOUT &amp; LOGISTICS'!AA17)</f>
        <v>3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6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0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3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3">
      <c r="A22" s="48"/>
      <c r="B22" s="197">
        <f>'SCOUT &amp; LOGISTICS'!AG17</f>
        <v>1</v>
      </c>
      <c r="C22" s="197"/>
      <c r="D22" s="197"/>
      <c r="E22" s="197"/>
      <c r="F22" s="197"/>
      <c r="G22" s="197"/>
      <c r="H22" s="197">
        <f>'SCOUT &amp; LOGISTICS'!AG18</f>
        <v>2</v>
      </c>
      <c r="I22" s="197"/>
      <c r="J22" s="197"/>
      <c r="K22" s="197"/>
      <c r="L22" s="197"/>
      <c r="M22" s="197"/>
      <c r="N22" s="197">
        <f>'SCOUT &amp; LOGISTICS'!AG19</f>
        <v>2</v>
      </c>
      <c r="O22" s="197"/>
      <c r="P22" s="197"/>
      <c r="Q22" s="197"/>
      <c r="R22" s="197"/>
      <c r="S22" s="197"/>
      <c r="T22" s="197">
        <f>'SCOUT &amp; LOGISTICS'!AG20</f>
        <v>4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3" thickBot="1" x14ac:dyDescent="0.3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3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3">
      <c r="A25" s="48"/>
      <c r="B25" s="197">
        <f>'SCOUT &amp; LOGISTICS'!Y17</f>
        <v>9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0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3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49999999999999" customHeight="1" thickBot="1" x14ac:dyDescent="0.3">
      <c r="A27" s="48"/>
      <c r="B27" s="197">
        <f>'SCOUT &amp; LOGISTICS'!AC18</f>
        <v>5</v>
      </c>
      <c r="C27" s="197"/>
      <c r="D27" s="197"/>
      <c r="E27" s="197"/>
      <c r="F27" s="197"/>
      <c r="G27" s="197">
        <f>'SCOUT &amp; LOGISTICS'!AC22</f>
        <v>4</v>
      </c>
      <c r="H27" s="197"/>
      <c r="I27" s="197"/>
      <c r="J27" s="197"/>
      <c r="K27" s="197"/>
      <c r="L27" s="197">
        <f>'SCOUT &amp; LOGISTICS'!AC23</f>
        <v>0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0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3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49999999999999" customHeight="1" thickBot="1" x14ac:dyDescent="0.3">
      <c r="A29" s="48"/>
      <c r="B29" s="197">
        <f>'SCOUT &amp; LOGISTICS'!AC25</f>
        <v>0</v>
      </c>
      <c r="C29" s="197"/>
      <c r="D29" s="197"/>
      <c r="E29" s="197"/>
      <c r="F29" s="197"/>
      <c r="G29" s="197">
        <f>'SCOUT &amp; LOGISTICS'!AC24</f>
        <v>0</v>
      </c>
      <c r="H29" s="197"/>
      <c r="I29" s="197"/>
      <c r="J29" s="197"/>
      <c r="K29" s="197"/>
      <c r="L29" s="197">
        <f>'SCOUT &amp; LOGISTICS'!$AC$29</f>
        <v>0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0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3" thickBot="1" x14ac:dyDescent="0.3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49999999999999" customHeight="1" thickBot="1" x14ac:dyDescent="0.3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5" customHeight="1" thickBot="1" x14ac:dyDescent="0.3">
      <c r="A32" s="48"/>
      <c r="B32" s="195" t="str">
        <f>IF('SCOUT &amp; LOGISTICS'!M4="","",'SCOUT &amp; LOGISTICS'!M4)</f>
        <v>Very good job! You are always free to review any correction I make with the IRS. I only have one camera from a single position.</v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49999999999999" customHeight="1" thickBot="1" x14ac:dyDescent="0.3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49999999999999" customHeight="1" thickBot="1" x14ac:dyDescent="0.3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3">
      <c r="A35" s="48"/>
      <c r="B35" s="196">
        <f>'SCOUT &amp; LOGISTICS'!M7</f>
        <v>7.9851485148514847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25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7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E90A9502D2DBE448A9AAF14207EB784" ma:contentTypeVersion="13" ma:contentTypeDescription="Crear nuevo documento." ma:contentTypeScope="" ma:versionID="852fe9ee1a3e76b961a3a564b5cab3cd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954069cb0d0ad98d6bfaa71528164d31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as de imagen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967358A3-76DA-4F4E-8AA3-9FD02F904483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Xavi Mateu</cp:lastModifiedBy>
  <cp:lastPrinted>2025-12-30T14:47:16Z</cp:lastPrinted>
  <dcterms:created xsi:type="dcterms:W3CDTF">2023-09-19T19:50:35Z</dcterms:created>
  <dcterms:modified xsi:type="dcterms:W3CDTF">2025-12-30T14:47:22Z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