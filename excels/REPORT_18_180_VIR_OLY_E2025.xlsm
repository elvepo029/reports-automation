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04" documentId="8_{E146F329-021F-47FC-B2E3-E39A62522E06}" xr6:coauthVersionLast="47" xr6:coauthVersionMax="47" xr10:uidLastSave="{45ED77BB-9024-4E0C-BF06-9B78EE9294F1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<sst xmlns="http://schemas.openxmlformats.org/spreadsheetml/2006/main" count="3290" uniqueCount="768">
  <si>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</si>
  <si>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</si>
  <si>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</si>
  <si>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</si>
  <si>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</si>
  <si>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</si>
  <si>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</si>
  <si>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</si>
  <si>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</si>
  <si>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</si>
  <si>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</si>
  <si>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</si>
  <si>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</si>
  <si>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</si>
  <si>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</si>
  <si>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</si>
  <si>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</si>
  <si>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</si>
  <si>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</si>
  <si>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</si>
  <si>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</si>
  <si>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</si>
  <si>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</si>
  <si>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</si>
  <si>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</si>
  <si>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</si>
  <si>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</si>
  <si>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</si>
  <si>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</si>
  <si>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</si>
  <si>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</si>
  <si>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</si>
  <si>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</si>
  <si>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</si>
  <si>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</si>
  <si>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</si>
  <si>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</si>
  <si>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</si>
  <si>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</si>
  <si>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</si>
  <si>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</si>
  <si>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</si>
  <si>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</si>
  <si>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</si>
  <si>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</si>
  <si>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</si>
  <si>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</si>
  <si>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</si>
  <si>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</si>
  <si>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</si>
  <si>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</si>
  <si>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</si>
  <si>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</si>
  <si>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</si>
  <si>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</si>
  <si>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</si>
  <si>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</si>
  <si>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</si>
  <si>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</si>
  <si>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</si>
  <si>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</si>
  <si>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</si>
  <si>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</si>
  <si>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</si>
  <si>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</si>
  <si>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</si>
  <si>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</si>
  <si>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</si>
  <si>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</si>
  <si>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</si>
  <si>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</si>
  <si>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</si>
  <si>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</si>
  <si>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</si>
  <si>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</si>
  <si>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</si>
  <si>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</si>
  <si>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</si>
  <si>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</si>
  <si>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</si>
  <si>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</si>
  <si>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</si>
  <si>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</si>
  <si>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</si>
  <si>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</si>
  <si>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</si>
  <si>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</si>
  <si>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</si>
  <si>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</si>
  <si>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</si>
  <si>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</si>
  <si>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</si>
  <si>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</si>
  <si>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</si>
  <si>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</si>
  <si>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</si>
  <si>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</si>
  <si>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</si>
  <si>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</si>
  <si>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</si>
  <si>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</si>
  <si>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</si>
  <si>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</si>
  <si>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</si>
  <si>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</si>
  <si>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</si>
  <si>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</si>
  <si>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</si>
  <si>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</si>
  <si>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</si>
  <si>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</si>
  <si>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</si>
  <si>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</si>
  <si>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</si>
  <si>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</si>
  <si>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</si>
  <si>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</si>
  <si>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</si>
  <si>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</si>
  <si>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</si>
  <si>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</si>
  <si>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</si>
  <si>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</si>
  <si>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</si>
  <si>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</si>
  <si>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</si>
  <si>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</si>
  <si>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</si>
  <si>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</si>
  <si>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</si>
  <si>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</si>
  <si>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</si>
  <si>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</si>
  <si>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</si>
  <si>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</si>
  <si>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</si>
  <si>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</si>
  <si>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</si>
  <si>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</si>
  <si>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</si>
  <si>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</si>
  <si>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</si>
  <si>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</si>
  <si>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</si>
  <si>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</si>
  <si>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</si>
  <si>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</si>
  <si>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</si>
  <si>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</si>
  <si>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</si>
  <si>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</si>
  <si>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</si>
  <si>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</si>
  <si>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</si>
  <si>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</si>
  <si>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</si>
  <si>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</si>
  <si>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</si>
  <si>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</si>
  <si>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</si>
  <si>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</si>
  <si>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</si>
  <si>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</si>
  <si>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</si>
  <si>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</si>
  <si>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</si>
  <si>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</si>
  <si>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</si>
  <si>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</si>
  <si>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</si>
  <si>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</si>
  <si>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</si>
  <si>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</si>
  <si>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</si>
  <si>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</si>
  <si>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</si>
  <si>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</si>
  <si>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</si>
  <si>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</si>
  <si>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</si>
  <si>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</si>
  <si>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</si>
  <si>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</si>
  <si>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</si>
  <si>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</si>
  <si>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</si>
  <si>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</si>
  <si>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</si>
  <si>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</si>
  <si>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</si>
  <si>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</si>
  <si>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</si>
  <si>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</si>
  <si>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</si>
  <si>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</si>
  <si>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</si>
  <si>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</si>
  <si>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</si>
  <si>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</si>
  <si>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</si>
  <si>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</si>
  <si>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</si>
  <si>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</si>
  <si>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</si>
  <si>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</si>
  <si>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</si>
  <si>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</si>
  <si>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</si>
  <si>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</si>
  <si>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</si>
  <si>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</si>
  <si>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</si>
  <si>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</si>
  <si>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</si>
  <si>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</si>
  <si>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</si>
  <si>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</si>
  <si>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</si>
  <si>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</si>
  <si>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</si>
  <si>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</si>
  <si>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</si>
  <si>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</si>
  <si>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</si>
  <si>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</si>
  <si>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</si>
  <si>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</si>
  <si>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</si>
  <si>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</si>
  <si>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</si>
  <si>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</si>
  <si>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</si>
  <si>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</si>
  <si>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</si>
  <si>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</si>
  <si>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</si>
  <si>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</si>
  <si>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</si>
  <si>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</si>
  <si>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</si>
  <si>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</si>
  <si>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</si>
  <si>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</si>
  <si>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</si>
  <si>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</si>
  <si>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</si>
  <si>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</si>
  <si>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</si>
  <si>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</si>
  <si>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</si>
  <si>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</si>
  <si>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</si>
  <si>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</si>
  <si>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</si>
  <si>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</si>
  <si>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</si>
  <si>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</si>
  <si>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</si>
  <si>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</si>
  <si>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</si>
  <si>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</si>
  <si>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</si>
  <si>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</si>
  <si>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</si>
  <si>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</si>
  <si>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</si>
  <si>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</si>
  <si>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</si>
  <si>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</si>
  <si>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</si>
  <si>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</si>
  <si>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</si>
  <si>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</si>
  <si>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</si>
  <si>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</si>
  <si>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</si>
  <si>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</si>
  <si>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</si>
  <si>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</si>
  <si>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</si>
  <si>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</si>
  <si>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</si>
  <si>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</si>
  <si>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</si>
  <si>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</si>
  <si>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</si>
  <si>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</si>
  <si>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</si>
  <si>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</si>
  <si>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</si>
  <si>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</si>
  <si>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</si>
  <si>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</si>
  <si>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</si>
  <si>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</si>
  <si>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</si>
  <si>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</si>
  <si>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</si>
  <si>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</si>
  <si>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</si>
  <si>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</si>
  <si>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</si>
  <si>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</si>
  <si>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</si>
  <si>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</si>
  <si>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</si>
  <si>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</si>
  <si>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</si>
  <si>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</si>
  <si>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</si>
  <si>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</si>
  <si>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</si>
  <si>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</si>
  <si>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</si>
  <si>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</si>
  <si>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</si>
  <si>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</si>
  <si>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</si>
  <si>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</si>
  <si>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</si>
  <si>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</si>
  <si>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</si>
  <si>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</si>
  <si>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</si>
  <si>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</si>
  <si>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</si>
  <si>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</si>
  <si>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</si>
  <si>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</si>
  <si>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</si>
  <si>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</si>
  <si>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</si>
  <si>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</si>
  <si>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</si>
  <si>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</si>
  <si>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</si>
  <si>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</si>
  <si>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</si>
  <si>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</si>
  <si>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</si>
  <si>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</si>
  <si>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</si>
  <si>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</si>
  <si>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</si>
  <si>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</si>
  <si>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</si>
  <si>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</si>
  <si>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</si>
  <si>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</si>
  <si>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</si>
  <si>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</si>
  <si>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</si>
  <si>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</si>
  <si>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</si>
  <si>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</si>
  <si>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</si>
  <si>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</si>
  <si>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</si>
  <si>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</si>
  <si>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</si>
  <si>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</si>
  <si>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</si>
  <si>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</si>
  <si>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</si>
  <si>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</si>
  <si>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</si>
  <si>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</si>
  <si>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</si>
  <si>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</si>
  <si>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</si>
  <si>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</si>
  <si>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</si>
  <si>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</si>
  <si>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</si>
  <si>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</si>
  <si>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</si>
  <si>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</si>
  <si>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</si>
  <si>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</si>
  <si>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</si>
  <si>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</si>
  <si>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</si>
  <si>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</si>
  <si>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</si>
  <si>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</si>
  <si>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</si>
  <si>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</si>
  <si>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</si>
  <si>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</si>
  <si>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</si>
  <si>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</si>
  <si>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</si>
  <si>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</si>
  <si>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</si>
  <si>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</si>
  <si>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</si>
  <si>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</si>
  <si>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</si>
  <si>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</si>
  <si>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</si>
  <si>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</si>
  <si>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</si>
  <si>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</si>
  <si>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</si>
  <si>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</si>
  <si>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</si>
  <si>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</si>
  <si>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</si>
  <si>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</si>
  <si>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</si>
  <si>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</si>
  <si>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</si>
  <si>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</si>
  <si>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</si>
  <si>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</si>
  <si>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</si>
  <si>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</si>
  <si>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</si>
  <si>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</si>
  <si>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</si>
  <si>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</si>
  <si>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</si>
  <si>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</si>
  <si>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</si>
  <si>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</si>
  <si>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</si>
  <si>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</si>
  <si>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</si>
  <si>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</si>
  <si>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</si>
  <si>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</si>
  <si>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</si>
  <si>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</si>
  <si>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</si>
  <si>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</si>
  <si>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</si>
  <si>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</si>
  <si>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</si>
  <si>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</si>
  <si>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</si>
  <si>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</si>
  <si>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</si>
  <si>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</si>
  <si>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</si>
  <si>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</si>
  <si>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</si>
  <si>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</si>
  <si>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</si>
  <si>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</si>
  <si>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</si>
  <si>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</si>
  <si>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</si>
  <si>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</si>
  <si>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</si>
  <si>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</si>
  <si>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</si>
  <si>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</si>
  <si>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</si>
  <si>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</si>
  <si>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</si>
  <si>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</si>
  <si>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</si>
  <si>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</si>
  <si>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</si>
  <si>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</si>
  <si>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</si>
  <si>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</si>
  <si>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</si>
  <si>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</si>
  <si>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</si>
  <si>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</si>
  <si>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</si>
  <si>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</si>
  <si>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</si>
  <si>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</si>
  <si>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</si>
  <si>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</si>
  <si>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</si>
  <si>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</si>
  <si>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</si>
  <si>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</si>
  <si>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</si>
  <si>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</si>
  <si>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</si>
  <si>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</si>
  <si>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</si>
  <si>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</si>
  <si>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</si>
  <si>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</si>
  <si>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</si>
  <si>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</si>
  <si>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</si>
  <si>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</si>
  <si>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</si>
  <si>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</si>
  <si>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</si>
  <si>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</si>
  <si>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</si>
  <si>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</si>
  <si>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</si>
  <si>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</si>
  <si>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</si>
  <si>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</si>
  <si>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</si>
  <si>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</si>
  <si>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</si>
  <si>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</si>
  <si>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</si>
  <si>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</si>
  <si>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</si>
  <si>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</si>
  <si>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</si>
  <si>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</si>
  <si>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</si>
  <si>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</si>
  <si>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</si>
  <si>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</si>
  <si>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</si>
  <si>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</si>
  <si>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</si>
  <si>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</si>
  <si>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</si>
  <si>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</si>
  <si>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</si>
  <si>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</si>
  <si>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</si>
  <si>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</si>
  <si>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</si>
  <si>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</si>
  <si>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</si>
  <si>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</si>
  <si>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</si>
  <si>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</si>
  <si>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</si>
  <si>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</si>
  <si>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</si>
  <si>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</si>
  <si>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</si>
  <si>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</si>
  <si>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</si>
  <si>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</si>
  <si>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</si>
  <si>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</si>
  <si>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</si>
  <si>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</si>
  <si>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</si>
  <si>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</si>
  <si>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</si>
  <si>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</si>
  <si>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</si>
  <si>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</si>
  <si>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</si>
  <si>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</si>
  <si>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</si>
  <si>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</si>
  <si>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</si>
  <si>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</si>
  <si>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</si>
  <si>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</si>
  <si>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</si>
  <si>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</si>
  <si>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</si>
  <si>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</si>
  <si>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</si>
  <si>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</si>
  <si>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</si>
  <si>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</si>
  <si>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</si>
  <si>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</si>
  <si>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</si>
  <si>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</si>
  <si>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</si>
  <si>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</si>
  <si>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</si>
  <si>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</si>
  <si>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</si>
  <si>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</si>
  <si>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</si>
  <si>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</si>
  <si>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</si>
  <si>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</si>
  <si>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</si>
  <si>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</si>
  <si>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</si>
  <si>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</si>
  <si>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</si>
  <si>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</si>
  <si>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</si>
  <si>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</si>
  <si>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</si>
  <si>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</si>
  <si>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</si>
  <si>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</si>
  <si>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</si>
  <si>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</si>
  <si>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</si>
  <si>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</si>
  <si>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</si>
  <si>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</si>
  <si>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</si>
  <si>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</si>
  <si>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</si>
  <si>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</si>
  <si>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</si>
  <si>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</si>
  <si>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</si>
  <si>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</si>
  <si>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</si>
  <si>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</si>
  <si>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</si>
  <si>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</si>
  <si>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</si>
  <si>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</si>
  <si>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</si>
  <si>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</si>
  <si>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</si>
  <si>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</si>
  <si>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</si>
  <si>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</si>
  <si>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</si>
  <si>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</si>
  <si>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</si>
  <si>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</si>
  <si>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</si>
  <si>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</si>
  <si>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</si>
  <si>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</si>
  <si>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</si>
  <si>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</si>
  <si>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</si>
  <si>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</si>
  <si>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</si>
  <si>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</si>
  <si>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</si>
  <si>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</si>
  <si>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</si>
  <si>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</si>
  <si>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</si>
  <si>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</si>
  <si>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</si>
  <si>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</si>
  <si>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</si>
  <si>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</si>
  <si>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</si>
  <si>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</si>
  <si>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</si>
  <si>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</si>
  <si>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</si>
  <si>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</si>
  <si>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</si>
  <si>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</si>
  <si>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</si>
  <si>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</si>
  <si>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</si>
  <si>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</si>
  <si>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</si>
  <si>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</si>
  <si>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</si>
  <si>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</si>
  <si>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</si>
  <si>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</si>
  <si>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</si>
  <si>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</si>
  <si>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</si>
  <si>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</si>
  <si>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</si>
  <si>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</si>
  <si>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</si>
  <si>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</si>
  <si>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</si>
  <si>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</si>
  <si>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</si>
  <si>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</si>
  <si>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</si>
  <si>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</si>
  <si>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</si>
  <si>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</si>
  <si>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</si>
  <si>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</si>
  <si>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</si>
  <si>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</si>
  <si>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</si>
  <si>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</si>
  <si>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</si>
  <si>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</si>
  <si>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</si>
  <si>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</si>
  <si>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</si>
  <si>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</si>
  <si>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</si>
  <si>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</si>
  <si>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</si>
  <si>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</si>
  <si>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</si>
  <si>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</si>
  <si>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</si>
  <si>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</si>
  <si>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</si>
  <si>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</si>
  <si>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</si>
  <si>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</si>
  <si>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</si>
  <si>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</si>
  <si>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</si>
  <si>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</si>
  <si>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</si>
  <si>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</si>
  <si>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</si>
  <si>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</si>
  <si>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</si>
  <si>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</si>
  <si>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</si>
  <si>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</si>
  <si>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</si>
  <si>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</si>
  <si>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</si>
  <si>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</si>
  <si>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</si>
  <si>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</si>
  <si>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</si>
  <si>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</si>
  <si>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</si>
  <si>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</si>
  <si>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</si>
  <si>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</si>
  <si>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</si>
  <si>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</si>
  <si>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</si>
  <si>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</si>
  <si>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</si>
  <si>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</si>
  <si>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</si>
  <si>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</si>
  <si>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</si>
  <si>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</si>
  <si>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</si>
  <si>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</si>
  <si>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</si>
  <si>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</si>
  <si>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</si>
  <si>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</si>
  <si>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</si>
  <si>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</si>
  <si>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</si>
  <si>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</si>
  <si>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</si>
  <si>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</si>
  <si>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</si>
  <si>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</si>
  <si>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</si>
  <si>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</si>
  <si>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GIACOMO CAMPANELLA</t>
  </si>
  <si>
    <t>EDOARDO GAUDENZI</t>
  </si>
  <si>
    <t>SIMONE LICEN</t>
  </si>
  <si>
    <t xml:space="preserve">ROBERTO PANTANI </t>
  </si>
  <si>
    <t>MARIA CHIARA PASCERINI</t>
  </si>
  <si>
    <t>DAVIDE PEDRINI</t>
  </si>
  <si>
    <t>07:05</t>
  </si>
  <si>
    <t>06:06</t>
  </si>
  <si>
    <t>01:35</t>
  </si>
  <si>
    <t>07:10</t>
  </si>
  <si>
    <t>06:29</t>
  </si>
  <si>
    <t>08:12</t>
  </si>
  <si>
    <t>03:30</t>
  </si>
  <si>
    <t>01:52</t>
  </si>
  <si>
    <t>01:41</t>
  </si>
  <si>
    <t>Very good job! You are always free to review any correction I make with the IRS. I only have one camera from a single position.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</si>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</sst>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18_180_VIR_OLY_E2025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46017.854166666664</v>
      </c>
      <c r="C3" s="157"/>
      <c r="D3" s="39">
        <v>606</v>
      </c>
      <c r="E3" s="29"/>
      <c r="F3" s="26">
        <f>SUBTOTAL(3,I17:I106)</f>
        <v>9</v>
      </c>
      <c r="G3" s="27">
        <f>IF(OR(D3="",D3=0),"",F3/D3)</f>
        <v>1.4851485148514851E-2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67" t="s">
        <v>766</v>
      </c>
      <c r="N4" s="168"/>
      <c r="O4" s="2"/>
      <c r="P4" s="2"/>
      <c r="Q4" s="84" t="s">
        <v>175</v>
      </c>
      <c r="R4" s="94">
        <f>(IF(G3="",0,G3))</f>
        <v>1.4851485148514851E-2</v>
      </c>
      <c r="S4" s="61">
        <f>SUM(I13:M13)</f>
        <v>0</v>
      </c>
      <c r="T4" s="78"/>
      <c r="U4" s="61">
        <f>AC18</f>
        <v>5</v>
      </c>
      <c r="V4" s="61">
        <f>+AC22</f>
        <v>4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Olympiacos Piraeus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1.4851485148514851</v>
      </c>
      <c r="S5" s="70">
        <f t="shared" ref="S5" si="0">S4*S3</f>
        <v>0</v>
      </c>
      <c r="T5" s="92"/>
      <c r="U5" s="70">
        <f t="shared" ref="U5:AG5" si="1">U4*U3</f>
        <v>2.5</v>
      </c>
      <c r="V5" s="70">
        <f t="shared" si="1"/>
        <v>4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7.9851485148514847</v>
      </c>
      <c r="N7" s="58"/>
      <c r="O7" s="2"/>
      <c r="P7" s="2"/>
      <c r="Q7" s="86">
        <f>SUM(R5,S5,AC16)</f>
        <v>7.9851485148514847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7.9851485148514847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6.5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180</v>
      </c>
      <c r="D17" s="32" t="s">
        <v>757</v>
      </c>
      <c r="E17" s="33">
        <v>1</v>
      </c>
      <c r="F17" s="36">
        <v>7</v>
      </c>
      <c r="G17" s="36">
        <v>10</v>
      </c>
      <c r="H17" s="38" t="str">
        <f>IF(I17="","",$I$14)</f>
        <v>SCOUTING</v>
      </c>
      <c r="I17" s="34">
        <v>28</v>
      </c>
      <c r="J17" s="13" t="s">
        <v>4</v>
      </c>
      <c r="K17" s="13" t="s">
        <v>63</v>
      </c>
      <c r="L17" s="13" t="s">
        <v>6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9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180</v>
      </c>
      <c r="D18" s="32" t="s">
        <v>758</v>
      </c>
      <c r="E18" s="33">
        <v>2</v>
      </c>
      <c r="F18" s="36">
        <v>31</v>
      </c>
      <c r="G18" s="36">
        <v>34</v>
      </c>
      <c r="H18" s="38" t="str">
        <f t="shared" ref="H18:H81" si="8">IF(I18="","",$I$14)</f>
        <v>SCOUTING</v>
      </c>
      <c r="I18" s="34">
        <v>182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6</v>
      </c>
      <c r="AB18" s="66" t="s">
        <v>5</v>
      </c>
      <c r="AC18" s="61">
        <f t="shared" si="5"/>
        <v>5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180</v>
      </c>
      <c r="D19" s="32" t="s">
        <v>759</v>
      </c>
      <c r="E19" s="33">
        <v>2</v>
      </c>
      <c r="F19" s="36">
        <v>39</v>
      </c>
      <c r="G19" s="36">
        <v>48</v>
      </c>
      <c r="H19" s="38" t="str">
        <f t="shared" si="8"/>
        <v>SCOUTING</v>
      </c>
      <c r="I19" s="34">
        <v>255</v>
      </c>
      <c r="J19" s="13" t="s">
        <v>4</v>
      </c>
      <c r="K19" s="13" t="s">
        <v>62</v>
      </c>
      <c r="L19" s="13" t="s">
        <v>6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180</v>
      </c>
      <c r="D20" s="32" t="s">
        <v>760</v>
      </c>
      <c r="E20" s="33">
        <v>3</v>
      </c>
      <c r="F20" s="36">
        <v>48</v>
      </c>
      <c r="G20" s="36">
        <v>57</v>
      </c>
      <c r="H20" s="38" t="str">
        <f t="shared" si="8"/>
        <v>SCOUTING</v>
      </c>
      <c r="I20" s="34">
        <v>326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180</v>
      </c>
      <c r="D21" s="32" t="s">
        <v>761</v>
      </c>
      <c r="E21" s="33">
        <v>3</v>
      </c>
      <c r="F21" s="36">
        <v>48</v>
      </c>
      <c r="G21" s="36">
        <v>57</v>
      </c>
      <c r="H21" s="38" t="str">
        <f t="shared" si="8"/>
        <v>SCOUTING</v>
      </c>
      <c r="I21" s="34">
        <v>340</v>
      </c>
      <c r="J21" s="13" t="s">
        <v>4</v>
      </c>
      <c r="K21" s="13" t="s">
        <v>62</v>
      </c>
      <c r="L21" s="13" t="s">
        <v>5</v>
      </c>
      <c r="M21" s="13" t="s">
        <v>9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180</v>
      </c>
      <c r="D22" s="32" t="s">
        <v>762</v>
      </c>
      <c r="E22" s="33">
        <v>4</v>
      </c>
      <c r="F22" s="36">
        <v>64</v>
      </c>
      <c r="G22" s="36">
        <v>80</v>
      </c>
      <c r="H22" s="38" t="str">
        <f t="shared" si="8"/>
        <v>SCOUTING</v>
      </c>
      <c r="I22" s="34">
        <v>474</v>
      </c>
      <c r="J22" s="13" t="s">
        <v>4</v>
      </c>
      <c r="K22" s="13" t="s">
        <v>62</v>
      </c>
      <c r="L22" s="13" t="s">
        <v>5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4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180</v>
      </c>
      <c r="D23" s="32" t="s">
        <v>763</v>
      </c>
      <c r="E23" s="33">
        <v>4</v>
      </c>
      <c r="F23" s="36">
        <v>84</v>
      </c>
      <c r="G23" s="36">
        <v>88</v>
      </c>
      <c r="H23" s="38" t="str">
        <f t="shared" si="8"/>
        <v>SCOUTING</v>
      </c>
      <c r="I23" s="34">
        <v>540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180</v>
      </c>
      <c r="D24" s="32" t="s">
        <v>764</v>
      </c>
      <c r="E24" s="33">
        <v>4</v>
      </c>
      <c r="F24" s="36">
        <v>86</v>
      </c>
      <c r="G24" s="36">
        <v>90</v>
      </c>
      <c r="H24" s="38" t="str">
        <f t="shared" si="8"/>
        <v>SCOUTING</v>
      </c>
      <c r="I24" s="34">
        <v>555</v>
      </c>
      <c r="J24" s="13" t="s">
        <v>4</v>
      </c>
      <c r="K24" s="13" t="s">
        <v>63</v>
      </c>
      <c r="L24" s="13" t="s">
        <v>5</v>
      </c>
      <c r="M24" s="13" t="s">
        <v>28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180</v>
      </c>
      <c r="D25" s="32" t="s">
        <v>765</v>
      </c>
      <c r="E25" s="33">
        <v>4</v>
      </c>
      <c r="F25" s="36">
        <v>86</v>
      </c>
      <c r="G25" s="36">
        <v>90</v>
      </c>
      <c r="H25" s="38" t="str">
        <f t="shared" si="8"/>
        <v>SCOUTING</v>
      </c>
      <c r="I25" s="34">
        <v>558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2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"E2025180"</v>
      </c>
      <c r="F3" s="45" t="str">
        <f t="shared" ref="F3:F16" si="0">""""&amp;B3&amp;"""" &amp; " : " &amp;C3&amp;","</f>
        <v>"name" : "E2025180",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"E180"</v>
      </c>
      <c r="F4" s="45" t="str">
        <f t="shared" si="0"/>
        <v>"cod" : "E180",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180</v>
      </c>
      <c r="F6" s="45" t="str">
        <f t="shared" si="0"/>
        <v>"number" : 180,</v>
      </c>
    </row>
    <row r="7" spans="2:6" x14ac:dyDescent="0.25">
      <c r="B7" s="43" t="s">
        <v>116</v>
      </c>
      <c r="C7" s="43" t="str">
        <f ca="1">""""&amp;TEXT('SCOUT &amp; LOGISTICS'!B3,"dd/mm/aaaa")&amp;""""</f>
        <v>"26/12/Friday"</v>
      </c>
      <c r="F7" s="45" t="str">
        <f t="shared" ca="1" si="0"/>
        <v>"date" : "26/12/Friday",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"EDOARDO GAUDENZI"</v>
      </c>
      <c r="F11" s="45" t="str">
        <f t="shared" si="0"/>
        <v>"Caller_1" : "EDOARDO GAUDENZI",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"SIMONE LICEN"</v>
      </c>
      <c r="F12" s="45" t="str">
        <f t="shared" si="0"/>
        <v>"Caller_2" : "SIMONE LICEN",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"ROBERTO PANTANI "</v>
      </c>
      <c r="F13" s="45" t="str">
        <f t="shared" si="0"/>
        <v>"Timerkeeper" : "ROBERTO PANTANI 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"MARIA CHIARA PASCERINI"</v>
      </c>
      <c r="F14" s="45" t="str">
        <f t="shared" si="0"/>
        <v>"Shotclock" : "MARIA CHIARA PASCERINI",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"DAVIDE PEDRINI"</v>
      </c>
      <c r="F15" s="45" t="str">
        <f t="shared" si="0"/>
        <v>"IRS" : "DAVIDE PEDRINI",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606</v>
      </c>
      <c r="F25" s="45" t="str">
        <f t="shared" ref="F25:F48" si="1">""""&amp;C25&amp;"""" &amp; " : " &amp;D25&amp;","</f>
        <v>"total_actions" : 606,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6</v>
      </c>
      <c r="F29" s="45" t="str">
        <f t="shared" si="1"/>
        <v>"no_team" : 6,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5</v>
      </c>
      <c r="F39" s="45" t="str">
        <f t="shared" si="1"/>
        <v>"missidentity" : 5,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are always free to review any correction I make with the IRS. I only have one camera from a single position."</v>
      </c>
      <c r="F51" s="45" t="str">
        <f>""""&amp;B51&amp;"""" &amp; " : " &amp;C51&amp;","</f>
        <v>"comments" : "Very good job! You are always free to review any correction I make with the IRS. I only have one camera from a single position.",</v>
      </c>
    </row>
    <row r="52" spans="2:6" x14ac:dyDescent="0.25">
      <c r="B52" s="43" t="s">
        <v>153</v>
      </c>
      <c r="C52" s="43" t="str">
        <f>TEXT('SCOUT &amp; LOGISTICS'!F1,"0,0")</f>
        <v>18_180_VIR_OLY_E2025</v>
      </c>
      <c r="F52" s="45" t="str">
        <f>""""&amp;B52&amp;"""" &amp; " : " &amp;C52</f>
        <v>"result" : 18_180_VIR_OLY_E2025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Olympiacos Piraeus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EDOARDO GAUDENZI</v>
      </c>
      <c r="H8" s="206"/>
      <c r="I8" s="206"/>
      <c r="J8" s="206"/>
      <c r="K8" s="206"/>
      <c r="L8" s="206" t="str">
        <f>IF('SCOUT &amp; LOGISTICS'!D8="","",'SCOUT &amp; LOGISTICS'!D8)</f>
        <v>SIMONE LICEN</v>
      </c>
      <c r="M8" s="206"/>
      <c r="N8" s="206"/>
      <c r="O8" s="206"/>
      <c r="P8" s="206"/>
      <c r="Q8" s="206" t="str">
        <f>IF('SCOUT &amp; LOGISTICS'!D9="","",'SCOUT &amp; LOGISTICS'!D9)</f>
        <v xml:space="preserve">ROBERTO PANTANI </v>
      </c>
      <c r="R8" s="206"/>
      <c r="S8" s="206"/>
      <c r="T8" s="206"/>
      <c r="U8" s="206"/>
      <c r="V8" s="206" t="str">
        <f>IF('SCOUT &amp; LOGISTICS'!D10="","",'SCOUT &amp; LOGISTICS'!D10)</f>
        <v>MARIA CHIARA PASCERINI</v>
      </c>
      <c r="W8" s="206"/>
      <c r="X8" s="206"/>
      <c r="Y8" s="206"/>
      <c r="Z8" s="206"/>
      <c r="AA8" s="206" t="str">
        <f>IF('SCOUT &amp; LOGISTICS'!D11="","",'SCOUT &amp; LOGISTICS'!D11)</f>
        <v>DAVIDE PEDRINI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9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1.4851485148514851E-2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6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9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5</v>
      </c>
      <c r="C27" s="197"/>
      <c r="D27" s="197"/>
      <c r="E27" s="197"/>
      <c r="F27" s="197"/>
      <c r="G27" s="197">
        <f>'SCOUT &amp; LOGISTICS'!AC22</f>
        <v>4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are always free to review any correction I make with the IRS. I only have one camera from a single position.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7.9851485148514847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A386984-D2C4-4549-8692-C318DB29311D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2025-12-30T14:47:16Z</cp:lastPrinted>
  <dcterms:created xsi:type="dcterms:W3CDTF">2023-09-19T19:50:35Z</dcterms:created>
  <dcterms:modified xsi:type="dcterms:W3CDTF">2025-12-30T14:47:22Z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