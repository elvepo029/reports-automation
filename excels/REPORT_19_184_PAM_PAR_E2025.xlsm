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F415CDB-8CA9-4880-9963-AE834D00AF2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<sst xmlns="http://schemas.openxmlformats.org/spreadsheetml/2006/main" count="3333" uniqueCount="831">
  <si>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</si>
  <si>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</si>
  <si>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</si>
  <si>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</si>
  <si>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</si>
  <si>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</si>
  <si>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</si>
  <si>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</si>
  <si>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</si>
  <si>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</si>
  <si>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</si>
  <si>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</si>
  <si>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</si>
  <si>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</si>
  <si>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</si>
  <si>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</si>
  <si>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</si>
  <si>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</si>
  <si>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</si>
  <si>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</si>
  <si>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</si>
  <si>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</si>
  <si>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</si>
  <si>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</si>
  <si>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</si>
  <si>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</si>
  <si>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</si>
  <si>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</si>
  <si>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</si>
  <si>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</si>
  <si>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</si>
  <si>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</si>
  <si>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</si>
  <si>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</si>
  <si>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</si>
  <si>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</si>
  <si>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</si>
  <si>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</si>
  <si>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</si>
  <si>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</si>
  <si>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</si>
  <si>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</si>
  <si>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</si>
  <si>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</si>
  <si>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</si>
  <si>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</si>
  <si>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</si>
  <si>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</si>
  <si>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</si>
  <si>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</si>
  <si>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</si>
  <si>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</si>
  <si>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</si>
  <si>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</si>
  <si>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</si>
  <si>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</si>
  <si>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</si>
  <si>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</si>
  <si>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</si>
  <si>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</si>
  <si>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</si>
  <si>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</si>
  <si>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</si>
  <si>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</si>
  <si>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</si>
  <si>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</si>
  <si>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</si>
  <si>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</si>
  <si>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</si>
  <si>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</si>
  <si>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</si>
  <si>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</si>
  <si>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</si>
  <si>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</si>
  <si>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</si>
  <si>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</si>
  <si>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</si>
  <si>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</si>
  <si>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</si>
  <si>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</si>
  <si>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</si>
  <si>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</si>
  <si>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</si>
  <si>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</si>
  <si>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</si>
  <si>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</si>
  <si>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</si>
  <si>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</si>
  <si>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</si>
  <si>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</si>
  <si>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</si>
  <si>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</si>
  <si>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</si>
  <si>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</si>
  <si>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</si>
  <si>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</si>
  <si>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</si>
  <si>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</si>
  <si>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</si>
  <si>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</si>
  <si>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</si>
  <si>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</si>
  <si>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</si>
  <si>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</si>
  <si>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</si>
  <si>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</si>
  <si>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</si>
  <si>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</si>
  <si>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</si>
  <si>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</si>
  <si>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</si>
  <si>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</si>
  <si>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</si>
  <si>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</si>
  <si>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</si>
  <si>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</si>
  <si>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</si>
  <si>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</si>
  <si>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</si>
  <si>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</si>
  <si>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</si>
  <si>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</si>
  <si>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</si>
  <si>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</si>
  <si>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</si>
  <si>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</si>
  <si>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</si>
  <si>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</si>
  <si>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</si>
  <si>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</si>
  <si>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</si>
  <si>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</si>
  <si>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</si>
  <si>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</si>
  <si>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</si>
  <si>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</si>
  <si>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</si>
  <si>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</si>
  <si>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</si>
  <si>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</si>
  <si>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</si>
  <si>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</si>
  <si>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</si>
  <si>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</si>
  <si>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</si>
  <si>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</si>
  <si>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</si>
  <si>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</si>
  <si>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</si>
  <si>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</si>
  <si>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</si>
  <si>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</si>
  <si>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</si>
  <si>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</si>
  <si>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</si>
  <si>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</si>
  <si>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</si>
  <si>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</si>
  <si>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</si>
  <si>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</si>
  <si>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</si>
  <si>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</si>
  <si>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</si>
  <si>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</si>
  <si>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</si>
  <si>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</si>
  <si>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</si>
  <si>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</si>
  <si>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</si>
  <si>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</si>
  <si>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</si>
  <si>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</si>
  <si>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</si>
  <si>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</si>
  <si>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</si>
  <si>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</si>
  <si>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</si>
  <si>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</si>
  <si>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</si>
  <si>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</si>
  <si>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</si>
  <si>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</si>
  <si>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</si>
  <si>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</si>
  <si>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</si>
  <si>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</si>
  <si>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</si>
  <si>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</si>
  <si>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</si>
  <si>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</si>
  <si>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</si>
  <si>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</si>
  <si>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</si>
  <si>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</si>
  <si>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</si>
  <si>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</si>
  <si>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</si>
  <si>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</si>
  <si>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</si>
  <si>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</si>
  <si>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</si>
  <si>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</si>
  <si>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</si>
  <si>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</si>
  <si>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</si>
  <si>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</si>
  <si>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</si>
  <si>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</si>
  <si>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</si>
  <si>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</si>
  <si>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</si>
  <si>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</si>
  <si>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</si>
  <si>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</si>
  <si>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</si>
  <si>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</si>
  <si>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</si>
  <si>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</si>
  <si>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</si>
  <si>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</si>
  <si>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</si>
  <si>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</si>
  <si>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</si>
  <si>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</si>
  <si>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</si>
  <si>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</si>
  <si>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</si>
  <si>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</si>
  <si>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</si>
  <si>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</si>
  <si>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</si>
  <si>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</si>
  <si>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</si>
  <si>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</si>
  <si>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</si>
  <si>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</si>
  <si>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</si>
  <si>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</si>
  <si>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</si>
  <si>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</si>
  <si>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</si>
  <si>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</si>
  <si>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</si>
  <si>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</si>
  <si>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</si>
  <si>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</si>
  <si>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</si>
  <si>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</si>
  <si>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</si>
  <si>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</si>
  <si>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</si>
  <si>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</si>
  <si>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</si>
  <si>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</si>
  <si>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</si>
  <si>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</si>
  <si>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</si>
  <si>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</si>
  <si>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</si>
  <si>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</si>
  <si>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</si>
  <si>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</si>
  <si>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</si>
  <si>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</si>
  <si>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</si>
  <si>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</si>
  <si>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</si>
  <si>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</si>
  <si>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</si>
  <si>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</si>
  <si>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</si>
  <si>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</si>
  <si>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</si>
  <si>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</si>
  <si>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</si>
  <si>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</si>
  <si>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</si>
  <si>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</si>
  <si>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</si>
  <si>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</si>
  <si>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</si>
  <si>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</si>
  <si>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</si>
  <si>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</si>
  <si>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</si>
  <si>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</si>
  <si>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</si>
  <si>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</si>
  <si>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</si>
  <si>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</si>
  <si>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</si>
  <si>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</si>
  <si>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</si>
  <si>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</si>
  <si>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</si>
  <si>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</si>
  <si>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</si>
  <si>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</si>
  <si>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</si>
  <si>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</si>
  <si>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</si>
  <si>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</si>
  <si>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</si>
  <si>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</si>
  <si>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</si>
  <si>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</si>
  <si>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</si>
  <si>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</si>
  <si>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</si>
  <si>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</si>
  <si>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</si>
  <si>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</si>
  <si>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</si>
  <si>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</si>
  <si>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</si>
  <si>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</si>
  <si>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</si>
  <si>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</si>
  <si>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</si>
  <si>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</si>
  <si>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</si>
  <si>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</si>
  <si>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</si>
  <si>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</si>
  <si>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</si>
  <si>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</si>
  <si>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</si>
  <si>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</si>
  <si>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</si>
  <si>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</si>
  <si>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</si>
  <si>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</si>
  <si>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</si>
  <si>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</si>
  <si>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</si>
  <si>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</si>
  <si>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</si>
  <si>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</si>
  <si>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</si>
  <si>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</si>
  <si>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</si>
  <si>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</si>
  <si>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</si>
  <si>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</si>
  <si>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</si>
  <si>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</si>
  <si>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</si>
  <si>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</si>
  <si>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</si>
  <si>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</si>
  <si>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</si>
  <si>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</si>
  <si>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</si>
  <si>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</si>
  <si>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</si>
  <si>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</si>
  <si>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</si>
  <si>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</si>
  <si>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</si>
  <si>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</si>
  <si>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</si>
  <si>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</si>
  <si>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</si>
  <si>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</si>
  <si>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</si>
  <si>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</si>
  <si>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</si>
  <si>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</si>
  <si>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</si>
  <si>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</si>
  <si>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</si>
  <si>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</si>
  <si>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</si>
  <si>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</si>
  <si>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</si>
  <si>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</si>
  <si>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</si>
  <si>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</si>
  <si>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</si>
  <si>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</si>
  <si>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</si>
  <si>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</si>
  <si>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</si>
  <si>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</si>
  <si>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</si>
  <si>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</si>
  <si>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</si>
  <si>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</si>
  <si>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</si>
  <si>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</si>
  <si>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</si>
  <si>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</si>
  <si>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</si>
  <si>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</si>
  <si>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</si>
  <si>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</si>
  <si>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</si>
  <si>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</si>
  <si>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</si>
  <si>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</si>
  <si>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</si>
  <si>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</si>
  <si>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</si>
  <si>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</si>
  <si>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</si>
  <si>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</si>
  <si>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</si>
  <si>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</si>
  <si>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</si>
  <si>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</si>
  <si>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</si>
  <si>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</si>
  <si>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</si>
  <si>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</si>
  <si>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</si>
  <si>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</si>
  <si>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</si>
  <si>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</si>
  <si>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</si>
  <si>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</si>
  <si>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</si>
  <si>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</si>
  <si>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</si>
  <si>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</si>
  <si>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</si>
  <si>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</si>
  <si>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</si>
  <si>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</si>
  <si>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</si>
  <si>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</si>
  <si>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</si>
  <si>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</si>
  <si>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</si>
  <si>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</si>
  <si>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</si>
  <si>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</si>
  <si>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</si>
  <si>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</si>
  <si>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</si>
  <si>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</si>
  <si>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</si>
  <si>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</si>
  <si>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</si>
  <si>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</si>
  <si>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</si>
  <si>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</si>
  <si>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</si>
  <si>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</si>
  <si>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</si>
  <si>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</si>
  <si>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</si>
  <si>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</si>
  <si>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</si>
  <si>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</si>
  <si>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</si>
  <si>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</si>
  <si>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</si>
  <si>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</si>
  <si>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</si>
  <si>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</si>
  <si>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</si>
  <si>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</si>
  <si>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</si>
  <si>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</si>
  <si>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</si>
  <si>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</si>
  <si>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</si>
  <si>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</si>
  <si>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</si>
  <si>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</si>
  <si>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</si>
  <si>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</si>
  <si>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</si>
  <si>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</si>
  <si>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</si>
  <si>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</si>
  <si>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</si>
  <si>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</si>
  <si>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</si>
  <si>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</si>
  <si>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</si>
  <si>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</si>
  <si>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</si>
  <si>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</si>
  <si>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</si>
  <si>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</si>
  <si>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</si>
  <si>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</si>
  <si>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</si>
  <si>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</si>
  <si>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</si>
  <si>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</si>
  <si>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</si>
  <si>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</si>
  <si>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</si>
  <si>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</si>
  <si>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</si>
  <si>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</si>
  <si>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</si>
  <si>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</si>
  <si>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</si>
  <si>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</si>
  <si>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</si>
  <si>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</si>
  <si>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</si>
  <si>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</si>
  <si>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</si>
  <si>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</si>
  <si>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</si>
  <si>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</si>
  <si>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</si>
  <si>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</si>
  <si>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</si>
  <si>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</si>
  <si>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</si>
  <si>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</si>
  <si>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</si>
  <si>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</si>
  <si>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</si>
  <si>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</si>
  <si>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</si>
  <si>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</si>
  <si>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</si>
  <si>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</si>
  <si>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</si>
  <si>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</si>
  <si>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</si>
  <si>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</si>
  <si>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</si>
  <si>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</si>
  <si>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</si>
  <si>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</si>
  <si>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</si>
  <si>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</si>
  <si>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</si>
  <si>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</si>
  <si>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</si>
  <si>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</si>
  <si>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</si>
  <si>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</si>
  <si>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</si>
  <si>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</si>
  <si>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</si>
  <si>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</si>
  <si>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</si>
  <si>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</si>
  <si>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</si>
  <si>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</si>
  <si>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</si>
  <si>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</si>
  <si>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</si>
  <si>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</si>
  <si>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</si>
  <si>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</si>
  <si>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</si>
  <si>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</si>
  <si>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</si>
  <si>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</si>
  <si>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</si>
  <si>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</si>
  <si>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</si>
  <si>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</si>
  <si>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</si>
  <si>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</si>
  <si>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</si>
  <si>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</si>
  <si>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</si>
  <si>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</si>
  <si>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</si>
  <si>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</si>
  <si>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</si>
  <si>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</si>
  <si>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</si>
  <si>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</si>
  <si>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</si>
  <si>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</si>
  <si>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</si>
  <si>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</si>
  <si>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</si>
  <si>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</si>
  <si>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</si>
  <si>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</si>
  <si>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</si>
  <si>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</si>
  <si>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</si>
  <si>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</si>
  <si>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</si>
  <si>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</si>
  <si>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</si>
  <si>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</si>
  <si>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</si>
  <si>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</si>
  <si>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</si>
  <si>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</si>
  <si>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</si>
  <si>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</si>
  <si>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</si>
  <si>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</si>
  <si>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</si>
  <si>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</si>
  <si>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</si>
  <si>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</si>
  <si>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</si>
  <si>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</si>
  <si>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</si>
  <si>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</si>
  <si>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</si>
  <si>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</si>
  <si>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</si>
  <si>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</si>
  <si>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</si>
  <si>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</si>
  <si>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</si>
  <si>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</si>
  <si>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</si>
  <si>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</si>
  <si>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</si>
  <si>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</si>
  <si>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</si>
  <si>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</si>
  <si>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</si>
  <si>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</si>
  <si>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</si>
  <si>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</si>
  <si>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</si>
  <si>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</si>
  <si>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</si>
  <si>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</si>
  <si>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</si>
  <si>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</si>
  <si>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</si>
  <si>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</si>
  <si>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</si>
  <si>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</si>
  <si>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</si>
  <si>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</si>
  <si>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</si>
  <si>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</si>
  <si>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</si>
  <si>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</si>
  <si>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</si>
  <si>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</si>
  <si>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</si>
  <si>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</si>
  <si>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</si>
  <si>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</si>
  <si>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</si>
  <si>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</si>
  <si>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</si>
  <si>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</si>
  <si>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</si>
  <si>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</si>
  <si>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</si>
  <si>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</si>
  <si>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</si>
  <si>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</si>
  <si>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</si>
  <si>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</si>
  <si>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</si>
  <si>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</si>
  <si>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</si>
  <si>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</si>
  <si>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</si>
  <si>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</si>
  <si>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</si>
  <si>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</si>
  <si>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</si>
  <si>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</si>
  <si>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</si>
  <si>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</si>
  <si>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</si>
  <si>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</si>
  <si>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</si>
  <si>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</si>
  <si>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</si>
  <si>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</si>
  <si>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</si>
  <si>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</si>
  <si>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</si>
  <si>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</si>
  <si>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</si>
  <si>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</si>
  <si>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</si>
  <si>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</si>
  <si>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</si>
  <si>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</si>
  <si>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</si>
  <si>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</si>
  <si>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</si>
  <si>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</si>
  <si>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</si>
  <si>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</si>
  <si>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</si>
  <si>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</si>
  <si>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</si>
  <si>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</si>
  <si>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</si>
  <si>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</si>
  <si>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</si>
  <si>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</si>
  <si>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</si>
  <si>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</si>
  <si>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</si>
  <si>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</si>
  <si>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</si>
  <si>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</si>
  <si>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</si>
  <si>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</si>
  <si>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</si>
  <si>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</si>
  <si>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</si>
  <si>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</si>
  <si>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</si>
  <si>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</si>
  <si>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</si>
  <si>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</si>
  <si>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</si>
  <si>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</si>
  <si>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</si>
  <si>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</si>
  <si>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</si>
  <si>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</si>
  <si>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</si>
  <si>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</si>
  <si>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</si>
  <si>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</si>
  <si>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</si>
  <si>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</si>
  <si>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</si>
  <si>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</si>
  <si>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</si>
  <si>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</si>
  <si>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</si>
  <si>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</si>
  <si>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</si>
  <si>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</si>
  <si>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</si>
  <si>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</si>
  <si>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</si>
  <si>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</si>
  <si>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</si>
  <si>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</si>
  <si>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</si>
  <si>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</si>
  <si>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</si>
  <si>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</si>
  <si>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</si>
  <si>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</si>
  <si>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</si>
  <si>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</si>
  <si>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</si>
  <si>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</si>
  <si>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</si>
  <si>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</si>
  <si>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</si>
  <si>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</si>
  <si>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</si>
  <si>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</si>
  <si>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</si>
  <si>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</si>
  <si>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</si>
  <si>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</si>
  <si>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</si>
  <si>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</si>
  <si>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</si>
  <si>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</si>
  <si>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</si>
  <si>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</si>
  <si>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</si>
  <si>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</si>
  <si>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</si>
  <si>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</si>
  <si>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</si>
  <si>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</si>
  <si>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</si>
  <si>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</si>
  <si>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</si>
  <si>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</si>
  <si>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</si>
  <si>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</si>
  <si>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</si>
  <si>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</si>
  <si>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</si>
  <si>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</si>
  <si>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</si>
  <si>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</si>
  <si>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</si>
  <si>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</si>
  <si>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</si>
  <si>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</si>
  <si>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</si>
  <si>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</si>
  <si>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</si>
  <si>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</si>
  <si>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</si>
  <si>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</si>
  <si>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</si>
  <si>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</si>
  <si>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</si>
  <si>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</si>
  <si>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</si>
  <si>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</si>
  <si>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</si>
  <si>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</si>
  <si>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</si>
  <si>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</si>
  <si>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</si>
  <si>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</si>
  <si>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</si>
  <si>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</si>
  <si>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</si>
  <si>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</si>
  <si>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</si>
  <si>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</si>
  <si>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</si>
  <si>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</si>
  <si>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</si>
  <si>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</si>
  <si>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</si>
  <si>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</si>
  <si>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</si>
  <si>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</si>
  <si>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</si>
  <si>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</si>
  <si>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</si>
  <si>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</si>
  <si>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</si>
  <si>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JOSÉ VICENTE ARQUÉS</t>
  </si>
  <si>
    <t>JOSE ANTONIO RODRÍGUEZ</t>
  </si>
  <si>
    <t>MARIA DESSE</t>
  </si>
  <si>
    <t>Nothing to say, perfect.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</si>
</sst>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" sqref="N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19_184_PAM_PAR_E2025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46021.854166666664</v>
      </c>
      <c r="C3" s="178"/>
      <c r="D3" s="39">
        <v>604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830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781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 t="str">
        <f>VLOOKUP($H$4,Teams!$B$3:$O$44,3,FALSE)</f>
        <v>JACOBO LAPRESTA</v>
      </c>
      <c r="I9" s="130" t="str">
        <f>VLOOKUP($H$4,Teams!$B$3:$O$44,3,FALSE)</f>
        <v>JACOBO LAPRESTA</v>
      </c>
      <c r="J9" s="130" t="str">
        <f>VLOOKUP($H$4,Teams!$B$3:$O$44,5,FALSE)</f>
        <v>JOSE VICENTE ARQUES</v>
      </c>
      <c r="K9" s="130" t="str">
        <f>VLOOKUP($H$4,Teams!$B$3:$O$44,6,FALSE)</f>
        <v>YOLANDA BAILACH MADERA</v>
      </c>
      <c r="L9" s="130" t="str">
        <f>VLOOKUP($H$4,Teams!$B$3:$O$44,7,FALSE)</f>
        <v>CRISTINA TORRES</v>
      </c>
      <c r="M9" s="131" t="str">
        <f>VLOOKUP($H$4,Teams!$B$3:$O$44,8,FALSE)</f>
        <v>BORJA RODRIGUEZ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785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786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REPORT_E2025184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"E2025184"</v>
      </c>
      <c r="F3" s="45" t="str">
        <f t="shared" ref="F3:F16" si="0">""""&amp;B3&amp;"""" &amp; " : " &amp;C3&amp;","</f>
        <v>"name" : "E2025184",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"E184"</v>
      </c>
      <c r="F4" s="45" t="str">
        <f t="shared" si="0"/>
        <v>"cod" : "E184",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184</v>
      </c>
      <c r="F6" s="45" t="str">
        <f t="shared" si="0"/>
        <v>"number" : 184,</v>
      </c>
    </row>
    <row r="7" spans="2:6" x14ac:dyDescent="0.2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"JOSÉ VICENTE ARQUÉS"</v>
      </c>
      <c r="F11" s="45" t="str">
        <f t="shared" si="0"/>
        <v>"Caller_1" : "JOSÉ VICENTE ARQUÉS",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"JOSE ANTONIO RODRÍGUEZ"</v>
      </c>
      <c r="F12" s="45" t="str">
        <f t="shared" si="0"/>
        <v>"Caller_2" : "JOSE ANTONIO RODRÍGUEZ",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"MARIA DESSE"</v>
      </c>
      <c r="F13" s="45" t="str">
        <f t="shared" si="0"/>
        <v>"Timerkeeper" : "MARIA DESSE",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"CRISTINA TORRES"</v>
      </c>
      <c r="F14" s="45" t="str">
        <f t="shared" si="0"/>
        <v>"Shotclock" : "CRISTINA TORRES",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"Nothing to say, perfect."</v>
      </c>
      <c r="F51" s="45" t="str">
        <f>""""&amp;B51&amp;"""" &amp; " : " &amp;C51&amp;","</f>
        <v>"comments" : "Nothing to say, perfect.",</v>
      </c>
    </row>
    <row r="52" spans="2:6" x14ac:dyDescent="0.2">
      <c r="B52" s="43" t="s">
        <v>153</v>
      </c>
      <c r="C52" s="43" t="str">
        <f>TEXT('SCOUT &amp; LOGISTICS'!F1,"0,0")</f>
        <v>19_184_PAM_PAR_E2025</v>
      </c>
      <c r="F52" s="45" t="str">
        <f>""""&amp;B52&amp;"""" &amp; " : " &amp;C52</f>
        <v>"result" : 19_184_PAM_PAR_E2025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E184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JACOBO LAPRESTA</v>
      </c>
      <c r="C8" s="201"/>
      <c r="D8" s="201"/>
      <c r="E8" s="201"/>
      <c r="F8" s="201"/>
      <c r="G8" s="201" t="str">
        <f>IF('SCOUT &amp; LOGISTICS'!D7="","",'SCOUT &amp; LOGISTICS'!D7)</f>
        <v>JOSÉ VICENTE ARQUÉS</v>
      </c>
      <c r="H8" s="201"/>
      <c r="I8" s="201"/>
      <c r="J8" s="201"/>
      <c r="K8" s="201"/>
      <c r="L8" s="201" t="str">
        <f>IF('SCOUT &amp; LOGISTICS'!D8="","",'SCOUT &amp; LOGISTICS'!D8)</f>
        <v>JOSE ANTONIO RODRÍGUEZ</v>
      </c>
      <c r="M8" s="201"/>
      <c r="N8" s="201"/>
      <c r="O8" s="201"/>
      <c r="P8" s="201"/>
      <c r="Q8" s="201" t="str">
        <f>IF('SCOUT &amp; LOGISTICS'!D9="","",'SCOUT &amp; LOGISTICS'!D9)</f>
        <v>MARIA DESSE</v>
      </c>
      <c r="R8" s="201"/>
      <c r="S8" s="201"/>
      <c r="T8" s="201"/>
      <c r="U8" s="201"/>
      <c r="V8" s="201" t="str">
        <f>IF('SCOUT &amp; LOGISTICS'!D10="","",'SCOUT &amp; LOGISTICS'!D10)</f>
        <v>CRISTINA TORRES</v>
      </c>
      <c r="W8" s="201"/>
      <c r="X8" s="201"/>
      <c r="Y8" s="201"/>
      <c r="Z8" s="201"/>
      <c r="AA8" s="201" t="str">
        <f>IF('SCOUT &amp; LOGISTICS'!D11="","",'SCOUT &amp; LOGISTICS'!D11)</f>
        <v>BORJA RODRIGUEZ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Nothing to say, perfect.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C9FEE4-7AB3-4092-A826-B571C6634319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2026-01-16T14:59:47Z</cp:lastPrinted>
  <dcterms:created xsi:type="dcterms:W3CDTF">2023-09-19T19:50:35Z</dcterms:created>
  <dcterms:modified xsi:type="dcterms:W3CDTF">2026-01-16T15:02:28Z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