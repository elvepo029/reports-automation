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78" documentId="8_{A5F2DCB8-3EA7-48BB-AB1D-EA94BE654473}" xr6:coauthVersionLast="47" xr6:coauthVersionMax="47" xr10:uidLastSave="{035A0BD8-B299-499A-83A7-D30AA44C6562}"/>
  <bookViews>
    <workbookView xWindow="-12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" i="1" l="1"/>
  <c r="B2" i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D5" i="1" l="1"/>
  <c r="H9" i="1"/>
  <c r="B4" i="2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<sst xmlns="http://schemas.openxmlformats.org/spreadsheetml/2006/main" count="3354" uniqueCount="838">
  <si>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</si>
  <si>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</si>
  <si>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</si>
  <si>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</si>
  <si>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</si>
  <si>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</si>
  <si>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</si>
  <si>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</si>
  <si>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</si>
  <si>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</si>
  <si>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</si>
  <si>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</si>
  <si>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</si>
  <si>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</si>
  <si>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</si>
  <si>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</si>
  <si>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</si>
  <si>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</si>
  <si>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</si>
  <si>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</si>
  <si>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</si>
  <si>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</si>
  <si>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</si>
  <si>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</si>
  <si>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</si>
  <si>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</si>
  <si>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</si>
  <si>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</si>
  <si>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</si>
  <si>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</si>
  <si>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</si>
  <si>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</si>
  <si>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</si>
  <si>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</si>
  <si>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</si>
  <si>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</si>
  <si>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</si>
  <si>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</si>
  <si>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</si>
  <si>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</si>
  <si>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</si>
  <si>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</si>
  <si>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</si>
  <si>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</si>
  <si>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</si>
  <si>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</si>
  <si>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</si>
  <si>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</si>
  <si>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</si>
  <si>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</si>
  <si>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</si>
  <si>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</si>
  <si>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</si>
  <si>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</si>
  <si>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</si>
  <si>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</si>
  <si>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</si>
  <si>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</si>
  <si>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</si>
  <si>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</si>
  <si>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</si>
  <si>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</si>
  <si>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</si>
  <si>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</si>
  <si>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</si>
  <si>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</si>
  <si>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</si>
  <si>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</si>
  <si>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</si>
  <si>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</si>
  <si>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</si>
  <si>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</si>
  <si>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</si>
  <si>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</si>
  <si>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</si>
  <si>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</si>
  <si>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</si>
  <si>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</si>
  <si>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</si>
  <si>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</si>
  <si>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</si>
  <si>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</si>
  <si>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</si>
  <si>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</si>
  <si>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</si>
  <si>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</si>
  <si>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</si>
  <si>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</si>
  <si>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</si>
  <si>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</si>
  <si>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</si>
  <si>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</si>
  <si>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</si>
  <si>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</si>
  <si>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</si>
  <si>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</si>
  <si>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</si>
  <si>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</si>
  <si>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</si>
  <si>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</si>
  <si>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</si>
  <si>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</si>
  <si>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</si>
  <si>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</si>
  <si>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</si>
  <si>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</si>
  <si>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</si>
  <si>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</si>
  <si>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</si>
  <si>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</si>
  <si>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</si>
  <si>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</si>
  <si>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</si>
  <si>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</si>
  <si>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</si>
  <si>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</si>
  <si>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</si>
  <si>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</si>
  <si>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</si>
  <si>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</si>
  <si>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</si>
  <si>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</si>
  <si>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</si>
  <si>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</si>
  <si>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</si>
  <si>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</si>
  <si>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</si>
  <si>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</si>
  <si>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</si>
  <si>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</si>
  <si>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</si>
  <si>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</si>
  <si>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</si>
  <si>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</si>
  <si>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</si>
  <si>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</si>
  <si>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</si>
  <si>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</si>
  <si>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</si>
  <si>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</si>
  <si>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</si>
  <si>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</si>
  <si>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</si>
  <si>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</si>
  <si>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</si>
  <si>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</si>
  <si>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</si>
  <si>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</si>
  <si>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</si>
  <si>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</si>
  <si>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</si>
  <si>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</si>
  <si>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</si>
  <si>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</si>
  <si>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</si>
  <si>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</si>
  <si>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</si>
  <si>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</si>
  <si>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</si>
  <si>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</si>
  <si>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</si>
  <si>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</si>
  <si>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</si>
  <si>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</si>
  <si>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</si>
  <si>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</si>
  <si>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</si>
  <si>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</si>
  <si>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</si>
  <si>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</si>
  <si>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</si>
  <si>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</si>
  <si>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</si>
  <si>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</si>
  <si>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</si>
  <si>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</si>
  <si>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</si>
  <si>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</si>
  <si>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</si>
  <si>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</si>
  <si>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</si>
  <si>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</si>
  <si>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</si>
  <si>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</si>
  <si>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</si>
  <si>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</si>
  <si>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</si>
  <si>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</si>
  <si>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</si>
  <si>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</si>
  <si>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</si>
  <si>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</si>
  <si>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</si>
  <si>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</si>
  <si>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</si>
  <si>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</si>
  <si>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</si>
  <si>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</si>
  <si>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</si>
  <si>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</si>
  <si>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</si>
  <si>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</si>
  <si>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</si>
  <si>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</si>
  <si>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</si>
  <si>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</si>
  <si>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</si>
  <si>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</si>
  <si>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</si>
  <si>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</si>
  <si>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</si>
  <si>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</si>
  <si>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</si>
  <si>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</si>
  <si>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</si>
  <si>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</si>
  <si>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</si>
  <si>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</si>
  <si>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</si>
  <si>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</si>
  <si>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</si>
  <si>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</si>
  <si>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</si>
  <si>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</si>
  <si>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</si>
  <si>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</si>
  <si>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</si>
  <si>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</si>
  <si>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</si>
  <si>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</si>
  <si>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</si>
  <si>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</si>
  <si>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</si>
  <si>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</si>
  <si>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</si>
  <si>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</si>
  <si>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</si>
  <si>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</si>
  <si>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</si>
  <si>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</si>
  <si>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</si>
  <si>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</si>
  <si>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</si>
  <si>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</si>
  <si>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</si>
  <si>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</si>
  <si>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</si>
  <si>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</si>
  <si>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</si>
  <si>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</si>
  <si>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</si>
  <si>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</si>
  <si>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</si>
  <si>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</si>
  <si>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</si>
  <si>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</si>
  <si>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</si>
  <si>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</si>
  <si>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</si>
  <si>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</si>
  <si>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</si>
  <si>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</si>
  <si>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</si>
  <si>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</si>
  <si>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</si>
  <si>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</si>
  <si>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</si>
  <si>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</si>
  <si>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</si>
  <si>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</si>
  <si>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</si>
  <si>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</si>
  <si>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</si>
  <si>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</si>
  <si>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</si>
  <si>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</si>
  <si>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</si>
  <si>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</si>
  <si>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</si>
  <si>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</si>
  <si>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</si>
  <si>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</si>
  <si>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</si>
  <si>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</si>
  <si>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</si>
  <si>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</si>
  <si>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</si>
  <si>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</si>
  <si>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</si>
  <si>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</si>
  <si>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</si>
  <si>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</si>
  <si>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</si>
  <si>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</si>
  <si>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</si>
  <si>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</si>
  <si>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</si>
  <si>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</si>
  <si>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</si>
  <si>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</si>
  <si>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</si>
  <si>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</si>
  <si>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</si>
  <si>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</si>
  <si>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</si>
  <si>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</si>
  <si>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</si>
  <si>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</si>
  <si>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</si>
  <si>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</si>
  <si>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</si>
  <si>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</si>
  <si>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</si>
  <si>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</si>
  <si>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</si>
  <si>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</si>
  <si>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</si>
  <si>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</si>
  <si>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</si>
  <si>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</si>
  <si>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</si>
  <si>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</si>
  <si>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</si>
  <si>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</si>
  <si>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</si>
  <si>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</si>
  <si>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</si>
  <si>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</si>
  <si>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</si>
  <si>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</si>
  <si>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</si>
  <si>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</si>
  <si>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</si>
  <si>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</si>
  <si>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</si>
  <si>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</si>
  <si>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</si>
  <si>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</si>
  <si>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</si>
  <si>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</si>
  <si>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</si>
  <si>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</si>
  <si>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</si>
  <si>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</si>
  <si>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</si>
  <si>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</si>
  <si>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</si>
  <si>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</si>
  <si>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</si>
  <si>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</si>
  <si>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</si>
  <si>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</si>
  <si>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</si>
  <si>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</si>
  <si>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</si>
  <si>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</si>
  <si>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</si>
  <si>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</si>
  <si>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</si>
  <si>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</si>
  <si>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</si>
  <si>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</si>
  <si>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</si>
  <si>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</si>
  <si>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</si>
  <si>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</si>
  <si>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</si>
  <si>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</si>
  <si>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</si>
  <si>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</si>
  <si>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</si>
  <si>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</si>
  <si>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</si>
  <si>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</si>
  <si>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</si>
  <si>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</si>
  <si>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</si>
  <si>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</si>
  <si>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</si>
  <si>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</si>
  <si>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</si>
  <si>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</si>
  <si>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</si>
  <si>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</si>
  <si>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</si>
  <si>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</si>
  <si>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</si>
  <si>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</si>
  <si>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</si>
  <si>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</si>
  <si>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</si>
  <si>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</si>
  <si>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</si>
  <si>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</si>
  <si>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</si>
  <si>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</si>
  <si>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</si>
  <si>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</si>
  <si>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</si>
  <si>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</si>
  <si>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</si>
  <si>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</si>
  <si>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</si>
  <si>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</si>
  <si>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</si>
  <si>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</si>
  <si>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</si>
  <si>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</si>
  <si>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</si>
  <si>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</si>
  <si>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</si>
  <si>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</si>
  <si>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</si>
  <si>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</si>
  <si>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</si>
  <si>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</si>
  <si>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</si>
  <si>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</si>
  <si>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</si>
  <si>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</si>
  <si>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</si>
  <si>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</si>
  <si>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</si>
  <si>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</si>
  <si>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</si>
  <si>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</si>
  <si>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</si>
  <si>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</si>
  <si>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</si>
  <si>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</si>
  <si>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</si>
  <si>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</si>
  <si>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</si>
  <si>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</si>
  <si>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</si>
  <si>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</si>
  <si>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</si>
  <si>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</si>
  <si>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</si>
  <si>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</si>
  <si>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</si>
  <si>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</si>
  <si>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</si>
  <si>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</si>
  <si>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</si>
  <si>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</si>
  <si>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</si>
  <si>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</si>
  <si>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</si>
  <si>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</si>
  <si>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</si>
  <si>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</si>
  <si>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</si>
  <si>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</si>
  <si>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</si>
  <si>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</si>
  <si>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</si>
  <si>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</si>
  <si>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</si>
  <si>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</si>
  <si>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</si>
  <si>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</si>
  <si>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</si>
  <si>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</si>
  <si>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</si>
  <si>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</si>
  <si>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</si>
  <si>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</si>
  <si>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</si>
  <si>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</si>
  <si>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</si>
  <si>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</si>
  <si>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</si>
  <si>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</si>
  <si>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</si>
  <si>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</si>
  <si>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</si>
  <si>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</si>
  <si>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</si>
  <si>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</si>
  <si>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</si>
  <si>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</si>
  <si>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</si>
  <si>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</si>
  <si>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</si>
  <si>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</si>
  <si>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</si>
  <si>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</si>
  <si>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</si>
  <si>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</si>
  <si>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</si>
  <si>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</si>
  <si>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</si>
  <si>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</si>
  <si>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</si>
  <si>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</si>
  <si>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</si>
  <si>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</si>
  <si>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</si>
  <si>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</si>
  <si>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</si>
  <si>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</si>
  <si>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</si>
  <si>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</si>
  <si>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</si>
  <si>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</si>
  <si>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</si>
  <si>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</si>
  <si>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</si>
  <si>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</si>
  <si>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</si>
  <si>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</si>
  <si>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</si>
  <si>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</si>
  <si>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</si>
  <si>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</si>
  <si>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</si>
  <si>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</si>
  <si>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</si>
  <si>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</si>
  <si>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</si>
  <si>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</si>
  <si>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</si>
  <si>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</si>
  <si>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</si>
  <si>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</si>
  <si>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</si>
  <si>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</si>
  <si>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</si>
  <si>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</si>
  <si>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</si>
  <si>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</si>
  <si>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</si>
  <si>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</si>
  <si>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</si>
  <si>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</si>
  <si>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</si>
  <si>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</si>
  <si>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</si>
  <si>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</si>
  <si>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</si>
  <si>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</si>
  <si>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</si>
  <si>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</si>
  <si>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</si>
  <si>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</si>
  <si>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</si>
  <si>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</si>
  <si>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</si>
  <si>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</si>
  <si>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</si>
  <si>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</si>
  <si>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</si>
  <si>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</si>
  <si>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</si>
  <si>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</si>
  <si>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</si>
  <si>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</si>
  <si>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</si>
  <si>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</si>
  <si>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</si>
  <si>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</si>
  <si>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</si>
  <si>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</si>
  <si>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</si>
  <si>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</si>
  <si>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</si>
  <si>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</si>
  <si>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</si>
  <si>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</si>
  <si>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</si>
  <si>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</si>
  <si>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</si>
  <si>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</si>
  <si>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</si>
  <si>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</si>
  <si>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</si>
  <si>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</si>
  <si>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</si>
  <si>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</si>
  <si>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</si>
  <si>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</si>
  <si>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</si>
  <si>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</si>
  <si>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</si>
  <si>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</si>
  <si>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</si>
  <si>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</si>
  <si>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</si>
  <si>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</si>
  <si>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</si>
  <si>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</si>
  <si>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</si>
  <si>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</si>
  <si>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</si>
  <si>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</si>
  <si>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</si>
  <si>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</si>
  <si>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</si>
  <si>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</si>
  <si>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</si>
  <si>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</si>
  <si>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</si>
  <si>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</si>
  <si>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</si>
  <si>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</si>
  <si>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</si>
  <si>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</si>
  <si>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</si>
  <si>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</si>
  <si>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</si>
  <si>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</si>
  <si>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</si>
  <si>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</si>
  <si>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</si>
  <si>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</si>
  <si>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</si>
  <si>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</si>
  <si>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</si>
  <si>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</si>
  <si>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</si>
  <si>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</si>
  <si>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</si>
  <si>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</si>
  <si>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</si>
  <si>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</si>
  <si>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</si>
  <si>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</si>
  <si>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</si>
  <si>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</si>
  <si>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</si>
  <si>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</si>
  <si>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</si>
  <si>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</si>
  <si>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</si>
  <si>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</si>
  <si>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</si>
  <si>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</si>
  <si>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</si>
  <si>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</si>
  <si>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</si>
  <si>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</si>
  <si>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</si>
  <si>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</si>
  <si>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</si>
  <si>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</si>
  <si>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</si>
  <si>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</si>
  <si>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</si>
  <si>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</si>
  <si>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</si>
  <si>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</si>
  <si>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</si>
  <si>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</si>
  <si>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</si>
  <si>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</si>
  <si>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</si>
  <si>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</si>
  <si>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</si>
  <si>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</si>
  <si>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</si>
  <si>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</si>
  <si>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</si>
  <si>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</si>
  <si>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</si>
  <si>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</si>
  <si>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</si>
  <si>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</si>
  <si>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</si>
  <si>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</si>
  <si>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</si>
  <si>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</si>
  <si>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</si>
  <si>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</si>
  <si>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</si>
  <si>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</si>
  <si>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</si>
  <si>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</si>
  <si>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</si>
  <si>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</si>
  <si>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</si>
  <si>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</si>
  <si>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</si>
  <si>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</si>
  <si>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</si>
  <si>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</si>
  <si>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</si>
  <si>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</si>
  <si>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</si>
  <si>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</si>
  <si>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</si>
  <si>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</si>
  <si>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</si>
  <si>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</si>
  <si>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</si>
  <si>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</si>
  <si>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</si>
  <si>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</si>
  <si>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</si>
  <si>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</si>
  <si>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</si>
  <si>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</si>
  <si>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</si>
  <si>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</si>
  <si>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</si>
  <si>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</si>
  <si>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</si>
  <si>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</si>
  <si>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</si>
  <si>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</si>
  <si>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</si>
  <si>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</si>
  <si>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</si>
  <si>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</si>
  <si>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</si>
  <si>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</si>
  <si>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</si>
  <si>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</si>
  <si>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</si>
  <si>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</si>
  <si>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</si>
  <si>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</si>
  <si>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</si>
  <si>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</si>
  <si>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</si>
  <si>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</si>
  <si>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</si>
  <si>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</si>
  <si>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</si>
  <si>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</si>
  <si>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</si>
  <si>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</si>
  <si>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</si>
  <si>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</si>
  <si>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</si>
  <si>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</si>
  <si>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</si>
  <si>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</si>
  <si>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</si>
  <si>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</si>
  <si>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</si>
  <si>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</si>
  <si>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</si>
  <si>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</si>
  <si>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</si>
  <si>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</si>
  <si>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</si>
  <si>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</si>
  <si>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</si>
  <si>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</si>
  <si>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</si>
  <si>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</si>
  <si>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</si>
  <si>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</si>
  <si>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</si>
  <si>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</si>
  <si>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</si>
  <si>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</si>
  <si>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</si>
  <si>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</si>
  <si>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</si>
  <si>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</si>
  <si>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</si>
  <si>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</si>
  <si>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</si>
  <si>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</si>
  <si>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</si>
  <si>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</si>
  <si>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</si>
  <si>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</si>
  <si>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</si>
  <si>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</si>
  <si>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</si>
  <si>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</si>
  <si>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</si>
  <si>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</si>
  <si>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</si>
  <si>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</si>
  <si>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</si>
  <si>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</si>
  <si>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</si>
  <si>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</si>
  <si>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</si>
  <si>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</si>
  <si>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</si>
  <si>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</si>
  <si>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</si>
  <si>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</si>
  <si>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</si>
  <si>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</si>
  <si>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</si>
  <si>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</si>
  <si>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</si>
  <si>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</si>
  <si>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</si>
  <si>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</si>
  <si>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</si>
  <si>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</si>
  <si>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</si>
  <si>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</si>
  <si>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</si>
  <si>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</si>
  <si>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</si>
  <si>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</si>
  <si>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</si>
  <si>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</si>
  <si>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</si>
  <si>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</si>
  <si>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</si>
  <si>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</si>
  <si>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</si>
  <si>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</si>
  <si>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</si>
  <si>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</si>
  <si>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</si>
  <si>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</si>
  <si>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</si>
  <si>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</si>
  <si>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</si>
  <si>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</si>
  <si>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</si>
  <si>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</si>
  <si>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</si>
  <si>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</si>
  <si>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</si>
  <si>
    <t>Date</t>
  </si>
  <si>
    <t>OSCAR CUESTA</t>
  </si>
  <si>
    <t>MARCO CONCINA</t>
  </si>
  <si>
    <t>LEONARDO BOSCARATO</t>
  </si>
  <si>
    <t>RICCARDO PILUTTI</t>
  </si>
  <si>
    <t>SILVIA GAGNO</t>
  </si>
  <si>
    <t>ENRICO TRONCO</t>
  </si>
  <si>
    <t>1:09</t>
  </si>
  <si>
    <t>0:01</t>
  </si>
  <si>
    <t>8:23</t>
  </si>
  <si>
    <t>4:39</t>
  </si>
  <si>
    <t>Great performance, ragazzi. Huge work all season. Hope to see you back next season!</t>
  </si>
  <si>
    <t>C:\temp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</si>
</sst>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0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H5" sqref="H5"/>
    </sheetView>
  </sheetViews>
  <sheetFormatPr baseColWidth="10" defaultColWidth="0" defaultRowHeight="15" x14ac:dyDescent="0.25"/>
  <cols>
    <col min="1" max="1" width="1.5546875" customWidth="1"/>
    <col min="2" max="3" width="6.88671875" style="3" customWidth="1"/>
    <col min="4" max="7" width="7.88671875" style="3" customWidth="1"/>
    <col min="8" max="8" width="12.44140625" style="4" customWidth="1"/>
    <col min="9" max="9" width="11.88671875" style="3" bestFit="1" customWidth="1"/>
    <col min="10" max="13" width="22" style="3" customWidth="1"/>
    <col min="14" max="14" width="41.109375" style="3" bestFit="1" customWidth="1"/>
    <col min="15" max="15" width="13.5546875" hidden="1" customWidth="1"/>
    <col min="16" max="16" width="5.44140625" hidden="1" customWidth="1"/>
    <col min="17" max="17" width="21.109375" style="87" hidden="1" customWidth="1"/>
    <col min="18" max="18" width="2.6640625" hidden="1" customWidth="1"/>
    <col min="19" max="20" width="2.6640625" style="91" hidden="1" customWidth="1"/>
    <col min="21" max="21" width="2.6640625" style="97" hidden="1" customWidth="1"/>
    <col min="22" max="24" width="2.6640625" style="91" hidden="1" customWidth="1"/>
    <col min="25" max="25" width="2.6640625" style="98" hidden="1" customWidth="1"/>
    <col min="26" max="26" width="9.5546875" style="87" hidden="1" customWidth="1"/>
    <col min="27" max="27" width="2.6640625" style="91" hidden="1" customWidth="1"/>
    <col min="28" max="28" width="2.6640625" style="97" hidden="1" customWidth="1"/>
    <col min="29" max="29" width="2.6640625" style="99" hidden="1" customWidth="1"/>
    <col min="30" max="30" width="2.6640625" style="91" hidden="1" customWidth="1"/>
    <col min="31" max="31" width="2.6640625" style="97" hidden="1" customWidth="1"/>
    <col min="32" max="46" width="2.6640625" style="91" hidden="1" customWidth="1"/>
    <col min="47" max="47" width="2.6640625" style="99" hidden="1" customWidth="1"/>
    <col min="48" max="48" width="2.6640625" style="91" hidden="1" customWidth="1"/>
    <col min="49" max="52" width="2.6640625" style="99" hidden="1" customWidth="1"/>
    <col min="53" max="53" width="2.6640625" style="91" hidden="1" customWidth="1"/>
    <col min="54" max="54" width="2.6640625" style="99" hidden="1" customWidth="1"/>
    <col min="55" max="71" width="2.6640625" style="91" hidden="1" customWidth="1"/>
    <col min="72" max="16384" width="2.6640625" style="64" hidden="1"/>
  </cols>
  <sheetData>
    <row r="1" spans="1:108" s="63" customFormat="1" ht="32.25" customHeight="1" thickBot="1" x14ac:dyDescent="0.25">
      <c r="A1" s="42"/>
      <c r="B1" s="53" t="s">
        <v>160</v>
      </c>
      <c r="C1" s="114">
        <v>19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19_184_VNC_TRN_U2025</v>
      </c>
      <c r="G1" s="5"/>
      <c r="H1" s="5"/>
      <c r="I1" s="5"/>
      <c r="J1" s="8" t="s">
        <v>707</v>
      </c>
      <c r="K1" s="121" t="s">
        <v>837</v>
      </c>
      <c r="L1" s="121"/>
      <c r="M1" s="122" t="s">
        <v>239</v>
      </c>
      <c r="N1" s="121" t="s">
        <v>837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" thickBot="1" x14ac:dyDescent="0.35">
      <c r="A2" s="1"/>
      <c r="B2" s="117" t="str">
        <f>D1&amp;E1</f>
        <v>U2025</v>
      </c>
      <c r="C2" s="123">
        <v>184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4.4" thickBot="1" x14ac:dyDescent="0.35">
      <c r="A3" s="1"/>
      <c r="B3" s="177" t="s">
        <v>825</v>
      </c>
      <c r="C3" s="178"/>
      <c r="D3" s="39">
        <v>752</v>
      </c>
      <c r="E3" s="29"/>
      <c r="F3" s="26">
        <f>SUBTOTAL(3,I17:I106)</f>
        <v>4</v>
      </c>
      <c r="G3" s="27">
        <f>IF(OR(D3="",D3=0),"",F3/D3)</f>
        <v>5.3191489361702126E-3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4.4" thickBot="1" x14ac:dyDescent="0.3">
      <c r="A4" s="2"/>
      <c r="B4" s="167" t="s">
        <v>86</v>
      </c>
      <c r="C4" s="168"/>
      <c r="D4" s="188" t="str">
        <f>IF(ISERROR(VLOOKUP(H4,Teams!$B$2:$C$44,2,FALSE)),"Visitor Team",VLOOKUP(H4,Teams!$B$2:$C$44,2,FALSE))</f>
        <v>Umana Reyer Venice</v>
      </c>
      <c r="E4" s="189"/>
      <c r="F4" s="189"/>
      <c r="G4" s="190"/>
      <c r="H4" s="118" t="s">
        <v>215</v>
      </c>
      <c r="I4" s="5"/>
      <c r="J4" s="119" t="s">
        <v>714</v>
      </c>
      <c r="K4" s="54" t="s">
        <v>742</v>
      </c>
      <c r="L4" s="5"/>
      <c r="M4" s="182" t="s">
        <v>836</v>
      </c>
      <c r="N4" s="183"/>
      <c r="O4" s="2"/>
      <c r="P4" s="2"/>
      <c r="Q4" s="84" t="s">
        <v>175</v>
      </c>
      <c r="R4" s="94">
        <f>(IF(G3="",0,G3))</f>
        <v>5.3191489361702126E-3</v>
      </c>
      <c r="S4" s="61">
        <f>SUM(I13:M13)</f>
        <v>1</v>
      </c>
      <c r="T4" s="78"/>
      <c r="U4" s="61">
        <f>AC18</f>
        <v>2</v>
      </c>
      <c r="V4" s="61">
        <f>+AC22</f>
        <v>1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1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4.4" thickBot="1" x14ac:dyDescent="0.3">
      <c r="A5" s="2"/>
      <c r="B5" s="171" t="s">
        <v>87</v>
      </c>
      <c r="C5" s="181"/>
      <c r="D5" s="188" t="str">
        <f>IF(ISERROR(VLOOKUP(H5,Teams!$B$2:$C$44,2,FALSE)),"Visitor Team",VLOOKUP(H5,Teams!$B$2:$C$44,2,FALSE))</f>
        <v>Dolomiti Energia Trento</v>
      </c>
      <c r="E5" s="189"/>
      <c r="F5" s="189"/>
      <c r="G5" s="190"/>
      <c r="H5" s="118" t="s">
        <v>212</v>
      </c>
      <c r="I5" s="5"/>
      <c r="J5" s="5"/>
      <c r="K5" s="5"/>
      <c r="L5" s="5"/>
      <c r="M5" s="184"/>
      <c r="N5" s="185"/>
      <c r="O5" s="2"/>
      <c r="P5" s="2"/>
      <c r="Q5" s="89" t="s">
        <v>174</v>
      </c>
      <c r="R5" s="94">
        <f>R4*R3</f>
        <v>0.53191489361702127</v>
      </c>
      <c r="S5" s="70">
        <f t="shared" ref="S5" si="0">S4*S3</f>
        <v>1</v>
      </c>
      <c r="T5" s="92"/>
      <c r="U5" s="70">
        <f t="shared" ref="U5:AG5" si="1">U4*U3</f>
        <v>1</v>
      </c>
      <c r="V5" s="70">
        <f t="shared" si="1"/>
        <v>1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4.4" thickBot="1" x14ac:dyDescent="0.3">
      <c r="A6" s="2"/>
      <c r="B6" s="167" t="s">
        <v>95</v>
      </c>
      <c r="C6" s="168"/>
      <c r="D6" s="158" t="s">
        <v>827</v>
      </c>
      <c r="E6" s="159"/>
      <c r="F6" s="159"/>
      <c r="G6" s="160"/>
      <c r="H6" s="5"/>
      <c r="I6" s="5"/>
      <c r="J6" s="5"/>
      <c r="K6" s="5"/>
      <c r="L6" s="2"/>
      <c r="M6" s="186"/>
      <c r="N6" s="187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.8" x14ac:dyDescent="0.25">
      <c r="A7" s="2"/>
      <c r="B7" s="169" t="s">
        <v>96</v>
      </c>
      <c r="C7" s="170"/>
      <c r="D7" s="158" t="s">
        <v>828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6.0319148936170208</v>
      </c>
      <c r="N7" s="58"/>
      <c r="O7" s="2"/>
      <c r="P7" s="2"/>
      <c r="Q7" s="86">
        <f>SUM(R5,S5,AC16)</f>
        <v>6.0319148936170208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4.4" thickBot="1" x14ac:dyDescent="0.3">
      <c r="A8" s="2"/>
      <c r="B8" s="171" t="s">
        <v>97</v>
      </c>
      <c r="C8" s="172"/>
      <c r="D8" s="161" t="s">
        <v>829</v>
      </c>
      <c r="E8" s="162"/>
      <c r="F8" s="162"/>
      <c r="G8" s="16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6.0319148936170208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4.4" thickBot="1" x14ac:dyDescent="0.3">
      <c r="A9" s="2"/>
      <c r="B9" s="167" t="s">
        <v>98</v>
      </c>
      <c r="C9" s="173"/>
      <c r="D9" s="158" t="s">
        <v>830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4.4" thickBot="1" x14ac:dyDescent="0.35">
      <c r="A10" s="1"/>
      <c r="B10" s="171" t="s">
        <v>99</v>
      </c>
      <c r="C10" s="172"/>
      <c r="D10" s="161" t="s">
        <v>831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0.8" thickBot="1" x14ac:dyDescent="0.25">
      <c r="A11" s="17"/>
      <c r="B11" s="156" t="s">
        <v>108</v>
      </c>
      <c r="C11" s="157"/>
      <c r="D11" s="174"/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4.4" thickBot="1" x14ac:dyDescent="0.3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184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17</v>
      </c>
      <c r="M12" s="16"/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25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1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4.4" thickBot="1" x14ac:dyDescent="0.35">
      <c r="A14" s="1"/>
      <c r="B14" s="156" t="s">
        <v>162</v>
      </c>
      <c r="C14" s="157"/>
      <c r="D14" s="164" t="s">
        <v>826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25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4</v>
      </c>
      <c r="J15" s="24">
        <f>SUBTOTAL(3,J17:J106)</f>
        <v>4</v>
      </c>
      <c r="K15" s="24">
        <f>SUBTOTAL(3,K17:K106)</f>
        <v>4</v>
      </c>
      <c r="L15" s="24">
        <f>SUBTOTAL(3,L17:L106)</f>
        <v>4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1</v>
      </c>
      <c r="X16" s="67" t="s">
        <v>58</v>
      </c>
      <c r="Y16" s="75">
        <f>SUM(Y17:Y24)</f>
        <v>4</v>
      </c>
      <c r="Z16" s="90" t="s">
        <v>110</v>
      </c>
      <c r="AA16" s="75">
        <f>SUM(AA17:AA24)</f>
        <v>4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4.5</v>
      </c>
      <c r="AD16" s="75">
        <f>SUM(AD17:AD24)</f>
        <v>45</v>
      </c>
      <c r="AE16" s="76" t="s">
        <v>42</v>
      </c>
      <c r="AF16" s="75">
        <f>SUM(AF17:AF24)</f>
        <v>2</v>
      </c>
      <c r="AG16" s="75">
        <f>SUM(AG17:AG21)</f>
        <v>4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199999999999999" x14ac:dyDescent="0.2">
      <c r="A17" s="20"/>
      <c r="B17" s="31" t="str">
        <f t="shared" ref="B17:B48" si="2">IF(C17="","",$B$2)</f>
        <v>U2025</v>
      </c>
      <c r="C17" s="31">
        <f t="shared" ref="C17:C48" si="3">IF(I17="","",$C$2)</f>
        <v>184</v>
      </c>
      <c r="D17" s="32" t="s">
        <v>832</v>
      </c>
      <c r="E17" s="33">
        <v>1</v>
      </c>
      <c r="F17" s="36">
        <v>19</v>
      </c>
      <c r="G17" s="36">
        <v>25</v>
      </c>
      <c r="H17" s="38" t="str">
        <f>IF(I17="","",$I$14)</f>
        <v>SCOUTING</v>
      </c>
      <c r="I17" s="34">
        <v>133</v>
      </c>
      <c r="J17" s="13" t="s">
        <v>4</v>
      </c>
      <c r="K17" s="13" t="s">
        <v>63</v>
      </c>
      <c r="L17" s="13" t="s">
        <v>5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4</v>
      </c>
      <c r="Z17" s="105" t="s">
        <v>63</v>
      </c>
      <c r="AA17" s="62">
        <f>COUNTIF($K$17:$K$106,Z17)</f>
        <v>2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1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199999999999999" x14ac:dyDescent="0.2">
      <c r="A18" s="20"/>
      <c r="B18" s="31" t="str">
        <f t="shared" si="2"/>
        <v>U2025</v>
      </c>
      <c r="C18" s="31">
        <f t="shared" si="3"/>
        <v>184</v>
      </c>
      <c r="D18" s="32" t="s">
        <v>833</v>
      </c>
      <c r="E18" s="33">
        <v>2</v>
      </c>
      <c r="F18" s="36">
        <v>45</v>
      </c>
      <c r="G18" s="36">
        <v>47</v>
      </c>
      <c r="H18" s="38" t="str">
        <f t="shared" ref="H18:H81" si="8">IF(I18="","",$I$14)</f>
        <v>SCOUTING</v>
      </c>
      <c r="I18" s="34">
        <v>331</v>
      </c>
      <c r="J18" s="13" t="s">
        <v>4</v>
      </c>
      <c r="K18" s="13" t="s">
        <v>63</v>
      </c>
      <c r="L18" s="13" t="s">
        <v>7</v>
      </c>
      <c r="M18" s="13" t="s">
        <v>12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2</v>
      </c>
      <c r="AB18" s="66" t="s">
        <v>5</v>
      </c>
      <c r="AC18" s="61">
        <f t="shared" si="5"/>
        <v>2</v>
      </c>
      <c r="AD18" s="61">
        <f t="shared" si="6"/>
        <v>0.5</v>
      </c>
      <c r="AE18" s="66" t="s">
        <v>12</v>
      </c>
      <c r="AF18" s="65">
        <f t="shared" si="7"/>
        <v>1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199999999999999" x14ac:dyDescent="0.2">
      <c r="A19" s="20"/>
      <c r="B19" s="31" t="str">
        <f t="shared" si="2"/>
        <v>U2025</v>
      </c>
      <c r="C19" s="31">
        <f t="shared" si="3"/>
        <v>184</v>
      </c>
      <c r="D19" s="32" t="s">
        <v>834</v>
      </c>
      <c r="E19" s="33">
        <v>3</v>
      </c>
      <c r="F19" s="36">
        <v>48</v>
      </c>
      <c r="G19" s="36">
        <v>50</v>
      </c>
      <c r="H19" s="38" t="str">
        <f t="shared" si="8"/>
        <v>SCOUTING</v>
      </c>
      <c r="I19" s="34">
        <v>370</v>
      </c>
      <c r="J19" s="13" t="s">
        <v>4</v>
      </c>
      <c r="K19" s="13" t="s">
        <v>62</v>
      </c>
      <c r="L19" s="13" t="s">
        <v>5</v>
      </c>
      <c r="M19" s="13" t="s">
        <v>29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199999999999999" x14ac:dyDescent="0.2">
      <c r="A20" s="20"/>
      <c r="B20" s="31" t="str">
        <f t="shared" si="2"/>
        <v>U2025</v>
      </c>
      <c r="C20" s="31">
        <f t="shared" si="3"/>
        <v>184</v>
      </c>
      <c r="D20" s="32" t="s">
        <v>835</v>
      </c>
      <c r="E20" s="33">
        <v>4</v>
      </c>
      <c r="F20" s="36">
        <v>72</v>
      </c>
      <c r="G20" s="36">
        <v>72</v>
      </c>
      <c r="H20" s="38" t="str">
        <f t="shared" si="8"/>
        <v>SCOUTING</v>
      </c>
      <c r="I20" s="34">
        <v>595</v>
      </c>
      <c r="J20" s="13" t="s">
        <v>4</v>
      </c>
      <c r="K20" s="13" t="s">
        <v>62</v>
      </c>
      <c r="L20" s="13" t="s">
        <v>6</v>
      </c>
      <c r="M20" s="13" t="s">
        <v>22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1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199999999999999" x14ac:dyDescent="0.2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199999999999999" x14ac:dyDescent="0.2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199999999999999" x14ac:dyDescent="0.2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199999999999999" x14ac:dyDescent="0.2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199999999999999" x14ac:dyDescent="0.2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1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199999999999999" x14ac:dyDescent="0.2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199999999999999" x14ac:dyDescent="0.2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199999999999999" x14ac:dyDescent="0.2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199999999999999" x14ac:dyDescent="0.2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199999999999999" x14ac:dyDescent="0.2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199999999999999" x14ac:dyDescent="0.2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199999999999999" x14ac:dyDescent="0.2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1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199999999999999" x14ac:dyDescent="0.2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199999999999999" x14ac:dyDescent="0.2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199999999999999" x14ac:dyDescent="0.2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199999999999999" x14ac:dyDescent="0.2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199999999999999" x14ac:dyDescent="0.2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199999999999999" x14ac:dyDescent="0.2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199999999999999" x14ac:dyDescent="0.2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199999999999999" x14ac:dyDescent="0.2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199999999999999" x14ac:dyDescent="0.2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199999999999999" x14ac:dyDescent="0.2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199999999999999" x14ac:dyDescent="0.2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199999999999999" x14ac:dyDescent="0.2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199999999999999" x14ac:dyDescent="0.2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199999999999999" x14ac:dyDescent="0.2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199999999999999" x14ac:dyDescent="0.2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199999999999999" x14ac:dyDescent="0.2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199999999999999" x14ac:dyDescent="0.2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199999999999999" x14ac:dyDescent="0.2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199999999999999" x14ac:dyDescent="0.2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199999999999999" x14ac:dyDescent="0.2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199999999999999" x14ac:dyDescent="0.2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199999999999999" x14ac:dyDescent="0.2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199999999999999" x14ac:dyDescent="0.2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199999999999999" x14ac:dyDescent="0.2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199999999999999" x14ac:dyDescent="0.2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199999999999999" x14ac:dyDescent="0.2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199999999999999" x14ac:dyDescent="0.2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199999999999999" x14ac:dyDescent="0.2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199999999999999" x14ac:dyDescent="0.2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199999999999999" x14ac:dyDescent="0.2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199999999999999" x14ac:dyDescent="0.2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199999999999999" x14ac:dyDescent="0.2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199999999999999" x14ac:dyDescent="0.2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199999999999999" x14ac:dyDescent="0.2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199999999999999" x14ac:dyDescent="0.2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199999999999999" x14ac:dyDescent="0.2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199999999999999" x14ac:dyDescent="0.2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199999999999999" x14ac:dyDescent="0.2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199999999999999" x14ac:dyDescent="0.2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199999999999999" x14ac:dyDescent="0.2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199999999999999" x14ac:dyDescent="0.2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199999999999999" x14ac:dyDescent="0.2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199999999999999" x14ac:dyDescent="0.2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199999999999999" x14ac:dyDescent="0.2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199999999999999" x14ac:dyDescent="0.2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199999999999999" x14ac:dyDescent="0.2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199999999999999" x14ac:dyDescent="0.2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199999999999999" x14ac:dyDescent="0.2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199999999999999" x14ac:dyDescent="0.2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199999999999999" x14ac:dyDescent="0.2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199999999999999" x14ac:dyDescent="0.2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199999999999999" x14ac:dyDescent="0.2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199999999999999" x14ac:dyDescent="0.2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199999999999999" x14ac:dyDescent="0.2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199999999999999" x14ac:dyDescent="0.2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199999999999999" x14ac:dyDescent="0.2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199999999999999" x14ac:dyDescent="0.2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199999999999999" x14ac:dyDescent="0.2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199999999999999" x14ac:dyDescent="0.2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199999999999999" x14ac:dyDescent="0.2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199999999999999" x14ac:dyDescent="0.2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199999999999999" x14ac:dyDescent="0.2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199999999999999" x14ac:dyDescent="0.2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199999999999999" x14ac:dyDescent="0.2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199999999999999" x14ac:dyDescent="0.2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199999999999999" x14ac:dyDescent="0.2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199999999999999" x14ac:dyDescent="0.2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199999999999999" x14ac:dyDescent="0.2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199999999999999" x14ac:dyDescent="0.2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199999999999999" x14ac:dyDescent="0.2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199999999999999" x14ac:dyDescent="0.2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199999999999999" x14ac:dyDescent="0.2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199999999999999" x14ac:dyDescent="0.2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199999999999999" x14ac:dyDescent="0.2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199999999999999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199999999999999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5">
      <c r="W109" s="96"/>
    </row>
    <row r="110" spans="1:71" x14ac:dyDescent="0.25">
      <c r="W110" s="4"/>
    </row>
    <row r="111" spans="1:71" x14ac:dyDescent="0.25">
      <c r="W111" s="4"/>
    </row>
  </sheetData>
  <sheetProtection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baseColWidth="10" defaultColWidth="8.88671875" defaultRowHeight="13.2" x14ac:dyDescent="0.25"/>
  <cols>
    <col min="1" max="1" width="0.6640625" customWidth="1"/>
    <col min="2" max="2" width="3.6640625" style="150" customWidth="1"/>
    <col min="3" max="3" width="23.5546875" style="150" bestFit="1" customWidth="1"/>
    <col min="4" max="15" width="14" style="25" customWidth="1"/>
  </cols>
  <sheetData>
    <row r="1" spans="2:15" ht="13.8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.8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803</v>
      </c>
      <c r="E3" s="133" t="s">
        <v>804</v>
      </c>
      <c r="F3" s="133" t="s">
        <v>805</v>
      </c>
      <c r="G3" s="133" t="s">
        <v>806</v>
      </c>
      <c r="H3" s="133" t="s">
        <v>807</v>
      </c>
      <c r="I3" s="134" t="s">
        <v>808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764</v>
      </c>
      <c r="E4" s="137" t="s">
        <v>765</v>
      </c>
      <c r="F4" s="137" t="s">
        <v>766</v>
      </c>
      <c r="G4" s="137" t="s">
        <v>767</v>
      </c>
      <c r="H4" s="137" t="s">
        <v>768</v>
      </c>
      <c r="I4" s="138" t="s">
        <v>769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787</v>
      </c>
      <c r="E6" s="137" t="s">
        <v>788</v>
      </c>
      <c r="F6" s="137" t="s">
        <v>789</v>
      </c>
      <c r="G6" s="137" t="s">
        <v>780</v>
      </c>
      <c r="H6" s="137" t="s">
        <v>779</v>
      </c>
      <c r="I6" s="138" t="s">
        <v>790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754</v>
      </c>
      <c r="F7" s="137" t="s">
        <v>755</v>
      </c>
      <c r="G7" s="137" t="s">
        <v>756</v>
      </c>
      <c r="H7" s="137" t="s">
        <v>757</v>
      </c>
      <c r="I7" s="137" t="s">
        <v>824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770</v>
      </c>
      <c r="F8" s="137" t="s">
        <v>771</v>
      </c>
      <c r="G8" s="137" t="s">
        <v>772</v>
      </c>
      <c r="H8" s="137" t="s">
        <v>773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818</v>
      </c>
      <c r="E9" s="137" t="s">
        <v>819</v>
      </c>
      <c r="F9" s="137" t="s">
        <v>820</v>
      </c>
      <c r="G9" s="137" t="s">
        <v>821</v>
      </c>
      <c r="H9" s="137" t="s">
        <v>822</v>
      </c>
      <c r="I9" s="138" t="s">
        <v>823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809</v>
      </c>
      <c r="E10" s="137" t="s">
        <v>810</v>
      </c>
      <c r="F10" s="137" t="s">
        <v>811</v>
      </c>
      <c r="G10" s="137" t="s">
        <v>812</v>
      </c>
      <c r="H10" s="137" t="s">
        <v>813</v>
      </c>
      <c r="I10" s="138" t="s">
        <v>814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758</v>
      </c>
      <c r="E13" s="137" t="s">
        <v>759</v>
      </c>
      <c r="F13" s="137" t="s">
        <v>760</v>
      </c>
      <c r="G13" s="137" t="s">
        <v>761</v>
      </c>
      <c r="H13" s="137" t="s">
        <v>762</v>
      </c>
      <c r="I13" s="138" t="s">
        <v>763</v>
      </c>
      <c r="J13" s="139"/>
      <c r="K13" s="137" t="s">
        <v>774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781</v>
      </c>
      <c r="E14" s="137" t="s">
        <v>782</v>
      </c>
      <c r="F14" s="137" t="s">
        <v>783</v>
      </c>
      <c r="G14" s="137" t="s">
        <v>784</v>
      </c>
      <c r="H14" s="137" t="s">
        <v>785</v>
      </c>
      <c r="I14" s="138" t="s">
        <v>786</v>
      </c>
      <c r="J14" s="139"/>
      <c r="K14" s="137" t="s">
        <v>775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776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7" t="s">
        <v>780</v>
      </c>
      <c r="J16" s="139"/>
      <c r="K16" s="137" t="s">
        <v>777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749</v>
      </c>
      <c r="E17" s="137" t="s">
        <v>750</v>
      </c>
      <c r="F17" s="137" t="s">
        <v>751</v>
      </c>
      <c r="G17" s="137" t="s">
        <v>752</v>
      </c>
      <c r="H17" s="137" t="s">
        <v>753</v>
      </c>
      <c r="I17" s="138"/>
      <c r="J17" s="139"/>
      <c r="K17" s="137" t="s">
        <v>778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791</v>
      </c>
      <c r="E18" s="137" t="s">
        <v>792</v>
      </c>
      <c r="F18" s="137" t="s">
        <v>793</v>
      </c>
      <c r="G18" s="137" t="s">
        <v>794</v>
      </c>
      <c r="H18" s="137" t="s">
        <v>795</v>
      </c>
      <c r="I18" s="138" t="s">
        <v>796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815</v>
      </c>
      <c r="E19" s="137" t="s">
        <v>792</v>
      </c>
      <c r="F19" s="137" t="s">
        <v>816</v>
      </c>
      <c r="G19" s="137" t="s">
        <v>817</v>
      </c>
      <c r="H19" s="137" t="s">
        <v>795</v>
      </c>
      <c r="I19" s="138" t="s">
        <v>796</v>
      </c>
      <c r="J19" s="139" t="s">
        <v>774</v>
      </c>
      <c r="K19" s="137" t="s">
        <v>775</v>
      </c>
      <c r="L19" s="137" t="s">
        <v>776</v>
      </c>
      <c r="M19" s="137" t="s">
        <v>777</v>
      </c>
      <c r="N19" s="140" t="s">
        <v>778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.8" thickBot="1" x14ac:dyDescent="0.3">
      <c r="B22" s="154" t="s">
        <v>196</v>
      </c>
      <c r="C22" s="155" t="s">
        <v>236</v>
      </c>
      <c r="D22" s="141" t="s">
        <v>797</v>
      </c>
      <c r="E22" s="142" t="s">
        <v>798</v>
      </c>
      <c r="F22" s="142" t="s">
        <v>799</v>
      </c>
      <c r="G22" s="142" t="s">
        <v>800</v>
      </c>
      <c r="H22" s="142" t="s">
        <v>801</v>
      </c>
      <c r="I22" s="143" t="s">
        <v>802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.8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.8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88671875" defaultRowHeight="13.2" x14ac:dyDescent="0.25"/>
  <cols>
    <col min="2" max="2" width="11.88671875" bestFit="1" customWidth="1"/>
    <col min="3" max="3" width="6.109375" bestFit="1" customWidth="1"/>
    <col min="4" max="4" width="3.44140625" bestFit="1" customWidth="1"/>
    <col min="5" max="5" width="15.33203125" bestFit="1" customWidth="1"/>
    <col min="6" max="7" width="14.109375" bestFit="1" customWidth="1"/>
    <col min="8" max="8" width="14.88671875" bestFit="1" customWidth="1"/>
    <col min="9" max="9" width="20.88671875" bestFit="1" customWidth="1"/>
  </cols>
  <sheetData>
    <row r="2" spans="1:9" ht="14.4" x14ac:dyDescent="0.3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4" x14ac:dyDescent="0.3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4" x14ac:dyDescent="0.3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4" x14ac:dyDescent="0.3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4" x14ac:dyDescent="0.3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4" x14ac:dyDescent="0.3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4" x14ac:dyDescent="0.3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4" x14ac:dyDescent="0.3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4" x14ac:dyDescent="0.3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4" x14ac:dyDescent="0.3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4" x14ac:dyDescent="0.3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4" x14ac:dyDescent="0.3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4" x14ac:dyDescent="0.3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4" x14ac:dyDescent="0.3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4" x14ac:dyDescent="0.3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4" x14ac:dyDescent="0.3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4" x14ac:dyDescent="0.3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4" x14ac:dyDescent="0.3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4" x14ac:dyDescent="0.3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4" x14ac:dyDescent="0.3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4" x14ac:dyDescent="0.3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4" x14ac:dyDescent="0.3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4" x14ac:dyDescent="0.3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4" x14ac:dyDescent="0.3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4" x14ac:dyDescent="0.3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4" x14ac:dyDescent="0.3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4" x14ac:dyDescent="0.3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4" x14ac:dyDescent="0.3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4" x14ac:dyDescent="0.3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4" x14ac:dyDescent="0.3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4" x14ac:dyDescent="0.3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4" x14ac:dyDescent="0.3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4" x14ac:dyDescent="0.3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4" x14ac:dyDescent="0.3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4" x14ac:dyDescent="0.3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4" x14ac:dyDescent="0.3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4" x14ac:dyDescent="0.3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4" x14ac:dyDescent="0.3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4" x14ac:dyDescent="0.3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4" x14ac:dyDescent="0.3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4" x14ac:dyDescent="0.3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4" x14ac:dyDescent="0.3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4" x14ac:dyDescent="0.3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4" x14ac:dyDescent="0.3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4" x14ac:dyDescent="0.3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4" x14ac:dyDescent="0.3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4" x14ac:dyDescent="0.3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4" x14ac:dyDescent="0.3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4" x14ac:dyDescent="0.3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4" x14ac:dyDescent="0.3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4" x14ac:dyDescent="0.3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4" x14ac:dyDescent="0.3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4" x14ac:dyDescent="0.3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4" x14ac:dyDescent="0.3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4" x14ac:dyDescent="0.3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4" x14ac:dyDescent="0.3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4" x14ac:dyDescent="0.3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4" x14ac:dyDescent="0.3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4" x14ac:dyDescent="0.3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4" x14ac:dyDescent="0.3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4" x14ac:dyDescent="0.3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4" x14ac:dyDescent="0.3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4" x14ac:dyDescent="0.3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4" x14ac:dyDescent="0.3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4" x14ac:dyDescent="0.3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4" x14ac:dyDescent="0.3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4" x14ac:dyDescent="0.3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4" x14ac:dyDescent="0.3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4" x14ac:dyDescent="0.3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4" x14ac:dyDescent="0.3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4" x14ac:dyDescent="0.3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4" x14ac:dyDescent="0.3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4" x14ac:dyDescent="0.3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4" x14ac:dyDescent="0.3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4" x14ac:dyDescent="0.3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4" x14ac:dyDescent="0.3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4" x14ac:dyDescent="0.3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4" x14ac:dyDescent="0.3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4" x14ac:dyDescent="0.3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4" x14ac:dyDescent="0.3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4" x14ac:dyDescent="0.3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4" x14ac:dyDescent="0.3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4" x14ac:dyDescent="0.3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4" x14ac:dyDescent="0.3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4" x14ac:dyDescent="0.3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4" x14ac:dyDescent="0.3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4" x14ac:dyDescent="0.3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4" x14ac:dyDescent="0.3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4" x14ac:dyDescent="0.3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4" x14ac:dyDescent="0.3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4" x14ac:dyDescent="0.3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4" x14ac:dyDescent="0.3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4" x14ac:dyDescent="0.3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4" x14ac:dyDescent="0.3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4" x14ac:dyDescent="0.3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4" x14ac:dyDescent="0.3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4" x14ac:dyDescent="0.3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4" x14ac:dyDescent="0.3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4" x14ac:dyDescent="0.3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4" x14ac:dyDescent="0.3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4" x14ac:dyDescent="0.3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4" x14ac:dyDescent="0.3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4" x14ac:dyDescent="0.3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4" x14ac:dyDescent="0.3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4" x14ac:dyDescent="0.3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4" x14ac:dyDescent="0.3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4" x14ac:dyDescent="0.3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4" x14ac:dyDescent="0.3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4" x14ac:dyDescent="0.3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4" x14ac:dyDescent="0.3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4" x14ac:dyDescent="0.3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4" x14ac:dyDescent="0.3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4" x14ac:dyDescent="0.3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4" x14ac:dyDescent="0.3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4" x14ac:dyDescent="0.3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4" x14ac:dyDescent="0.3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4" x14ac:dyDescent="0.3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4" x14ac:dyDescent="0.3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4" x14ac:dyDescent="0.3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4" x14ac:dyDescent="0.3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4" x14ac:dyDescent="0.3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4" x14ac:dyDescent="0.3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4" x14ac:dyDescent="0.3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4" x14ac:dyDescent="0.3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4" x14ac:dyDescent="0.3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4" x14ac:dyDescent="0.3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4" x14ac:dyDescent="0.3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4" x14ac:dyDescent="0.3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4" x14ac:dyDescent="0.3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4" x14ac:dyDescent="0.3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4" x14ac:dyDescent="0.3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4" x14ac:dyDescent="0.3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4" x14ac:dyDescent="0.3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4" x14ac:dyDescent="0.3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4" x14ac:dyDescent="0.3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4" x14ac:dyDescent="0.3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4" x14ac:dyDescent="0.3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4" x14ac:dyDescent="0.3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4" x14ac:dyDescent="0.3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4" x14ac:dyDescent="0.3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4" x14ac:dyDescent="0.3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4" x14ac:dyDescent="0.3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4" x14ac:dyDescent="0.3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4" x14ac:dyDescent="0.3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4" x14ac:dyDescent="0.3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4" x14ac:dyDescent="0.3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4" x14ac:dyDescent="0.3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4" x14ac:dyDescent="0.3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4" x14ac:dyDescent="0.3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4" x14ac:dyDescent="0.3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4" x14ac:dyDescent="0.3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4" x14ac:dyDescent="0.3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4" x14ac:dyDescent="0.3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4" x14ac:dyDescent="0.3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4" x14ac:dyDescent="0.3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4" x14ac:dyDescent="0.3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4" x14ac:dyDescent="0.3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4" x14ac:dyDescent="0.3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4" x14ac:dyDescent="0.3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4" x14ac:dyDescent="0.3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4" x14ac:dyDescent="0.3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4" x14ac:dyDescent="0.3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4" x14ac:dyDescent="0.3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4" x14ac:dyDescent="0.3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4" x14ac:dyDescent="0.3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4" x14ac:dyDescent="0.3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4" x14ac:dyDescent="0.3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4" x14ac:dyDescent="0.3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4" x14ac:dyDescent="0.3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4" x14ac:dyDescent="0.3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4" x14ac:dyDescent="0.3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4" x14ac:dyDescent="0.3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4" x14ac:dyDescent="0.3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4" x14ac:dyDescent="0.3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4" x14ac:dyDescent="0.3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4" x14ac:dyDescent="0.3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4" x14ac:dyDescent="0.3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4" x14ac:dyDescent="0.3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4" x14ac:dyDescent="0.3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4" x14ac:dyDescent="0.3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4" x14ac:dyDescent="0.3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4" x14ac:dyDescent="0.3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4" x14ac:dyDescent="0.3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4" x14ac:dyDescent="0.3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4" x14ac:dyDescent="0.3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4" x14ac:dyDescent="0.3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4" x14ac:dyDescent="0.3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4" x14ac:dyDescent="0.3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4" x14ac:dyDescent="0.3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4" x14ac:dyDescent="0.3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4" x14ac:dyDescent="0.3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4" x14ac:dyDescent="0.3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4" x14ac:dyDescent="0.3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4" x14ac:dyDescent="0.3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4" x14ac:dyDescent="0.3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4" x14ac:dyDescent="0.3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4" x14ac:dyDescent="0.3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4" x14ac:dyDescent="0.3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4" x14ac:dyDescent="0.3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4" x14ac:dyDescent="0.3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4" x14ac:dyDescent="0.3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4" x14ac:dyDescent="0.3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4" x14ac:dyDescent="0.3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4" x14ac:dyDescent="0.3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4" x14ac:dyDescent="0.3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4" x14ac:dyDescent="0.3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4" x14ac:dyDescent="0.3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4" x14ac:dyDescent="0.3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4" x14ac:dyDescent="0.3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4" x14ac:dyDescent="0.3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4" x14ac:dyDescent="0.3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4" x14ac:dyDescent="0.3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4" x14ac:dyDescent="0.3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4" x14ac:dyDescent="0.3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4" x14ac:dyDescent="0.3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4" x14ac:dyDescent="0.3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4" x14ac:dyDescent="0.3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4" x14ac:dyDescent="0.3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4" x14ac:dyDescent="0.3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4" x14ac:dyDescent="0.3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4" x14ac:dyDescent="0.3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4" x14ac:dyDescent="0.3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4" x14ac:dyDescent="0.3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4" x14ac:dyDescent="0.3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4" x14ac:dyDescent="0.3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4" x14ac:dyDescent="0.3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4" x14ac:dyDescent="0.3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4" x14ac:dyDescent="0.3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4" x14ac:dyDescent="0.3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4" x14ac:dyDescent="0.3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4" x14ac:dyDescent="0.3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4" x14ac:dyDescent="0.3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4" x14ac:dyDescent="0.3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4" x14ac:dyDescent="0.3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4" x14ac:dyDescent="0.3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4" x14ac:dyDescent="0.3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4" x14ac:dyDescent="0.3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4" x14ac:dyDescent="0.3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4" x14ac:dyDescent="0.3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4" x14ac:dyDescent="0.3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4" x14ac:dyDescent="0.3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4" x14ac:dyDescent="0.3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4" x14ac:dyDescent="0.3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4" x14ac:dyDescent="0.3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4" x14ac:dyDescent="0.3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4" x14ac:dyDescent="0.3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4" x14ac:dyDescent="0.3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4" x14ac:dyDescent="0.3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4" x14ac:dyDescent="0.3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4" x14ac:dyDescent="0.3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4" x14ac:dyDescent="0.3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4" x14ac:dyDescent="0.3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4" x14ac:dyDescent="0.3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4" x14ac:dyDescent="0.3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4" x14ac:dyDescent="0.3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4" x14ac:dyDescent="0.3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4" x14ac:dyDescent="0.3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4" x14ac:dyDescent="0.3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4" x14ac:dyDescent="0.3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4" x14ac:dyDescent="0.3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4" x14ac:dyDescent="0.3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4" x14ac:dyDescent="0.3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4" x14ac:dyDescent="0.3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4" x14ac:dyDescent="0.3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4" x14ac:dyDescent="0.3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4" x14ac:dyDescent="0.3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4" x14ac:dyDescent="0.3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4" x14ac:dyDescent="0.3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4" x14ac:dyDescent="0.3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4" x14ac:dyDescent="0.3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4" x14ac:dyDescent="0.3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4" x14ac:dyDescent="0.3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4" x14ac:dyDescent="0.3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4" x14ac:dyDescent="0.3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4" x14ac:dyDescent="0.3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4" x14ac:dyDescent="0.3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4" x14ac:dyDescent="0.3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4" x14ac:dyDescent="0.3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4" x14ac:dyDescent="0.3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4" x14ac:dyDescent="0.3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4" x14ac:dyDescent="0.3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4" x14ac:dyDescent="0.3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4" x14ac:dyDescent="0.3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4" x14ac:dyDescent="0.3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4" x14ac:dyDescent="0.3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4" x14ac:dyDescent="0.3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4" x14ac:dyDescent="0.3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4" x14ac:dyDescent="0.3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4" x14ac:dyDescent="0.3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4" x14ac:dyDescent="0.3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4" x14ac:dyDescent="0.3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4" x14ac:dyDescent="0.3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4" x14ac:dyDescent="0.3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4" x14ac:dyDescent="0.3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4" x14ac:dyDescent="0.3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4" x14ac:dyDescent="0.3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4" x14ac:dyDescent="0.3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4" x14ac:dyDescent="0.3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4" x14ac:dyDescent="0.3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4" x14ac:dyDescent="0.3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4" x14ac:dyDescent="0.3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4" x14ac:dyDescent="0.3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4" x14ac:dyDescent="0.3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4" x14ac:dyDescent="0.3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4" x14ac:dyDescent="0.3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4" x14ac:dyDescent="0.3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4" x14ac:dyDescent="0.3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4" x14ac:dyDescent="0.3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4" x14ac:dyDescent="0.3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4" x14ac:dyDescent="0.3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4" x14ac:dyDescent="0.3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4" x14ac:dyDescent="0.3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4" x14ac:dyDescent="0.3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4" x14ac:dyDescent="0.3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4" x14ac:dyDescent="0.3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4" x14ac:dyDescent="0.3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4" x14ac:dyDescent="0.3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4" x14ac:dyDescent="0.3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4" x14ac:dyDescent="0.3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4" x14ac:dyDescent="0.3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4" x14ac:dyDescent="0.3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4" x14ac:dyDescent="0.3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4" x14ac:dyDescent="0.3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4" x14ac:dyDescent="0.3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4" x14ac:dyDescent="0.3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4" x14ac:dyDescent="0.3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4" x14ac:dyDescent="0.3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4" x14ac:dyDescent="0.3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4" x14ac:dyDescent="0.3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4" x14ac:dyDescent="0.3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4" x14ac:dyDescent="0.3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4" x14ac:dyDescent="0.3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4" x14ac:dyDescent="0.3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4" x14ac:dyDescent="0.3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4" x14ac:dyDescent="0.3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4" x14ac:dyDescent="0.3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4" x14ac:dyDescent="0.3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4" x14ac:dyDescent="0.3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4" x14ac:dyDescent="0.3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4" x14ac:dyDescent="0.3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4" x14ac:dyDescent="0.3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4" x14ac:dyDescent="0.3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4" x14ac:dyDescent="0.3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4" x14ac:dyDescent="0.3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4" x14ac:dyDescent="0.3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4" x14ac:dyDescent="0.3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4" x14ac:dyDescent="0.3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4" x14ac:dyDescent="0.3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4" x14ac:dyDescent="0.3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4" x14ac:dyDescent="0.3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4" x14ac:dyDescent="0.3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4" x14ac:dyDescent="0.3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4" x14ac:dyDescent="0.3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4" x14ac:dyDescent="0.3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4" x14ac:dyDescent="0.3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4" x14ac:dyDescent="0.3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4" x14ac:dyDescent="0.3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4" x14ac:dyDescent="0.3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4" x14ac:dyDescent="0.3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4" x14ac:dyDescent="0.3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4" x14ac:dyDescent="0.3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4" x14ac:dyDescent="0.3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4" x14ac:dyDescent="0.3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4" x14ac:dyDescent="0.3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4" x14ac:dyDescent="0.3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4" x14ac:dyDescent="0.3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4" x14ac:dyDescent="0.3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4" x14ac:dyDescent="0.3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4" x14ac:dyDescent="0.3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4" x14ac:dyDescent="0.3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4" x14ac:dyDescent="0.3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4" x14ac:dyDescent="0.3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4" x14ac:dyDescent="0.3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4" x14ac:dyDescent="0.3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4" x14ac:dyDescent="0.3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4" x14ac:dyDescent="0.3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4" x14ac:dyDescent="0.3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4" x14ac:dyDescent="0.3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4" x14ac:dyDescent="0.3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4" x14ac:dyDescent="0.3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4" x14ac:dyDescent="0.3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4" x14ac:dyDescent="0.3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4" x14ac:dyDescent="0.3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4" x14ac:dyDescent="0.3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4" x14ac:dyDescent="0.3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4" x14ac:dyDescent="0.3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4" x14ac:dyDescent="0.3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4" x14ac:dyDescent="0.3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4" x14ac:dyDescent="0.3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4" x14ac:dyDescent="0.3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4" x14ac:dyDescent="0.3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4" x14ac:dyDescent="0.3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4" x14ac:dyDescent="0.3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4" x14ac:dyDescent="0.3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4" x14ac:dyDescent="0.3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4" x14ac:dyDescent="0.3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4" x14ac:dyDescent="0.3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4" x14ac:dyDescent="0.3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4" x14ac:dyDescent="0.3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4" x14ac:dyDescent="0.3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4" x14ac:dyDescent="0.3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4" x14ac:dyDescent="0.3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4" x14ac:dyDescent="0.3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4" x14ac:dyDescent="0.3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4" x14ac:dyDescent="0.3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4" x14ac:dyDescent="0.3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4" x14ac:dyDescent="0.3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4" x14ac:dyDescent="0.3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4" x14ac:dyDescent="0.3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4" x14ac:dyDescent="0.3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4" x14ac:dyDescent="0.3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4" x14ac:dyDescent="0.3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4" x14ac:dyDescent="0.3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4" x14ac:dyDescent="0.3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4" x14ac:dyDescent="0.3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4" x14ac:dyDescent="0.3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4" x14ac:dyDescent="0.3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4" x14ac:dyDescent="0.3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4" x14ac:dyDescent="0.3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4" x14ac:dyDescent="0.3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4" x14ac:dyDescent="0.3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4" x14ac:dyDescent="0.3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4" x14ac:dyDescent="0.3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4" x14ac:dyDescent="0.3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4" x14ac:dyDescent="0.3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4" x14ac:dyDescent="0.3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4" x14ac:dyDescent="0.3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4" x14ac:dyDescent="0.3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4" x14ac:dyDescent="0.3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4" x14ac:dyDescent="0.3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4" x14ac:dyDescent="0.3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4" x14ac:dyDescent="0.3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4" x14ac:dyDescent="0.3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4" x14ac:dyDescent="0.3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4" x14ac:dyDescent="0.3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4" x14ac:dyDescent="0.3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4" x14ac:dyDescent="0.3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4" x14ac:dyDescent="0.3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4" x14ac:dyDescent="0.3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4" x14ac:dyDescent="0.3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4" x14ac:dyDescent="0.3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4" x14ac:dyDescent="0.3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4" x14ac:dyDescent="0.3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4" x14ac:dyDescent="0.3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4" x14ac:dyDescent="0.3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4" x14ac:dyDescent="0.3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4" x14ac:dyDescent="0.3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4" x14ac:dyDescent="0.3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4" x14ac:dyDescent="0.3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4" x14ac:dyDescent="0.3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4" x14ac:dyDescent="0.3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4" x14ac:dyDescent="0.3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4" x14ac:dyDescent="0.3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4" x14ac:dyDescent="0.3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4" x14ac:dyDescent="0.3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4" x14ac:dyDescent="0.3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4" x14ac:dyDescent="0.3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4" x14ac:dyDescent="0.3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4" x14ac:dyDescent="0.3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4" x14ac:dyDescent="0.3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4" x14ac:dyDescent="0.3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4" x14ac:dyDescent="0.3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4" x14ac:dyDescent="0.3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4" x14ac:dyDescent="0.3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4" x14ac:dyDescent="0.3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4" x14ac:dyDescent="0.3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4" x14ac:dyDescent="0.3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4" x14ac:dyDescent="0.3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4" x14ac:dyDescent="0.3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4" x14ac:dyDescent="0.3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4" x14ac:dyDescent="0.3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4" x14ac:dyDescent="0.3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4" x14ac:dyDescent="0.3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4" x14ac:dyDescent="0.3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4" x14ac:dyDescent="0.3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4" x14ac:dyDescent="0.3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4" x14ac:dyDescent="0.3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4" x14ac:dyDescent="0.3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4" x14ac:dyDescent="0.3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4" x14ac:dyDescent="0.3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4" x14ac:dyDescent="0.3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4" x14ac:dyDescent="0.3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4" x14ac:dyDescent="0.3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4" x14ac:dyDescent="0.3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4" x14ac:dyDescent="0.3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4" x14ac:dyDescent="0.3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4" x14ac:dyDescent="0.3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4" x14ac:dyDescent="0.3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4" x14ac:dyDescent="0.3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4" x14ac:dyDescent="0.3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4" x14ac:dyDescent="0.3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4" x14ac:dyDescent="0.3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4" x14ac:dyDescent="0.3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4" x14ac:dyDescent="0.3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4" x14ac:dyDescent="0.3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4" x14ac:dyDescent="0.3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4" x14ac:dyDescent="0.3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4" x14ac:dyDescent="0.3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4" x14ac:dyDescent="0.3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4" x14ac:dyDescent="0.3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4" x14ac:dyDescent="0.3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4" x14ac:dyDescent="0.3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4" x14ac:dyDescent="0.3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4" x14ac:dyDescent="0.3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4" x14ac:dyDescent="0.3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4" x14ac:dyDescent="0.3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4" x14ac:dyDescent="0.3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4" x14ac:dyDescent="0.3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4" x14ac:dyDescent="0.3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4" x14ac:dyDescent="0.3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4" x14ac:dyDescent="0.3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4" x14ac:dyDescent="0.3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4" x14ac:dyDescent="0.3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4" x14ac:dyDescent="0.3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4" x14ac:dyDescent="0.3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4" x14ac:dyDescent="0.3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4" x14ac:dyDescent="0.3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4" x14ac:dyDescent="0.3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4" x14ac:dyDescent="0.3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4" x14ac:dyDescent="0.3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4" x14ac:dyDescent="0.3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4" x14ac:dyDescent="0.3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4" x14ac:dyDescent="0.3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4" x14ac:dyDescent="0.3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4" x14ac:dyDescent="0.3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4" x14ac:dyDescent="0.3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4" x14ac:dyDescent="0.3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4" x14ac:dyDescent="0.3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4" x14ac:dyDescent="0.3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4" x14ac:dyDescent="0.3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4" x14ac:dyDescent="0.3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4" x14ac:dyDescent="0.3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4" x14ac:dyDescent="0.3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4" x14ac:dyDescent="0.3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4" x14ac:dyDescent="0.3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4" x14ac:dyDescent="0.3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4" x14ac:dyDescent="0.3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4" x14ac:dyDescent="0.3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4" x14ac:dyDescent="0.3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4" x14ac:dyDescent="0.3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4" x14ac:dyDescent="0.3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4" x14ac:dyDescent="0.3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4" x14ac:dyDescent="0.3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4" x14ac:dyDescent="0.3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4" x14ac:dyDescent="0.3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4" x14ac:dyDescent="0.3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4" x14ac:dyDescent="0.3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4" x14ac:dyDescent="0.3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4" x14ac:dyDescent="0.3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4" x14ac:dyDescent="0.3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4" x14ac:dyDescent="0.3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4" x14ac:dyDescent="0.3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4" x14ac:dyDescent="0.3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4" x14ac:dyDescent="0.3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4" x14ac:dyDescent="0.3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4" x14ac:dyDescent="0.3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4" x14ac:dyDescent="0.3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4" x14ac:dyDescent="0.3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4" x14ac:dyDescent="0.3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4" x14ac:dyDescent="0.3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4" x14ac:dyDescent="0.3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.199999999999999" zeroHeight="1" x14ac:dyDescent="0.25"/>
  <cols>
    <col min="1" max="1" width="3.109375" style="43" customWidth="1"/>
    <col min="2" max="2" width="13.88671875" style="43" bestFit="1" customWidth="1"/>
    <col min="3" max="3" width="24.88671875" style="43" bestFit="1" customWidth="1"/>
    <col min="4" max="4" width="6.44140625" style="43" bestFit="1" customWidth="1"/>
    <col min="5" max="5" width="1.44140625" style="43" customWidth="1"/>
    <col min="6" max="6" width="34.44140625" style="43" bestFit="1" customWidth="1"/>
    <col min="7" max="7" width="1.44140625" style="43" customWidth="1"/>
    <col min="8" max="16382" width="10.88671875" style="43" hidden="1"/>
    <col min="16383" max="16384" width="52.5546875" style="43" hidden="1" customWidth="1"/>
  </cols>
  <sheetData>
    <row r="1" spans="2:6" x14ac:dyDescent="0.25">
      <c r="F1" s="44" t="str">
        <f>"REPORT_"&amp;'SCOUT &amp; LOGISTICS'!B2&amp;TEXT('SCOUT &amp; LOGISTICS'!C2,"000")</f>
        <v>REPORT_U2025184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"U2025184"</v>
      </c>
      <c r="F3" s="45" t="str">
        <f t="shared" ref="F3:F16" si="0">""""&amp;B3&amp;"""" &amp; " : " &amp;C3&amp;","</f>
        <v>"name" : "U2025184",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"U184"</v>
      </c>
      <c r="F4" s="45" t="str">
        <f t="shared" si="0"/>
        <v>"cod" : "U184",</v>
      </c>
    </row>
    <row r="5" spans="2:6" x14ac:dyDescent="0.25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5">
      <c r="B6" s="43" t="s">
        <v>118</v>
      </c>
      <c r="C6" s="43" t="str">
        <f>TEXT('SCOUT &amp; LOGISTICS'!C2,"000")</f>
        <v>184</v>
      </c>
      <c r="F6" s="45" t="str">
        <f t="shared" si="0"/>
        <v>"number" : 184,</v>
      </c>
    </row>
    <row r="7" spans="2:6" x14ac:dyDescent="0.25">
      <c r="B7" s="43" t="s">
        <v>116</v>
      </c>
      <c r="C7" s="43" t="str">
        <f>""""&amp;TEXT('SCOUT &amp; LOGISTICS'!B3,"dd/mm/aaaa")&amp;""""</f>
        <v>"Date"</v>
      </c>
      <c r="F7" s="45" t="str">
        <f t="shared" si="0"/>
        <v>"date" : "Date",</v>
      </c>
    </row>
    <row r="8" spans="2:6" x14ac:dyDescent="0.25">
      <c r="B8" s="43" t="s">
        <v>125</v>
      </c>
      <c r="C8" s="43" t="str">
        <f>""""&amp;'SCOUT &amp; LOGISTICS'!D4 &amp;""""</f>
        <v>"Umana Reyer Venice"</v>
      </c>
      <c r="F8" s="45" t="str">
        <f t="shared" si="0"/>
        <v>"home_team" : "Umana Reyer Venice",</v>
      </c>
    </row>
    <row r="9" spans="2:6" x14ac:dyDescent="0.25">
      <c r="B9" s="43" t="s">
        <v>126</v>
      </c>
      <c r="C9" s="43" t="str">
        <f>""""&amp;'SCOUT &amp; LOGISTICS'!D5&amp;""""</f>
        <v>"Dolomiti Energia Trento"</v>
      </c>
      <c r="F9" s="45" t="str">
        <f t="shared" si="0"/>
        <v>"away_team" : "Dolomiti Energia Trento",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"MARCO CONCINA"</v>
      </c>
      <c r="F10" s="45" t="str">
        <f t="shared" si="0"/>
        <v>"Data_entry" : "MARCO CONCINA",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"LEONARDO BOSCARATO"</v>
      </c>
      <c r="F11" s="45" t="str">
        <f t="shared" si="0"/>
        <v>"Caller_1" : "LEONARDO BOSCARATO",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"RICCARDO PILUTTI"</v>
      </c>
      <c r="F12" s="45" t="str">
        <f t="shared" si="0"/>
        <v>"Caller_2" : "RICCARDO PILUTTI",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"SILVIA GAGNO"</v>
      </c>
      <c r="F13" s="45" t="str">
        <f t="shared" si="0"/>
        <v>"Timerkeeper" : "SILVIA GAGNO",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"ENRICO TRONCO"</v>
      </c>
      <c r="F14" s="45" t="str">
        <f t="shared" si="0"/>
        <v>"Shotclock" : "ENRICO TRONCO",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""</v>
      </c>
      <c r="F15" s="45" t="str">
        <f t="shared" si="0"/>
        <v>"IRS" : "",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"OSCAR CUESTA"</v>
      </c>
      <c r="F16" s="45" t="str">
        <f t="shared" si="0"/>
        <v>"Live_Game_Manager" : "OSCAR CUESTA",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"OK"</v>
      </c>
      <c r="F21" s="45" t="str">
        <f>""""&amp;C21&amp;"""" &amp; " : " &amp;D21&amp;","</f>
        <v>"corrections" : "OK",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""</v>
      </c>
      <c r="F22" s="45" t="str">
        <f>""""&amp;C22&amp;"""" &amp; " : " &amp;D22</f>
        <v>"rescouted" : ""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752</v>
      </c>
      <c r="F25" s="45" t="str">
        <f t="shared" ref="F25:F48" si="1">""""&amp;C25&amp;"""" &amp; " : " &amp;D25&amp;","</f>
        <v>"total_actions" : 752,</v>
      </c>
    </row>
    <row r="26" spans="2:6" x14ac:dyDescent="0.25">
      <c r="C26" s="43" t="s">
        <v>132</v>
      </c>
      <c r="D26" s="43">
        <f>'SCOUT &amp; LOGISTICS'!F3</f>
        <v>4</v>
      </c>
      <c r="F26" s="45" t="str">
        <f t="shared" si="1"/>
        <v>"total_correcions" : 4,</v>
      </c>
    </row>
    <row r="27" spans="2:6" x14ac:dyDescent="0.25">
      <c r="C27" s="43" t="s">
        <v>133</v>
      </c>
      <c r="D27" s="43" t="str">
        <f>""""&amp;IF(OR(D25="",D25=0),"",TEXT(D26/D25,"0,0%"))&amp;""""</f>
        <v>"0,5%"</v>
      </c>
      <c r="F27" s="45" t="str">
        <f t="shared" si="1"/>
        <v>"%_corrections" : "0,5%",</v>
      </c>
    </row>
    <row r="28" spans="2:6" x14ac:dyDescent="0.25">
      <c r="C28" s="43" t="s">
        <v>125</v>
      </c>
      <c r="D28" s="43">
        <f>IF('SCOUT &amp; LOGISTICS'!AA17="","",'SCOUT &amp; LOGISTICS'!AA17)</f>
        <v>2</v>
      </c>
      <c r="F28" s="45" t="str">
        <f t="shared" si="1"/>
        <v>"home_team" : 2,</v>
      </c>
    </row>
    <row r="29" spans="2:6" x14ac:dyDescent="0.25">
      <c r="C29" s="43" t="s">
        <v>134</v>
      </c>
      <c r="D29" s="43">
        <f>IF('SCOUT &amp; LOGISTICS'!AA18="","",'SCOUT &amp; LOGISTICS'!AA18)</f>
        <v>2</v>
      </c>
      <c r="F29" s="45" t="str">
        <f t="shared" si="1"/>
        <v>"no_team" : 2,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5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5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5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4</v>
      </c>
      <c r="F37" s="45" t="str">
        <f t="shared" si="1"/>
        <v>"scoresheet_corrections" : 4,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2</v>
      </c>
      <c r="F39" s="45" t="str">
        <f t="shared" si="1"/>
        <v>"missidentity" : 2,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1</v>
      </c>
      <c r="F48" s="45" t="str">
        <f t="shared" si="1"/>
        <v>"fouls" : 1,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"Great performance, ragazzi. Huge work all season. Hope to see you back next season!"</v>
      </c>
      <c r="F51" s="45" t="str">
        <f>""""&amp;B51&amp;"""" &amp; " : " &amp;C51&amp;","</f>
        <v>"comments" : "Great performance, ragazzi. Huge work all season. Hope to see you back next season!",</v>
      </c>
    </row>
    <row r="52" spans="2:6" x14ac:dyDescent="0.25">
      <c r="B52" s="43" t="s">
        <v>153</v>
      </c>
      <c r="C52" s="43" t="str">
        <f>TEXT('SCOUT &amp; LOGISTICS'!F1,"0,0")</f>
        <v>19_184_VNC_TRN_U2025</v>
      </c>
      <c r="F52" s="45" t="str">
        <f>""""&amp;B52&amp;"""" &amp; " : " &amp;C52</f>
        <v>"result" : 19_184_VNC_TRN_U2025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6" zeroHeight="1" x14ac:dyDescent="0.2"/>
  <cols>
    <col min="1" max="1" width="5.109375" style="47" customWidth="1"/>
    <col min="2" max="2" width="2.88671875" style="47" customWidth="1"/>
    <col min="3" max="31" width="3.109375" style="47" customWidth="1"/>
    <col min="32" max="32" width="5.5546875" style="47" customWidth="1"/>
    <col min="33" max="16384" width="6.5546875" style="47" hidden="1"/>
  </cols>
  <sheetData>
    <row r="1" spans="1:33" s="48" customFormat="1" ht="11.1" customHeight="1" x14ac:dyDescent="0.2"/>
    <row r="2" spans="1:33" ht="42.6" customHeight="1" thickBot="1" x14ac:dyDescent="0.25">
      <c r="A2" s="48"/>
      <c r="B2" s="205" t="s">
        <v>708</v>
      </c>
      <c r="C2" s="205"/>
      <c r="D2" s="205"/>
      <c r="E2" s="205"/>
      <c r="F2" s="205"/>
      <c r="G2" s="205"/>
      <c r="H2" s="205"/>
      <c r="I2" s="205"/>
      <c r="J2" s="205"/>
      <c r="K2" s="205"/>
      <c r="L2" s="205"/>
      <c r="M2" s="205"/>
      <c r="N2" s="205"/>
      <c r="O2" s="205"/>
      <c r="P2" s="205"/>
      <c r="Q2" s="205"/>
      <c r="R2" s="205"/>
      <c r="S2" s="205"/>
      <c r="T2" s="205"/>
      <c r="U2" s="205"/>
      <c r="V2" s="205"/>
      <c r="W2" s="205"/>
      <c r="X2" s="205"/>
      <c r="Y2" s="205"/>
      <c r="Z2" s="205"/>
      <c r="AA2" s="205"/>
      <c r="AB2" s="205"/>
      <c r="AC2" s="205"/>
      <c r="AD2" s="205"/>
      <c r="AE2" s="205"/>
      <c r="AF2" s="48"/>
    </row>
    <row r="3" spans="1:33" ht="27" customHeight="1" thickBot="1" x14ac:dyDescent="0.25">
      <c r="A3" s="48"/>
      <c r="B3" s="199" t="str">
        <f>"GAME: "&amp; LEFT('SCOUT &amp; LOGISTICS'!B2,1) &amp; TEXT('SCOUT &amp; LOGISTICS'!C2,"000") &amp; " " &amp; IF(LEFT('SCOUT &amp; LOGISTICS'!B2,1)="U","(EUROCUP)","(EUROLEAGUE)")</f>
        <v>GAME: U184 (EUROCUP)</v>
      </c>
      <c r="C3" s="199"/>
      <c r="D3" s="199"/>
      <c r="E3" s="199"/>
      <c r="F3" s="199"/>
      <c r="G3" s="199"/>
      <c r="H3" s="199"/>
      <c r="I3" s="199"/>
      <c r="J3" s="199"/>
      <c r="K3" s="199"/>
      <c r="L3" s="199"/>
      <c r="M3" s="199"/>
      <c r="N3" s="199"/>
      <c r="O3" s="199"/>
      <c r="P3" s="199"/>
      <c r="Q3" s="199"/>
      <c r="R3" s="199"/>
      <c r="S3" s="199"/>
      <c r="T3" s="199"/>
      <c r="U3" s="199"/>
      <c r="V3" s="199"/>
      <c r="W3" s="199"/>
      <c r="X3" s="199"/>
      <c r="Y3" s="199"/>
      <c r="Z3" s="199"/>
      <c r="AA3" s="199"/>
      <c r="AB3" s="199"/>
      <c r="AC3" s="199"/>
      <c r="AD3" s="199"/>
      <c r="AE3" s="199"/>
      <c r="AF3" s="48"/>
    </row>
    <row r="4" spans="1:33" ht="14.25" customHeight="1" thickBot="1" x14ac:dyDescent="0.25">
      <c r="A4" s="48"/>
      <c r="B4" s="197" t="str">
        <f>"DATE: " &amp; TEXT('SCOUT &amp; LOGISTICS'!B3,"dd/mm")</f>
        <v>DATE: Date</v>
      </c>
      <c r="C4" s="197"/>
      <c r="D4" s="197"/>
      <c r="E4" s="197"/>
      <c r="F4" s="197"/>
      <c r="G4" s="197"/>
      <c r="H4" s="197"/>
      <c r="I4" s="197"/>
      <c r="J4" s="197"/>
      <c r="K4" s="197"/>
      <c r="L4" s="197"/>
      <c r="M4" s="197"/>
      <c r="N4" s="197"/>
      <c r="O4" s="197"/>
      <c r="P4" s="197"/>
      <c r="Q4" s="197"/>
      <c r="R4" s="197"/>
      <c r="S4" s="197"/>
      <c r="T4" s="197"/>
      <c r="U4" s="197"/>
      <c r="V4" s="197"/>
      <c r="W4" s="197"/>
      <c r="X4" s="197"/>
      <c r="Y4" s="197"/>
      <c r="Z4" s="197"/>
      <c r="AA4" s="197"/>
      <c r="AB4" s="197"/>
      <c r="AC4" s="197"/>
      <c r="AD4" s="197"/>
      <c r="AE4" s="197"/>
      <c r="AF4" s="48"/>
    </row>
    <row r="5" spans="1:33" ht="20.100000000000001" customHeight="1" thickBot="1" x14ac:dyDescent="0.25">
      <c r="A5" s="48"/>
      <c r="B5" s="201" t="s">
        <v>62</v>
      </c>
      <c r="C5" s="201"/>
      <c r="D5" s="201"/>
      <c r="E5" s="201"/>
      <c r="F5" s="201"/>
      <c r="G5" s="201"/>
      <c r="H5" s="201"/>
      <c r="I5" s="201"/>
      <c r="J5" s="201"/>
      <c r="K5" s="201"/>
      <c r="L5" s="201"/>
      <c r="M5" s="201"/>
      <c r="N5" s="201"/>
      <c r="O5" s="201"/>
      <c r="P5" s="201"/>
      <c r="Q5" s="201" t="s">
        <v>63</v>
      </c>
      <c r="R5" s="201"/>
      <c r="S5" s="201"/>
      <c r="T5" s="201"/>
      <c r="U5" s="201"/>
      <c r="V5" s="201"/>
      <c r="W5" s="201"/>
      <c r="X5" s="201"/>
      <c r="Y5" s="201"/>
      <c r="Z5" s="201"/>
      <c r="AA5" s="201"/>
      <c r="AB5" s="201"/>
      <c r="AC5" s="201"/>
      <c r="AD5" s="201"/>
      <c r="AE5" s="201"/>
      <c r="AF5" s="48"/>
    </row>
    <row r="6" spans="1:33" ht="23.1" customHeight="1" thickBot="1" x14ac:dyDescent="0.25">
      <c r="A6" s="48"/>
      <c r="B6" s="194" t="str">
        <f>PROPER('SCOUT &amp; LOGISTICS'!D4)</f>
        <v>Umana Reyer Venice</v>
      </c>
      <c r="C6" s="194"/>
      <c r="D6" s="194"/>
      <c r="E6" s="194"/>
      <c r="F6" s="194"/>
      <c r="G6" s="194"/>
      <c r="H6" s="194"/>
      <c r="I6" s="194"/>
      <c r="J6" s="194"/>
      <c r="K6" s="194"/>
      <c r="L6" s="194"/>
      <c r="M6" s="194"/>
      <c r="N6" s="194"/>
      <c r="O6" s="194"/>
      <c r="P6" s="194"/>
      <c r="Q6" s="194" t="str">
        <f>PROPER('SCOUT &amp; LOGISTICS'!D5)</f>
        <v>Dolomiti Energia Trento</v>
      </c>
      <c r="R6" s="194"/>
      <c r="S6" s="194"/>
      <c r="T6" s="194"/>
      <c r="U6" s="194"/>
      <c r="V6" s="194"/>
      <c r="W6" s="194"/>
      <c r="X6" s="194"/>
      <c r="Y6" s="194"/>
      <c r="Z6" s="194"/>
      <c r="AA6" s="194"/>
      <c r="AB6" s="194"/>
      <c r="AC6" s="194"/>
      <c r="AD6" s="194"/>
      <c r="AE6" s="194"/>
      <c r="AF6" s="48"/>
    </row>
    <row r="7" spans="1:33" ht="19.5" customHeight="1" thickBot="1" x14ac:dyDescent="0.25">
      <c r="A7" s="48"/>
      <c r="B7" s="200" t="str">
        <f>'SCOUT &amp; LOGISTICS'!B6</f>
        <v>Data entry</v>
      </c>
      <c r="C7" s="200"/>
      <c r="D7" s="200"/>
      <c r="E7" s="200"/>
      <c r="F7" s="200"/>
      <c r="G7" s="200" t="str">
        <f>'SCOUT &amp; LOGISTICS'!B7</f>
        <v>Caller 1</v>
      </c>
      <c r="H7" s="200"/>
      <c r="I7" s="200"/>
      <c r="J7" s="200"/>
      <c r="K7" s="200"/>
      <c r="L7" s="200" t="str">
        <f>'SCOUT &amp; LOGISTICS'!B8</f>
        <v>Caller 2</v>
      </c>
      <c r="M7" s="200"/>
      <c r="N7" s="200"/>
      <c r="O7" s="200"/>
      <c r="P7" s="200"/>
      <c r="Q7" s="200" t="str">
        <f>'SCOUT &amp; LOGISTICS'!B9</f>
        <v>Timerkeeper</v>
      </c>
      <c r="R7" s="200"/>
      <c r="S7" s="200"/>
      <c r="T7" s="200"/>
      <c r="U7" s="200"/>
      <c r="V7" s="200" t="str">
        <f>'SCOUT &amp; LOGISTICS'!B10</f>
        <v>Shotclock</v>
      </c>
      <c r="W7" s="200"/>
      <c r="X7" s="200"/>
      <c r="Y7" s="200"/>
      <c r="Z7" s="200"/>
      <c r="AA7" s="200" t="str">
        <f>'SCOUT &amp; LOGISTICS'!B11</f>
        <v>IRS</v>
      </c>
      <c r="AB7" s="200"/>
      <c r="AC7" s="200"/>
      <c r="AD7" s="200"/>
      <c r="AE7" s="200"/>
      <c r="AF7" s="48"/>
    </row>
    <row r="8" spans="1:33" ht="36" customHeight="1" thickBot="1" x14ac:dyDescent="0.25">
      <c r="A8" s="48"/>
      <c r="B8" s="198" t="str">
        <f>IF('SCOUT &amp; LOGISTICS'!D6="","",'SCOUT &amp; LOGISTICS'!D6)</f>
        <v>MARCO CONCINA</v>
      </c>
      <c r="C8" s="198"/>
      <c r="D8" s="198"/>
      <c r="E8" s="198"/>
      <c r="F8" s="198"/>
      <c r="G8" s="198" t="str">
        <f>IF('SCOUT &amp; LOGISTICS'!D7="","",'SCOUT &amp; LOGISTICS'!D7)</f>
        <v>LEONARDO BOSCARATO</v>
      </c>
      <c r="H8" s="198"/>
      <c r="I8" s="198"/>
      <c r="J8" s="198"/>
      <c r="K8" s="198"/>
      <c r="L8" s="198" t="str">
        <f>IF('SCOUT &amp; LOGISTICS'!D8="","",'SCOUT &amp; LOGISTICS'!D8)</f>
        <v>RICCARDO PILUTTI</v>
      </c>
      <c r="M8" s="198"/>
      <c r="N8" s="198"/>
      <c r="O8" s="198"/>
      <c r="P8" s="198"/>
      <c r="Q8" s="198" t="str">
        <f>IF('SCOUT &amp; LOGISTICS'!D9="","",'SCOUT &amp; LOGISTICS'!D9)</f>
        <v>SILVIA GAGNO</v>
      </c>
      <c r="R8" s="198"/>
      <c r="S8" s="198"/>
      <c r="T8" s="198"/>
      <c r="U8" s="198"/>
      <c r="V8" s="198" t="str">
        <f>IF('SCOUT &amp; LOGISTICS'!D10="","",'SCOUT &amp; LOGISTICS'!D10)</f>
        <v>ENRICO TRONCO</v>
      </c>
      <c r="W8" s="198"/>
      <c r="X8" s="198"/>
      <c r="Y8" s="198"/>
      <c r="Z8" s="198"/>
      <c r="AA8" s="198" t="str">
        <f>IF('SCOUT &amp; LOGISTICS'!D11="","",'SCOUT &amp; LOGISTICS'!D11)</f>
        <v/>
      </c>
      <c r="AB8" s="198"/>
      <c r="AC8" s="198"/>
      <c r="AD8" s="198"/>
      <c r="AE8" s="198"/>
      <c r="AF8" s="48"/>
    </row>
    <row r="9" spans="1:33" ht="13.2" thickBot="1" x14ac:dyDescent="0.25">
      <c r="A9" s="48"/>
      <c r="B9" s="206" t="str">
        <f>IF(OR('SCOUT &amp; LOGISTICS'!D14="",'SCOUT &amp; LOGISTICS'!D14=0),"",'SCOUT &amp; LOGISTICS'!B14 &amp; ": " &amp; 'SCOUT &amp; LOGISTICS'!D14) &amp; "     "</f>
        <v xml:space="preserve">L G M: : OSCAR CUESTA     </v>
      </c>
      <c r="C9" s="206"/>
      <c r="D9" s="206"/>
      <c r="E9" s="206"/>
      <c r="F9" s="206"/>
      <c r="G9" s="206"/>
      <c r="H9" s="206"/>
      <c r="I9" s="206"/>
      <c r="J9" s="206"/>
      <c r="K9" s="206"/>
      <c r="L9" s="206"/>
      <c r="M9" s="206"/>
      <c r="N9" s="206"/>
      <c r="O9" s="206"/>
      <c r="P9" s="206"/>
      <c r="Q9" s="206"/>
      <c r="R9" s="206"/>
      <c r="S9" s="206"/>
      <c r="T9" s="206"/>
      <c r="U9" s="206"/>
      <c r="V9" s="206"/>
      <c r="W9" s="206"/>
      <c r="X9" s="206"/>
      <c r="Y9" s="206"/>
      <c r="Z9" s="206"/>
      <c r="AA9" s="206"/>
      <c r="AB9" s="206"/>
      <c r="AC9" s="206"/>
      <c r="AD9" s="206"/>
      <c r="AE9" s="206"/>
      <c r="AF9" s="48"/>
    </row>
    <row r="10" spans="1:33" s="48" customFormat="1" ht="13.2" thickBot="1" x14ac:dyDescent="0.25">
      <c r="B10" s="193"/>
      <c r="C10" s="193"/>
      <c r="D10" s="193"/>
      <c r="E10" s="193"/>
      <c r="F10" s="193"/>
      <c r="G10" s="193"/>
      <c r="H10" s="193"/>
      <c r="I10" s="193"/>
      <c r="J10" s="193"/>
      <c r="K10" s="193"/>
      <c r="L10" s="193"/>
      <c r="M10" s="193"/>
      <c r="N10" s="193"/>
      <c r="O10" s="193"/>
      <c r="P10" s="193"/>
      <c r="Q10" s="193"/>
      <c r="R10" s="193"/>
      <c r="S10" s="193"/>
      <c r="T10" s="193"/>
      <c r="U10" s="193"/>
      <c r="V10" s="193"/>
      <c r="W10" s="193"/>
      <c r="X10" s="193"/>
      <c r="Y10" s="193"/>
      <c r="Z10" s="193"/>
      <c r="AA10" s="193"/>
      <c r="AB10" s="193"/>
      <c r="AC10" s="193"/>
      <c r="AD10" s="193"/>
      <c r="AE10" s="193"/>
    </row>
    <row r="11" spans="1:33" ht="20.100000000000001" customHeight="1" thickBot="1" x14ac:dyDescent="0.25">
      <c r="A11" s="48"/>
      <c r="B11" s="197" t="s">
        <v>13</v>
      </c>
      <c r="C11" s="197"/>
      <c r="D11" s="197"/>
      <c r="E11" s="197"/>
      <c r="F11" s="197"/>
      <c r="G11" s="197"/>
      <c r="H11" s="197"/>
      <c r="I11" s="197"/>
      <c r="J11" s="197"/>
      <c r="K11" s="197"/>
      <c r="L11" s="197"/>
      <c r="M11" s="197"/>
      <c r="N11" s="197"/>
      <c r="O11" s="197"/>
      <c r="P11" s="197"/>
      <c r="Q11" s="197"/>
      <c r="R11" s="197"/>
      <c r="S11" s="197"/>
      <c r="T11" s="197"/>
      <c r="U11" s="197"/>
      <c r="V11" s="197"/>
      <c r="W11" s="197"/>
      <c r="X11" s="197"/>
      <c r="Y11" s="197"/>
      <c r="Z11" s="197"/>
      <c r="AA11" s="197"/>
      <c r="AB11" s="197"/>
      <c r="AC11" s="197"/>
      <c r="AD11" s="197"/>
      <c r="AE11" s="197"/>
      <c r="AF11" s="48"/>
    </row>
    <row r="12" spans="1:33" ht="21" customHeight="1" thickBot="1" x14ac:dyDescent="0.25">
      <c r="A12" s="48"/>
      <c r="B12" s="195" t="str">
        <f>'SCOUT &amp; LOGISTICS'!I11</f>
        <v>ARRIVAL TIME</v>
      </c>
      <c r="C12" s="195"/>
      <c r="D12" s="195"/>
      <c r="E12" s="195"/>
      <c r="F12" s="195"/>
      <c r="G12" s="195"/>
      <c r="H12" s="195" t="str">
        <f>'SCOUT &amp; LOGISTICS'!J11</f>
        <v>CHECK LIST ON TIME</v>
      </c>
      <c r="I12" s="195"/>
      <c r="J12" s="195"/>
      <c r="K12" s="195"/>
      <c r="L12" s="195"/>
      <c r="M12" s="195"/>
      <c r="N12" s="195" t="str">
        <f>'SCOUT &amp; LOGISTICS'!K11</f>
        <v>COMMUNICATION</v>
      </c>
      <c r="O12" s="195"/>
      <c r="P12" s="195"/>
      <c r="Q12" s="195"/>
      <c r="R12" s="195"/>
      <c r="S12" s="195"/>
      <c r="T12" s="195" t="str">
        <f>'SCOUT &amp; LOGISTICS'!L11</f>
        <v>CORRECTIONS</v>
      </c>
      <c r="U12" s="195"/>
      <c r="V12" s="195"/>
      <c r="W12" s="195"/>
      <c r="X12" s="195"/>
      <c r="Y12" s="195"/>
      <c r="Z12" s="195" t="str">
        <f>'SCOUT &amp; LOGISTICS'!M11</f>
        <v>RESCOUTED</v>
      </c>
      <c r="AA12" s="195"/>
      <c r="AB12" s="195"/>
      <c r="AC12" s="195"/>
      <c r="AD12" s="195"/>
      <c r="AE12" s="195"/>
      <c r="AF12" s="48"/>
    </row>
    <row r="13" spans="1:33" ht="20.100000000000001" customHeight="1" thickBot="1" x14ac:dyDescent="0.25">
      <c r="A13" s="48"/>
      <c r="B13" s="202" t="str">
        <f>IF('SCOUT &amp; LOGISTICS'!I12="","",'SCOUT &amp; LOGISTICS'!I12)</f>
        <v>OK</v>
      </c>
      <c r="C13" s="202"/>
      <c r="D13" s="202"/>
      <c r="E13" s="202"/>
      <c r="F13" s="202"/>
      <c r="G13" s="202"/>
      <c r="H13" s="202" t="str">
        <f>IF('SCOUT &amp; LOGISTICS'!J12="","",'SCOUT &amp; LOGISTICS'!J12)</f>
        <v>YES</v>
      </c>
      <c r="I13" s="202"/>
      <c r="J13" s="202"/>
      <c r="K13" s="202"/>
      <c r="L13" s="202"/>
      <c r="M13" s="202"/>
      <c r="N13" s="202" t="str">
        <f>IF('SCOUT &amp; LOGISTICS'!K12="","",'SCOUT &amp; LOGISTICS'!K12)</f>
        <v>GOOD</v>
      </c>
      <c r="O13" s="202"/>
      <c r="P13" s="202"/>
      <c r="Q13" s="202"/>
      <c r="R13" s="202"/>
      <c r="S13" s="202"/>
      <c r="T13" s="202" t="str">
        <f>IF('SCOUT &amp; LOGISTICS'!L12="","",'SCOUT &amp; LOGISTICS'!L12)</f>
        <v>OK</v>
      </c>
      <c r="U13" s="202"/>
      <c r="V13" s="202"/>
      <c r="W13" s="202"/>
      <c r="X13" s="202"/>
      <c r="Y13" s="202"/>
      <c r="Z13" s="202" t="str">
        <f>IF('SCOUT &amp; LOGISTICS'!M12="","",'SCOUT &amp; LOGISTICS'!M12)</f>
        <v/>
      </c>
      <c r="AA13" s="202"/>
      <c r="AB13" s="202"/>
      <c r="AC13" s="202"/>
      <c r="AD13" s="202"/>
      <c r="AE13" s="202"/>
      <c r="AF13" s="48"/>
    </row>
    <row r="14" spans="1:33" s="48" customFormat="1" ht="13.2" thickBot="1" x14ac:dyDescent="0.25">
      <c r="B14" s="193"/>
      <c r="C14" s="193"/>
      <c r="D14" s="193"/>
      <c r="E14" s="193"/>
      <c r="F14" s="193"/>
      <c r="G14" s="193"/>
      <c r="H14" s="193"/>
      <c r="I14" s="193"/>
      <c r="J14" s="193"/>
      <c r="K14" s="193"/>
      <c r="L14" s="193"/>
      <c r="M14" s="193"/>
      <c r="N14" s="193"/>
      <c r="O14" s="193"/>
      <c r="P14" s="193"/>
      <c r="Q14" s="193"/>
      <c r="R14" s="193"/>
      <c r="S14" s="193"/>
      <c r="T14" s="193"/>
      <c r="U14" s="193"/>
      <c r="V14" s="193"/>
      <c r="W14" s="193"/>
      <c r="X14" s="193"/>
      <c r="Y14" s="193"/>
      <c r="Z14" s="193"/>
      <c r="AA14" s="193"/>
      <c r="AB14" s="193"/>
      <c r="AC14" s="193"/>
      <c r="AD14" s="193"/>
      <c r="AE14" s="193"/>
    </row>
    <row r="15" spans="1:33" ht="20.100000000000001" customHeight="1" thickBot="1" x14ac:dyDescent="0.25">
      <c r="A15" s="48"/>
      <c r="B15" s="197" t="s">
        <v>45</v>
      </c>
      <c r="C15" s="197"/>
      <c r="D15" s="197"/>
      <c r="E15" s="197"/>
      <c r="F15" s="197"/>
      <c r="G15" s="197"/>
      <c r="H15" s="197"/>
      <c r="I15" s="197"/>
      <c r="J15" s="197"/>
      <c r="K15" s="197"/>
      <c r="L15" s="197"/>
      <c r="M15" s="197"/>
      <c r="N15" s="197"/>
      <c r="O15" s="197"/>
      <c r="P15" s="197"/>
      <c r="Q15" s="197"/>
      <c r="R15" s="197"/>
      <c r="S15" s="197"/>
      <c r="T15" s="197"/>
      <c r="U15" s="197"/>
      <c r="V15" s="197"/>
      <c r="W15" s="197"/>
      <c r="X15" s="197"/>
      <c r="Y15" s="197"/>
      <c r="Z15" s="197"/>
      <c r="AA15" s="197"/>
      <c r="AB15" s="197"/>
      <c r="AC15" s="197"/>
      <c r="AD15" s="197"/>
      <c r="AE15" s="197"/>
      <c r="AF15" s="48"/>
    </row>
    <row r="16" spans="1:33" ht="21" customHeight="1" thickBot="1" x14ac:dyDescent="0.25">
      <c r="A16" s="48"/>
      <c r="B16" s="195" t="s">
        <v>82</v>
      </c>
      <c r="C16" s="195"/>
      <c r="D16" s="195"/>
      <c r="E16" s="195"/>
      <c r="F16" s="195"/>
      <c r="G16" s="195"/>
      <c r="H16" s="195"/>
      <c r="I16" s="195"/>
      <c r="J16" s="195"/>
      <c r="K16" s="195"/>
      <c r="L16" s="195" t="s">
        <v>83</v>
      </c>
      <c r="M16" s="195"/>
      <c r="N16" s="195"/>
      <c r="O16" s="195"/>
      <c r="P16" s="195"/>
      <c r="Q16" s="195"/>
      <c r="R16" s="195"/>
      <c r="S16" s="195"/>
      <c r="T16" s="195"/>
      <c r="U16" s="195"/>
      <c r="V16" s="195" t="s">
        <v>85</v>
      </c>
      <c r="W16" s="195"/>
      <c r="X16" s="195"/>
      <c r="Y16" s="195"/>
      <c r="Z16" s="195"/>
      <c r="AA16" s="195"/>
      <c r="AB16" s="195"/>
      <c r="AC16" s="195"/>
      <c r="AD16" s="195"/>
      <c r="AE16" s="195"/>
      <c r="AF16" s="48"/>
      <c r="AG16" s="47" t="s">
        <v>84</v>
      </c>
    </row>
    <row r="17" spans="1:32" ht="20.100000000000001" customHeight="1" thickBot="1" x14ac:dyDescent="0.25">
      <c r="A17" s="48"/>
      <c r="B17" s="200">
        <f>'SCOUT &amp; LOGISTICS'!D3</f>
        <v>752</v>
      </c>
      <c r="C17" s="200"/>
      <c r="D17" s="200"/>
      <c r="E17" s="200"/>
      <c r="F17" s="200"/>
      <c r="G17" s="200"/>
      <c r="H17" s="200"/>
      <c r="I17" s="200"/>
      <c r="J17" s="200"/>
      <c r="K17" s="200"/>
      <c r="L17" s="200">
        <f>'SCOUT &amp; LOGISTICS'!F3</f>
        <v>4</v>
      </c>
      <c r="M17" s="200"/>
      <c r="N17" s="200"/>
      <c r="O17" s="200"/>
      <c r="P17" s="200"/>
      <c r="Q17" s="200"/>
      <c r="R17" s="200"/>
      <c r="S17" s="200"/>
      <c r="T17" s="200"/>
      <c r="U17" s="200"/>
      <c r="V17" s="203">
        <f>IF(OR(B17="",B17=0),"",L17/B17)</f>
        <v>5.3191489361702126E-3</v>
      </c>
      <c r="W17" s="203"/>
      <c r="X17" s="203"/>
      <c r="Y17" s="203"/>
      <c r="Z17" s="203"/>
      <c r="AA17" s="203"/>
      <c r="AB17" s="203"/>
      <c r="AC17" s="203"/>
      <c r="AD17" s="203"/>
      <c r="AE17" s="203"/>
      <c r="AF17" s="48"/>
    </row>
    <row r="18" spans="1:32" s="48" customFormat="1" ht="13.2" thickBot="1" x14ac:dyDescent="0.25">
      <c r="B18" s="193"/>
      <c r="C18" s="193"/>
      <c r="D18" s="193"/>
      <c r="E18" s="193"/>
      <c r="F18" s="193"/>
      <c r="G18" s="193"/>
      <c r="H18" s="193"/>
      <c r="I18" s="193"/>
      <c r="J18" s="193"/>
      <c r="K18" s="193"/>
      <c r="L18" s="193"/>
      <c r="M18" s="193"/>
      <c r="N18" s="193"/>
      <c r="O18" s="193"/>
      <c r="P18" s="193"/>
      <c r="Q18" s="193"/>
      <c r="R18" s="193"/>
      <c r="S18" s="193"/>
      <c r="T18" s="193"/>
      <c r="U18" s="193"/>
      <c r="V18" s="193"/>
      <c r="W18" s="193"/>
      <c r="X18" s="193"/>
      <c r="Y18" s="193"/>
      <c r="Z18" s="193"/>
      <c r="AA18" s="193"/>
      <c r="AB18" s="193"/>
      <c r="AC18" s="193"/>
      <c r="AD18" s="193"/>
      <c r="AE18" s="193"/>
    </row>
    <row r="19" spans="1:32" ht="21" customHeight="1" thickBot="1" x14ac:dyDescent="0.25">
      <c r="A19" s="48"/>
      <c r="B19" s="195" t="str">
        <f>'SCOUT &amp; LOGISTICS'!Z17</f>
        <v>AWAY TEAM</v>
      </c>
      <c r="C19" s="195"/>
      <c r="D19" s="195"/>
      <c r="E19" s="195"/>
      <c r="F19" s="195"/>
      <c r="G19" s="195"/>
      <c r="H19" s="195"/>
      <c r="I19" s="195"/>
      <c r="J19" s="195"/>
      <c r="K19" s="195"/>
      <c r="L19" s="195" t="str">
        <f>'SCOUT &amp; LOGISTICS'!Z18</f>
        <v>HOME TEAM</v>
      </c>
      <c r="M19" s="195"/>
      <c r="N19" s="195"/>
      <c r="O19" s="195"/>
      <c r="P19" s="195"/>
      <c r="Q19" s="195" t="s">
        <v>63</v>
      </c>
      <c r="R19" s="195"/>
      <c r="S19" s="195"/>
      <c r="T19" s="195"/>
      <c r="U19" s="195"/>
      <c r="V19" s="195" t="str">
        <f>'SCOUT &amp; LOGISTICS'!Z19</f>
        <v>NO TEAM</v>
      </c>
      <c r="W19" s="195"/>
      <c r="X19" s="195"/>
      <c r="Y19" s="195"/>
      <c r="Z19" s="195"/>
      <c r="AA19" s="195"/>
      <c r="AB19" s="195"/>
      <c r="AC19" s="195"/>
      <c r="AD19" s="195"/>
      <c r="AE19" s="195"/>
      <c r="AF19" s="48"/>
    </row>
    <row r="20" spans="1:32" ht="20.100000000000001" customHeight="1" thickBot="1" x14ac:dyDescent="0.25">
      <c r="A20" s="48"/>
      <c r="B20" s="196">
        <f>IF('SCOUT &amp; LOGISTICS'!AA17="","",'SCOUT &amp; LOGISTICS'!AA17)</f>
        <v>2</v>
      </c>
      <c r="C20" s="196"/>
      <c r="D20" s="196"/>
      <c r="E20" s="196"/>
      <c r="F20" s="196"/>
      <c r="G20" s="196"/>
      <c r="H20" s="196"/>
      <c r="I20" s="196"/>
      <c r="J20" s="196"/>
      <c r="K20" s="196"/>
      <c r="L20" s="196">
        <f>IF('SCOUT &amp; LOGISTICS'!AA18="","",'SCOUT &amp; LOGISTICS'!AA18)</f>
        <v>2</v>
      </c>
      <c r="M20" s="196"/>
      <c r="N20" s="196"/>
      <c r="O20" s="196"/>
      <c r="P20" s="196"/>
      <c r="Q20" s="196"/>
      <c r="R20" s="196"/>
      <c r="S20" s="196"/>
      <c r="T20" s="196"/>
      <c r="U20" s="196"/>
      <c r="V20" s="196">
        <f>IF('SCOUT &amp; LOGISTICS'!AA19="","",'SCOUT &amp; LOGISTICS'!AA19)</f>
        <v>0</v>
      </c>
      <c r="W20" s="196"/>
      <c r="X20" s="196"/>
      <c r="Y20" s="196"/>
      <c r="Z20" s="196"/>
      <c r="AA20" s="196"/>
      <c r="AB20" s="196"/>
      <c r="AC20" s="196"/>
      <c r="AD20" s="196"/>
      <c r="AE20" s="196"/>
      <c r="AF20" s="48"/>
    </row>
    <row r="21" spans="1:32" ht="21" customHeight="1" thickBot="1" x14ac:dyDescent="0.25">
      <c r="A21" s="48"/>
      <c r="B21" s="195" t="s">
        <v>88</v>
      </c>
      <c r="C21" s="195"/>
      <c r="D21" s="195"/>
      <c r="E21" s="195"/>
      <c r="F21" s="195"/>
      <c r="G21" s="195"/>
      <c r="H21" s="195" t="s">
        <v>89</v>
      </c>
      <c r="I21" s="195"/>
      <c r="J21" s="195"/>
      <c r="K21" s="195"/>
      <c r="L21" s="195"/>
      <c r="M21" s="195"/>
      <c r="N21" s="195" t="s">
        <v>90</v>
      </c>
      <c r="O21" s="195"/>
      <c r="P21" s="195"/>
      <c r="Q21" s="195"/>
      <c r="R21" s="195"/>
      <c r="S21" s="195"/>
      <c r="T21" s="195" t="s">
        <v>91</v>
      </c>
      <c r="U21" s="195"/>
      <c r="V21" s="195"/>
      <c r="W21" s="195"/>
      <c r="X21" s="195"/>
      <c r="Y21" s="195"/>
      <c r="Z21" s="195" t="s">
        <v>92</v>
      </c>
      <c r="AA21" s="195"/>
      <c r="AB21" s="195"/>
      <c r="AC21" s="195"/>
      <c r="AD21" s="195"/>
      <c r="AE21" s="195"/>
      <c r="AF21" s="48"/>
    </row>
    <row r="22" spans="1:32" ht="20.100000000000001" customHeight="1" thickBot="1" x14ac:dyDescent="0.25">
      <c r="A22" s="48"/>
      <c r="B22" s="196">
        <f>'SCOUT &amp; LOGISTICS'!AG17</f>
        <v>1</v>
      </c>
      <c r="C22" s="196"/>
      <c r="D22" s="196"/>
      <c r="E22" s="196"/>
      <c r="F22" s="196"/>
      <c r="G22" s="196"/>
      <c r="H22" s="196">
        <f>'SCOUT &amp; LOGISTICS'!AG18</f>
        <v>1</v>
      </c>
      <c r="I22" s="196"/>
      <c r="J22" s="196"/>
      <c r="K22" s="196"/>
      <c r="L22" s="196"/>
      <c r="M22" s="196"/>
      <c r="N22" s="196">
        <f>'SCOUT &amp; LOGISTICS'!AG19</f>
        <v>1</v>
      </c>
      <c r="O22" s="196"/>
      <c r="P22" s="196"/>
      <c r="Q22" s="196"/>
      <c r="R22" s="196"/>
      <c r="S22" s="196"/>
      <c r="T22" s="196">
        <f>'SCOUT &amp; LOGISTICS'!AG20</f>
        <v>1</v>
      </c>
      <c r="U22" s="196"/>
      <c r="V22" s="196"/>
      <c r="W22" s="196"/>
      <c r="X22" s="196"/>
      <c r="Y22" s="196"/>
      <c r="Z22" s="196">
        <f>IF('SCOUT &amp; LOGISTICS'!AG21="","",'SCOUT &amp; LOGISTICS'!AG21)</f>
        <v>0</v>
      </c>
      <c r="AA22" s="196"/>
      <c r="AB22" s="196"/>
      <c r="AC22" s="196"/>
      <c r="AD22" s="196"/>
      <c r="AE22" s="196"/>
      <c r="AF22" s="48"/>
    </row>
    <row r="23" spans="1:32" s="48" customFormat="1" ht="13.2" thickBot="1" x14ac:dyDescent="0.25">
      <c r="B23" s="192"/>
      <c r="C23" s="192"/>
      <c r="D23" s="192"/>
      <c r="E23" s="192"/>
      <c r="F23" s="192"/>
      <c r="G23" s="192"/>
      <c r="H23" s="192"/>
      <c r="I23" s="192"/>
      <c r="J23" s="192"/>
      <c r="K23" s="192"/>
      <c r="L23" s="192"/>
      <c r="M23" s="192"/>
      <c r="N23" s="192"/>
      <c r="O23" s="192"/>
      <c r="P23" s="192"/>
      <c r="Q23" s="192"/>
      <c r="R23" s="192"/>
      <c r="S23" s="192"/>
      <c r="T23" s="192"/>
      <c r="U23" s="192"/>
      <c r="V23" s="192"/>
      <c r="W23" s="192"/>
      <c r="X23" s="192"/>
      <c r="Y23" s="192"/>
      <c r="Z23" s="192"/>
      <c r="AA23" s="192"/>
      <c r="AB23" s="192"/>
      <c r="AC23" s="192"/>
      <c r="AD23" s="192"/>
      <c r="AE23" s="192"/>
    </row>
    <row r="24" spans="1:32" ht="21" customHeight="1" thickBot="1" x14ac:dyDescent="0.25">
      <c r="A24" s="48"/>
      <c r="B24" s="195" t="s">
        <v>93</v>
      </c>
      <c r="C24" s="195"/>
      <c r="D24" s="195"/>
      <c r="E24" s="195"/>
      <c r="F24" s="195"/>
      <c r="G24" s="195"/>
      <c r="H24" s="195"/>
      <c r="I24" s="195"/>
      <c r="J24" s="195"/>
      <c r="K24" s="195"/>
      <c r="L24" s="195"/>
      <c r="M24" s="195"/>
      <c r="N24" s="195"/>
      <c r="O24" s="195"/>
      <c r="P24" s="195"/>
      <c r="Q24" s="195" t="s">
        <v>94</v>
      </c>
      <c r="R24" s="195"/>
      <c r="S24" s="195"/>
      <c r="T24" s="195"/>
      <c r="U24" s="195"/>
      <c r="V24" s="195"/>
      <c r="W24" s="195"/>
      <c r="X24" s="195"/>
      <c r="Y24" s="195"/>
      <c r="Z24" s="195"/>
      <c r="AA24" s="195"/>
      <c r="AB24" s="195"/>
      <c r="AC24" s="195"/>
      <c r="AD24" s="195"/>
      <c r="AE24" s="195"/>
      <c r="AF24" s="48"/>
    </row>
    <row r="25" spans="1:32" ht="20.100000000000001" customHeight="1" thickBot="1" x14ac:dyDescent="0.25">
      <c r="A25" s="48"/>
      <c r="B25" s="196">
        <f>'SCOUT &amp; LOGISTICS'!Y17</f>
        <v>4</v>
      </c>
      <c r="C25" s="196"/>
      <c r="D25" s="196"/>
      <c r="E25" s="196"/>
      <c r="F25" s="196"/>
      <c r="G25" s="196"/>
      <c r="H25" s="196"/>
      <c r="I25" s="196"/>
      <c r="J25" s="196"/>
      <c r="K25" s="196"/>
      <c r="L25" s="196"/>
      <c r="M25" s="196"/>
      <c r="N25" s="196"/>
      <c r="O25" s="196"/>
      <c r="P25" s="196"/>
      <c r="Q25" s="196">
        <f>'SCOUT &amp; LOGISTICS'!Y18</f>
        <v>0</v>
      </c>
      <c r="R25" s="196"/>
      <c r="S25" s="196"/>
      <c r="T25" s="196"/>
      <c r="U25" s="196"/>
      <c r="V25" s="196"/>
      <c r="W25" s="196"/>
      <c r="X25" s="196"/>
      <c r="Y25" s="196"/>
      <c r="Z25" s="196"/>
      <c r="AA25" s="196"/>
      <c r="AB25" s="196"/>
      <c r="AC25" s="196"/>
      <c r="AD25" s="196"/>
      <c r="AE25" s="196"/>
      <c r="AF25" s="48"/>
    </row>
    <row r="26" spans="1:32" ht="21" customHeight="1" thickBot="1" x14ac:dyDescent="0.25">
      <c r="A26" s="48"/>
      <c r="B26" s="195" t="s">
        <v>5</v>
      </c>
      <c r="C26" s="195"/>
      <c r="D26" s="195"/>
      <c r="E26" s="195"/>
      <c r="F26" s="195"/>
      <c r="G26" s="195" t="s">
        <v>6</v>
      </c>
      <c r="H26" s="195"/>
      <c r="I26" s="195"/>
      <c r="J26" s="195"/>
      <c r="K26" s="195"/>
      <c r="L26" s="195" t="s">
        <v>7</v>
      </c>
      <c r="M26" s="195"/>
      <c r="N26" s="195"/>
      <c r="O26" s="195"/>
      <c r="P26" s="195"/>
      <c r="Q26" s="195" t="s">
        <v>159</v>
      </c>
      <c r="R26" s="195"/>
      <c r="S26" s="195"/>
      <c r="T26" s="195"/>
      <c r="U26" s="195"/>
      <c r="V26" s="195" t="s">
        <v>109</v>
      </c>
      <c r="W26" s="195"/>
      <c r="X26" s="195"/>
      <c r="Y26" s="195"/>
      <c r="Z26" s="195"/>
      <c r="AA26" s="204" t="s">
        <v>161</v>
      </c>
      <c r="AB26" s="195"/>
      <c r="AC26" s="195"/>
      <c r="AD26" s="195"/>
      <c r="AE26" s="195"/>
      <c r="AF26" s="48"/>
    </row>
    <row r="27" spans="1:32" ht="20.100000000000001" customHeight="1" thickBot="1" x14ac:dyDescent="0.25">
      <c r="A27" s="48"/>
      <c r="B27" s="196">
        <f>'SCOUT &amp; LOGISTICS'!AC18</f>
        <v>2</v>
      </c>
      <c r="C27" s="196"/>
      <c r="D27" s="196"/>
      <c r="E27" s="196"/>
      <c r="F27" s="196"/>
      <c r="G27" s="196">
        <f>'SCOUT &amp; LOGISTICS'!AC22</f>
        <v>1</v>
      </c>
      <c r="H27" s="196"/>
      <c r="I27" s="196"/>
      <c r="J27" s="196"/>
      <c r="K27" s="196"/>
      <c r="L27" s="196">
        <f>'SCOUT &amp; LOGISTICS'!AC23</f>
        <v>1</v>
      </c>
      <c r="M27" s="196"/>
      <c r="N27" s="196"/>
      <c r="O27" s="196"/>
      <c r="P27" s="196"/>
      <c r="Q27" s="196">
        <f>'SCOUT &amp; LOGISTICS'!AC21</f>
        <v>0</v>
      </c>
      <c r="R27" s="196"/>
      <c r="S27" s="196"/>
      <c r="T27" s="196"/>
      <c r="U27" s="196"/>
      <c r="V27" s="196">
        <f>'SCOUT &amp; LOGISTICS'!AC27</f>
        <v>0</v>
      </c>
      <c r="W27" s="196"/>
      <c r="X27" s="196"/>
      <c r="Y27" s="196"/>
      <c r="Z27" s="196"/>
      <c r="AA27" s="196">
        <f>'SCOUT &amp; LOGISTICS'!AC17+'SCOUT &amp; LOGISTICS'!AC20</f>
        <v>0</v>
      </c>
      <c r="AB27" s="196"/>
      <c r="AC27" s="196"/>
      <c r="AD27" s="196"/>
      <c r="AE27" s="196"/>
      <c r="AF27" s="48"/>
    </row>
    <row r="28" spans="1:32" ht="21" customHeight="1" thickBot="1" x14ac:dyDescent="0.25">
      <c r="A28" s="48"/>
      <c r="B28" s="195" t="s">
        <v>48</v>
      </c>
      <c r="C28" s="195"/>
      <c r="D28" s="195"/>
      <c r="E28" s="195"/>
      <c r="F28" s="195"/>
      <c r="G28" s="195" t="s">
        <v>47</v>
      </c>
      <c r="H28" s="195"/>
      <c r="I28" s="195"/>
      <c r="J28" s="195"/>
      <c r="K28" s="195"/>
      <c r="L28" s="204" t="s">
        <v>75</v>
      </c>
      <c r="M28" s="195"/>
      <c r="N28" s="195"/>
      <c r="O28" s="195"/>
      <c r="P28" s="195"/>
      <c r="Q28" s="195" t="s">
        <v>36</v>
      </c>
      <c r="R28" s="195"/>
      <c r="S28" s="195"/>
      <c r="T28" s="195"/>
      <c r="U28" s="195"/>
      <c r="V28" s="195" t="s">
        <v>76</v>
      </c>
      <c r="W28" s="195"/>
      <c r="X28" s="195"/>
      <c r="Y28" s="195"/>
      <c r="Z28" s="195"/>
      <c r="AA28" s="195" t="s">
        <v>77</v>
      </c>
      <c r="AB28" s="195"/>
      <c r="AC28" s="195"/>
      <c r="AD28" s="195"/>
      <c r="AE28" s="195"/>
      <c r="AF28" s="48"/>
    </row>
    <row r="29" spans="1:32" ht="20.100000000000001" customHeight="1" thickBot="1" x14ac:dyDescent="0.25">
      <c r="A29" s="48"/>
      <c r="B29" s="196">
        <f>'SCOUT &amp; LOGISTICS'!AC25</f>
        <v>0</v>
      </c>
      <c r="C29" s="196"/>
      <c r="D29" s="196"/>
      <c r="E29" s="196"/>
      <c r="F29" s="196"/>
      <c r="G29" s="196">
        <f>'SCOUT &amp; LOGISTICS'!AC24</f>
        <v>0</v>
      </c>
      <c r="H29" s="196"/>
      <c r="I29" s="196"/>
      <c r="J29" s="196"/>
      <c r="K29" s="196"/>
      <c r="L29" s="196">
        <f>'SCOUT &amp; LOGISTICS'!$AC$29</f>
        <v>0</v>
      </c>
      <c r="M29" s="196"/>
      <c r="N29" s="196"/>
      <c r="O29" s="196"/>
      <c r="P29" s="196"/>
      <c r="Q29" s="196">
        <f>'SCOUT &amp; LOGISTICS'!AC28</f>
        <v>0</v>
      </c>
      <c r="R29" s="196"/>
      <c r="S29" s="196"/>
      <c r="T29" s="196"/>
      <c r="U29" s="196"/>
      <c r="V29" s="196">
        <f>'SCOUT &amp; LOGISTICS'!AC19</f>
        <v>0</v>
      </c>
      <c r="W29" s="196"/>
      <c r="X29" s="196"/>
      <c r="Y29" s="196"/>
      <c r="Z29" s="196"/>
      <c r="AA29" s="196">
        <f>'SCOUT &amp; LOGISTICS'!AC26</f>
        <v>0</v>
      </c>
      <c r="AB29" s="196"/>
      <c r="AC29" s="196"/>
      <c r="AD29" s="196"/>
      <c r="AE29" s="196"/>
      <c r="AF29" s="48"/>
    </row>
    <row r="30" spans="1:32" s="48" customFormat="1" ht="13.2" thickBot="1" x14ac:dyDescent="0.25">
      <c r="B30" s="193"/>
      <c r="C30" s="193"/>
      <c r="D30" s="193"/>
      <c r="E30" s="193"/>
      <c r="F30" s="193"/>
      <c r="G30" s="193"/>
      <c r="H30" s="193"/>
      <c r="I30" s="193"/>
      <c r="J30" s="193"/>
      <c r="K30" s="193"/>
      <c r="L30" s="193"/>
      <c r="M30" s="193"/>
      <c r="N30" s="193"/>
      <c r="O30" s="193"/>
      <c r="P30" s="193"/>
      <c r="Q30" s="193"/>
      <c r="R30" s="193"/>
      <c r="S30" s="193"/>
      <c r="T30" s="193"/>
      <c r="U30" s="193"/>
      <c r="V30" s="193"/>
      <c r="W30" s="193"/>
      <c r="X30" s="193"/>
      <c r="Y30" s="193"/>
      <c r="Z30" s="193"/>
      <c r="AA30" s="193"/>
      <c r="AB30" s="193"/>
      <c r="AC30" s="193"/>
      <c r="AD30" s="193"/>
      <c r="AE30" s="193"/>
    </row>
    <row r="31" spans="1:32" s="52" customFormat="1" ht="20.100000000000001" customHeight="1" thickBot="1" x14ac:dyDescent="0.25">
      <c r="A31" s="51"/>
      <c r="B31" s="197" t="s">
        <v>80</v>
      </c>
      <c r="C31" s="197"/>
      <c r="D31" s="197"/>
      <c r="E31" s="197"/>
      <c r="F31" s="197"/>
      <c r="G31" s="197"/>
      <c r="H31" s="197"/>
      <c r="I31" s="197"/>
      <c r="J31" s="197"/>
      <c r="K31" s="197"/>
      <c r="L31" s="197"/>
      <c r="M31" s="197"/>
      <c r="N31" s="197"/>
      <c r="O31" s="197"/>
      <c r="P31" s="197"/>
      <c r="Q31" s="197"/>
      <c r="R31" s="197"/>
      <c r="S31" s="197"/>
      <c r="T31" s="197"/>
      <c r="U31" s="197"/>
      <c r="V31" s="197"/>
      <c r="W31" s="197"/>
      <c r="X31" s="197"/>
      <c r="Y31" s="197"/>
      <c r="Z31" s="197"/>
      <c r="AA31" s="197"/>
      <c r="AB31" s="197"/>
      <c r="AC31" s="197"/>
      <c r="AD31" s="197"/>
      <c r="AE31" s="197"/>
      <c r="AF31" s="51"/>
    </row>
    <row r="32" spans="1:32" ht="87.6" customHeight="1" thickBot="1" x14ac:dyDescent="0.25">
      <c r="A32" s="48"/>
      <c r="B32" s="208" t="str">
        <f>IF('SCOUT &amp; LOGISTICS'!M4="","",'SCOUT &amp; LOGISTICS'!M4)</f>
        <v>Great performance, ragazzi. Huge work all season. Hope to see you back next season!</v>
      </c>
      <c r="C32" s="208"/>
      <c r="D32" s="208"/>
      <c r="E32" s="208"/>
      <c r="F32" s="208"/>
      <c r="G32" s="208"/>
      <c r="H32" s="208"/>
      <c r="I32" s="208"/>
      <c r="J32" s="208"/>
      <c r="K32" s="208"/>
      <c r="L32" s="208"/>
      <c r="M32" s="208"/>
      <c r="N32" s="208"/>
      <c r="O32" s="208"/>
      <c r="P32" s="208"/>
      <c r="Q32" s="208"/>
      <c r="R32" s="208"/>
      <c r="S32" s="208"/>
      <c r="T32" s="208"/>
      <c r="U32" s="208"/>
      <c r="V32" s="208"/>
      <c r="W32" s="208"/>
      <c r="X32" s="208"/>
      <c r="Y32" s="208"/>
      <c r="Z32" s="208"/>
      <c r="AA32" s="208"/>
      <c r="AB32" s="208"/>
      <c r="AC32" s="208"/>
      <c r="AD32" s="208"/>
      <c r="AE32" s="208"/>
      <c r="AF32" s="48"/>
    </row>
    <row r="33" spans="1:32" ht="20.100000000000001" customHeight="1" thickBot="1" x14ac:dyDescent="0.25">
      <c r="A33" s="48"/>
      <c r="B33" s="207"/>
      <c r="C33" s="207"/>
      <c r="D33" s="207"/>
      <c r="E33" s="207"/>
      <c r="F33" s="207"/>
      <c r="G33" s="207"/>
      <c r="H33" s="207"/>
      <c r="I33" s="207"/>
      <c r="J33" s="207"/>
      <c r="K33" s="207"/>
      <c r="L33" s="207"/>
      <c r="M33" s="207"/>
      <c r="N33" s="207"/>
      <c r="O33" s="207"/>
      <c r="P33" s="207"/>
      <c r="Q33" s="207"/>
      <c r="R33" s="207"/>
      <c r="S33" s="207"/>
      <c r="T33" s="207"/>
      <c r="U33" s="207"/>
      <c r="V33" s="207"/>
      <c r="W33" s="207"/>
      <c r="X33" s="207"/>
      <c r="Y33" s="207"/>
      <c r="Z33" s="207"/>
      <c r="AA33" s="207"/>
      <c r="AB33" s="207"/>
      <c r="AC33" s="207"/>
      <c r="AD33" s="207"/>
      <c r="AE33" s="207"/>
      <c r="AF33" s="48"/>
    </row>
    <row r="34" spans="1:32" ht="20.100000000000001" customHeight="1" thickBot="1" x14ac:dyDescent="0.25">
      <c r="A34" s="48"/>
      <c r="B34" s="197" t="s">
        <v>81</v>
      </c>
      <c r="C34" s="197"/>
      <c r="D34" s="197"/>
      <c r="E34" s="197"/>
      <c r="F34" s="197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25">
      <c r="A35" s="48"/>
      <c r="B35" s="209">
        <f>'SCOUT &amp; LOGISTICS'!M7</f>
        <v>6.0319148936170208</v>
      </c>
      <c r="C35" s="209"/>
      <c r="D35" s="209"/>
      <c r="E35" s="209"/>
      <c r="F35" s="209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2">
      <c r="A36" s="48"/>
      <c r="B36" s="191"/>
      <c r="C36" s="191"/>
      <c r="D36" s="191"/>
      <c r="E36" s="191"/>
      <c r="F36" s="191"/>
      <c r="G36" s="191"/>
      <c r="H36" s="191"/>
      <c r="I36" s="191"/>
      <c r="J36" s="191"/>
      <c r="K36" s="191"/>
      <c r="L36" s="191"/>
      <c r="M36" s="191"/>
      <c r="N36" s="191"/>
      <c r="O36" s="191"/>
      <c r="P36" s="191"/>
      <c r="Q36" s="191"/>
      <c r="R36" s="191"/>
      <c r="S36" s="191"/>
      <c r="T36" s="191"/>
      <c r="U36" s="191"/>
      <c r="V36" s="191"/>
      <c r="W36" s="191"/>
      <c r="X36" s="191"/>
      <c r="Y36" s="191"/>
      <c r="Z36" s="191"/>
      <c r="AA36" s="191"/>
      <c r="AB36" s="191"/>
      <c r="AC36" s="191"/>
      <c r="AD36" s="191"/>
      <c r="AE36" s="191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9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3.xml><?xml version="1.0" encoding="utf-8"?>
<ds:datastoreItem xmlns:ds="http://schemas.openxmlformats.org/officeDocument/2006/customXml" ds:itemID="{698EC6CA-F114-4A9D-BDC2-A65EA83F84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Oscar Cuesta</cp:lastModifiedBy>
  <cp:lastPrinted>2026-03-11T22:04:45Z</cp:lastPrinted>
  <dcterms:created xsi:type="dcterms:W3CDTF">2023-09-19T19:50:35Z</dcterms:created>
  <dcterms:modified xsi:type="dcterms:W3CDTF">2026-03-11T22:09:56Z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