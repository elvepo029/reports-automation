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3" documentId="8_{6F053D87-EF27-420A-BBE5-9A7E22BC1B2F}" xr6:coauthVersionLast="47" xr6:coauthVersionMax="47" xr10:uidLastSave="{6FBEAFD5-53EE-42B1-89A7-F10FCA016CFF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<sst xmlns="http://schemas.openxmlformats.org/spreadsheetml/2006/main" count="3255" uniqueCount="760">
  <si>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</si>
  <si>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</si>
  <si>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</si>
  <si>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</si>
  <si>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</si>
  <si>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</si>
  <si>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</si>
  <si>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</si>
  <si>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</si>
  <si>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</si>
  <si>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</si>
  <si>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</si>
  <si>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</si>
  <si>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</si>
  <si>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</si>
  <si>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</si>
  <si>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</si>
  <si>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</si>
  <si>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</si>
  <si>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</si>
  <si>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</si>
  <si>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</si>
  <si>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</si>
  <si>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</si>
  <si>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</si>
  <si>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</si>
  <si>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</si>
  <si>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</si>
  <si>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</si>
  <si>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</si>
  <si>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</si>
  <si>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</si>
  <si>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</si>
  <si>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</si>
  <si>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</si>
  <si>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</si>
  <si>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</si>
  <si>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</si>
  <si>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</si>
  <si>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</si>
  <si>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</si>
  <si>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</si>
  <si>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</si>
  <si>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</si>
  <si>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</si>
  <si>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</si>
  <si>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</si>
  <si>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</si>
  <si>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</si>
  <si>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</si>
  <si>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</si>
  <si>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</si>
  <si>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</si>
  <si>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</si>
  <si>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</si>
  <si>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</si>
  <si>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</si>
  <si>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</si>
  <si>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</si>
  <si>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</si>
  <si>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</si>
  <si>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</si>
  <si>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</si>
  <si>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</si>
  <si>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</si>
  <si>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</si>
  <si>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</si>
  <si>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</si>
  <si>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</si>
  <si>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</si>
  <si>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</si>
  <si>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</si>
  <si>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</si>
  <si>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</si>
  <si>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</si>
  <si>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</si>
  <si>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</si>
  <si>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</si>
  <si>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</si>
  <si>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</si>
  <si>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</si>
  <si>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</si>
  <si>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</si>
  <si>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</si>
  <si>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</si>
  <si>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</si>
  <si>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</si>
  <si>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</si>
  <si>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</si>
  <si>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</si>
  <si>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</si>
  <si>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</si>
  <si>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</si>
  <si>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</si>
  <si>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</si>
  <si>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</si>
  <si>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</si>
  <si>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</si>
  <si>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</si>
  <si>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</si>
  <si>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</si>
  <si>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</si>
  <si>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</si>
  <si>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</si>
  <si>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</si>
  <si>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</si>
  <si>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</si>
  <si>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</si>
  <si>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</si>
  <si>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</si>
  <si>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</si>
  <si>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</si>
  <si>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</si>
  <si>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</si>
  <si>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</si>
  <si>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</si>
  <si>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</si>
  <si>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</si>
  <si>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</si>
  <si>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</si>
  <si>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</si>
  <si>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</si>
  <si>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</si>
  <si>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</si>
  <si>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</si>
  <si>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</si>
  <si>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</si>
  <si>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</si>
  <si>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</si>
  <si>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</si>
  <si>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</si>
  <si>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</si>
  <si>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</si>
  <si>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</si>
  <si>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</si>
  <si>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</si>
  <si>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</si>
  <si>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</si>
  <si>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</si>
  <si>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</si>
  <si>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</si>
  <si>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</si>
  <si>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</si>
  <si>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</si>
  <si>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</si>
  <si>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</si>
  <si>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</si>
  <si>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</si>
  <si>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</si>
  <si>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</si>
  <si>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</si>
  <si>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</si>
  <si>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</si>
  <si>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</si>
  <si>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</si>
  <si>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</si>
  <si>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</si>
  <si>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</si>
  <si>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</si>
  <si>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</si>
  <si>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</si>
  <si>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</si>
  <si>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</si>
  <si>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</si>
  <si>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</si>
  <si>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</si>
  <si>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</si>
  <si>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</si>
  <si>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</si>
  <si>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</si>
  <si>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</si>
  <si>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</si>
  <si>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</si>
  <si>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</si>
  <si>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</si>
  <si>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</si>
  <si>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</si>
  <si>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</si>
  <si>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</si>
  <si>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</si>
  <si>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</si>
  <si>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</si>
  <si>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</si>
  <si>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</si>
  <si>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</si>
  <si>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</si>
  <si>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</si>
  <si>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</si>
  <si>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</si>
  <si>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</si>
  <si>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</si>
  <si>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</si>
  <si>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</si>
  <si>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</si>
  <si>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</si>
  <si>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</si>
  <si>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</si>
  <si>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</si>
  <si>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</si>
  <si>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</si>
  <si>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</si>
  <si>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</si>
  <si>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</si>
  <si>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</si>
  <si>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</si>
  <si>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</si>
  <si>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</si>
  <si>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</si>
  <si>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</si>
  <si>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</si>
  <si>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</si>
  <si>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</si>
  <si>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</si>
  <si>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</si>
  <si>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</si>
  <si>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</si>
  <si>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</si>
  <si>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</si>
  <si>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</si>
  <si>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</si>
  <si>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</si>
  <si>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</si>
  <si>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</si>
  <si>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</si>
  <si>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</si>
  <si>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</si>
  <si>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</si>
  <si>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</si>
  <si>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</si>
  <si>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</si>
  <si>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</si>
  <si>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</si>
  <si>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</si>
  <si>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</si>
  <si>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</si>
  <si>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</si>
  <si>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</si>
  <si>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</si>
  <si>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</si>
  <si>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</si>
  <si>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</si>
  <si>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</si>
  <si>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</si>
  <si>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</si>
  <si>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</si>
  <si>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</si>
  <si>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</si>
  <si>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</si>
  <si>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</si>
  <si>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</si>
  <si>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</si>
  <si>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</si>
  <si>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</si>
  <si>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</si>
  <si>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</si>
  <si>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</si>
  <si>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</si>
  <si>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</si>
  <si>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</si>
  <si>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</si>
  <si>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</si>
  <si>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</si>
  <si>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</si>
  <si>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</si>
  <si>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</si>
  <si>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</si>
  <si>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</si>
  <si>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</si>
  <si>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</si>
  <si>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</si>
  <si>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</si>
  <si>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</si>
  <si>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</si>
  <si>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</si>
  <si>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</si>
  <si>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</si>
  <si>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</si>
  <si>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</si>
  <si>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</si>
  <si>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</si>
  <si>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</si>
  <si>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</si>
  <si>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</si>
  <si>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</si>
  <si>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</si>
  <si>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</si>
  <si>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</si>
  <si>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</si>
  <si>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</si>
  <si>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</si>
  <si>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</si>
  <si>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</si>
  <si>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</si>
  <si>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</si>
  <si>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</si>
  <si>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</si>
  <si>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</si>
  <si>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</si>
  <si>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</si>
  <si>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</si>
  <si>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</si>
  <si>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</si>
  <si>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</si>
  <si>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</si>
  <si>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</si>
  <si>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</si>
  <si>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</si>
  <si>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</si>
  <si>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</si>
  <si>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</si>
  <si>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</si>
  <si>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</si>
  <si>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</si>
  <si>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</si>
  <si>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</si>
  <si>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</si>
  <si>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</si>
  <si>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</si>
  <si>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</si>
  <si>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</si>
  <si>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</si>
  <si>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</si>
  <si>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</si>
  <si>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</si>
  <si>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</si>
  <si>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</si>
  <si>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</si>
  <si>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</si>
  <si>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</si>
  <si>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</si>
  <si>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</si>
  <si>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</si>
  <si>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</si>
  <si>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</si>
  <si>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</si>
  <si>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</si>
  <si>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</si>
  <si>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</si>
  <si>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</si>
  <si>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</si>
  <si>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</si>
  <si>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</si>
  <si>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</si>
  <si>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</si>
  <si>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</si>
  <si>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</si>
  <si>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</si>
  <si>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</si>
  <si>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</si>
  <si>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</si>
  <si>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</si>
  <si>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</si>
  <si>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</si>
  <si>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</si>
  <si>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</si>
  <si>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</si>
  <si>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</si>
  <si>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</si>
  <si>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</si>
  <si>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</si>
  <si>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</si>
  <si>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</si>
  <si>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</si>
  <si>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</si>
  <si>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</si>
  <si>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</si>
  <si>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</si>
  <si>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</si>
  <si>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</si>
  <si>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</si>
  <si>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</si>
  <si>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</si>
  <si>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</si>
  <si>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</si>
  <si>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</si>
  <si>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</si>
  <si>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</si>
  <si>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</si>
  <si>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</si>
  <si>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</si>
  <si>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</si>
  <si>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</si>
  <si>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</si>
  <si>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</si>
  <si>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</si>
  <si>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</si>
  <si>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</si>
  <si>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</si>
  <si>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</si>
  <si>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</si>
  <si>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</si>
  <si>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</si>
  <si>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</si>
  <si>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</si>
  <si>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</si>
  <si>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</si>
  <si>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</si>
  <si>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</si>
  <si>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</si>
  <si>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</si>
  <si>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</si>
  <si>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</si>
  <si>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</si>
  <si>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</si>
  <si>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</si>
  <si>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</si>
  <si>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</si>
  <si>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</si>
  <si>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</si>
  <si>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</si>
  <si>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</si>
  <si>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</si>
  <si>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</si>
  <si>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</si>
  <si>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</si>
  <si>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</si>
  <si>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</si>
  <si>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</si>
  <si>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</si>
  <si>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</si>
  <si>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</si>
  <si>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</si>
  <si>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</si>
  <si>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</si>
  <si>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</si>
  <si>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</si>
  <si>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</si>
  <si>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</si>
  <si>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</si>
  <si>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</si>
  <si>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</si>
  <si>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</si>
  <si>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</si>
  <si>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</si>
  <si>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</si>
  <si>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</si>
  <si>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</si>
  <si>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</si>
  <si>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</si>
  <si>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</si>
  <si>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</si>
  <si>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</si>
  <si>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</si>
  <si>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</si>
  <si>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</si>
  <si>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</si>
  <si>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</si>
  <si>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</si>
  <si>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</si>
  <si>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</si>
  <si>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</si>
  <si>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</si>
  <si>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</si>
  <si>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</si>
  <si>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</si>
  <si>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</si>
  <si>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</si>
  <si>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</si>
  <si>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</si>
  <si>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</si>
  <si>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</si>
  <si>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</si>
  <si>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</si>
  <si>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</si>
  <si>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</si>
  <si>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</si>
  <si>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</si>
  <si>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</si>
  <si>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</si>
  <si>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</si>
  <si>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</si>
  <si>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</si>
  <si>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</si>
  <si>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</si>
  <si>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</si>
  <si>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</si>
  <si>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</si>
  <si>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</si>
  <si>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</si>
  <si>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</si>
  <si>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</si>
  <si>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</si>
  <si>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</si>
  <si>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</si>
  <si>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</si>
  <si>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</si>
  <si>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</si>
  <si>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</si>
  <si>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</si>
  <si>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</si>
  <si>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</si>
  <si>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</si>
  <si>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</si>
  <si>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</si>
  <si>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</si>
  <si>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</si>
  <si>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</si>
  <si>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</si>
  <si>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</si>
  <si>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</si>
  <si>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</si>
  <si>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</si>
  <si>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</si>
  <si>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</si>
  <si>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</si>
  <si>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</si>
  <si>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</si>
  <si>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</si>
  <si>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</si>
  <si>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</si>
  <si>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</si>
  <si>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</si>
  <si>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</si>
  <si>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</si>
  <si>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</si>
  <si>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</si>
  <si>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</si>
  <si>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</si>
  <si>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</si>
  <si>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</si>
  <si>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</si>
  <si>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</si>
  <si>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</si>
  <si>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</si>
  <si>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</si>
  <si>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</si>
  <si>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</si>
  <si>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</si>
  <si>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</si>
  <si>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</si>
  <si>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</si>
  <si>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</si>
  <si>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</si>
  <si>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</si>
  <si>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</si>
  <si>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</si>
  <si>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</si>
  <si>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</si>
  <si>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</si>
  <si>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</si>
  <si>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</si>
  <si>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</si>
  <si>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</si>
  <si>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</si>
  <si>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</si>
  <si>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</si>
  <si>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</si>
  <si>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</si>
  <si>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</si>
  <si>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</si>
  <si>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</si>
  <si>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</si>
  <si>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</si>
  <si>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</si>
  <si>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</si>
  <si>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</si>
  <si>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</si>
  <si>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</si>
  <si>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</si>
  <si>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</si>
  <si>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</si>
  <si>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</si>
  <si>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</si>
  <si>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</si>
  <si>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</si>
  <si>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</si>
  <si>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</si>
  <si>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</si>
  <si>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</si>
  <si>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</si>
  <si>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</si>
  <si>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</si>
  <si>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</si>
  <si>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</si>
  <si>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</si>
  <si>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</si>
  <si>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</si>
  <si>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</si>
  <si>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</si>
  <si>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</si>
  <si>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</si>
  <si>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</si>
  <si>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</si>
  <si>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</si>
  <si>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</si>
  <si>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</si>
  <si>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</si>
  <si>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</si>
  <si>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</si>
  <si>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</si>
  <si>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</si>
  <si>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</si>
  <si>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</si>
  <si>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</si>
  <si>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</si>
  <si>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</si>
  <si>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</si>
  <si>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</si>
  <si>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</si>
  <si>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</si>
  <si>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</si>
  <si>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</si>
  <si>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</si>
  <si>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</si>
  <si>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</si>
  <si>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</si>
  <si>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</si>
  <si>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</si>
  <si>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</si>
  <si>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</si>
  <si>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</si>
  <si>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</si>
  <si>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</si>
  <si>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</si>
  <si>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</si>
  <si>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</si>
  <si>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</si>
  <si>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</si>
  <si>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</si>
  <si>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</si>
  <si>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</si>
  <si>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</si>
  <si>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</si>
  <si>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</si>
  <si>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</si>
  <si>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</si>
  <si>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</si>
  <si>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</si>
  <si>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</si>
  <si>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</si>
  <si>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</si>
  <si>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</si>
  <si>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</si>
  <si>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</si>
  <si>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</si>
  <si>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</si>
  <si>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</si>
  <si>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</si>
  <si>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</si>
  <si>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</si>
  <si>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</si>
  <si>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</si>
  <si>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</si>
  <si>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</si>
  <si>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</si>
  <si>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</si>
  <si>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</si>
  <si>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</si>
  <si>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</si>
  <si>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</si>
  <si>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</si>
  <si>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</si>
  <si>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</si>
  <si>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</si>
  <si>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</si>
  <si>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</si>
  <si>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</si>
  <si>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</si>
  <si>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</si>
  <si>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</si>
  <si>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</si>
  <si>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</si>
  <si>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</si>
  <si>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</si>
  <si>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</si>
  <si>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</si>
  <si>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</si>
  <si>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</si>
  <si>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</si>
  <si>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</si>
  <si>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</si>
  <si>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</si>
  <si>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</si>
  <si>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</si>
  <si>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</si>
  <si>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</si>
  <si>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</si>
  <si>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</si>
  <si>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</si>
  <si>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</si>
  <si>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</si>
  <si>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</si>
  <si>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</si>
  <si>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</si>
  <si>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</si>
  <si>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</si>
  <si>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</si>
  <si>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</si>
  <si>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</si>
  <si>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</si>
  <si>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</si>
  <si>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</si>
  <si>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</si>
  <si>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</si>
  <si>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</si>
  <si>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</si>
  <si>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</si>
  <si>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</si>
  <si>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</si>
  <si>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</si>
  <si>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</si>
  <si>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</si>
  <si>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</si>
  <si>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</si>
  <si>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</si>
  <si>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</si>
  <si>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</si>
  <si>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</si>
  <si>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</si>
  <si>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</si>
  <si>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</si>
  <si>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</si>
  <si>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</si>
  <si>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</si>
  <si>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</si>
  <si>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</si>
  <si>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</si>
  <si>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</si>
  <si>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</si>
  <si>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</si>
  <si>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</si>
  <si>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</si>
  <si>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</si>
  <si>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</si>
  <si>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</si>
  <si>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</si>
  <si>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</si>
  <si>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</si>
  <si>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</si>
  <si>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</si>
  <si>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</si>
  <si>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</si>
  <si>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</si>
  <si>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</si>
  <si>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</si>
  <si>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</si>
  <si>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</si>
  <si>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</si>
  <si>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</si>
  <si>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</si>
  <si>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</si>
  <si>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</si>
  <si>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</si>
  <si>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</si>
  <si>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</si>
  <si>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</si>
  <si>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</si>
  <si>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</si>
  <si>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</si>
  <si>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</si>
  <si>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</si>
  <si>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SERTAC DIOSTEL</t>
  </si>
  <si>
    <t>ENDER OZBEK</t>
  </si>
  <si>
    <t>ORHAN YENIHAYAT</t>
  </si>
  <si>
    <t>AHMET YILDIZ</t>
  </si>
  <si>
    <t>KEREM SIRMAGIL</t>
  </si>
  <si>
    <t>HECTOR GUILLEN</t>
  </si>
  <si>
    <t>5:29</t>
  </si>
  <si>
    <t>7:30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</si>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</sst>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19_185_IST_RED_E2025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46024.854166666664</v>
      </c>
      <c r="C3" s="157"/>
      <c r="D3" s="39">
        <v>529</v>
      </c>
      <c r="E3" s="29"/>
      <c r="F3" s="26">
        <f>SUBTOTAL(3,I17:I106)</f>
        <v>2</v>
      </c>
      <c r="G3" s="27">
        <f>IF(OR(D3="",D3=0),"",F3/D3)</f>
        <v>3.780718336483932E-3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742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3.780718336483932E-3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0.3780718336483932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3.3780718336483933</v>
      </c>
      <c r="N7" s="58"/>
      <c r="O7" s="2"/>
      <c r="P7" s="2"/>
      <c r="Q7" s="86">
        <f>SUM(R5,S5,AC16)</f>
        <v>3.3780718336483933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3.3780718336483933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185</v>
      </c>
      <c r="D17" s="32" t="s">
        <v>757</v>
      </c>
      <c r="E17" s="33">
        <v>1</v>
      </c>
      <c r="F17" s="36">
        <v>8</v>
      </c>
      <c r="G17" s="36">
        <v>3</v>
      </c>
      <c r="H17" s="38" t="str">
        <f>IF(I17="","",$I$14)</f>
        <v>SCOUTING</v>
      </c>
      <c r="I17" s="34">
        <v>47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185</v>
      </c>
      <c r="D18" s="32" t="s">
        <v>758</v>
      </c>
      <c r="E18" s="33">
        <v>3</v>
      </c>
      <c r="F18" s="36">
        <v>27</v>
      </c>
      <c r="G18" s="36">
        <v>50</v>
      </c>
      <c r="H18" s="38" t="str">
        <f t="shared" ref="H18:H81" si="8">IF(I18="","",$I$14)</f>
        <v>SCOUTING</v>
      </c>
      <c r="I18" s="34">
        <v>303</v>
      </c>
      <c r="J18" s="13" t="s">
        <v>4</v>
      </c>
      <c r="K18" s="13" t="s">
        <v>62</v>
      </c>
      <c r="L18" s="13" t="s">
        <v>7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1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"E2025185"</v>
      </c>
      <c r="F3" s="45" t="str">
        <f t="shared" ref="F3:F16" si="0">""""&amp;B3&amp;"""" &amp; " : " &amp;C3&amp;","</f>
        <v>"name" : "E2025185",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"E185"</v>
      </c>
      <c r="F4" s="45" t="str">
        <f t="shared" si="0"/>
        <v>"cod" : "E185",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185</v>
      </c>
      <c r="F6" s="45" t="str">
        <f t="shared" si="0"/>
        <v>"number" : 185,</v>
      </c>
    </row>
    <row r="7" spans="2:6" x14ac:dyDescent="0.25">
      <c r="B7" s="43" t="s">
        <v>116</v>
      </c>
      <c r="C7" s="43" t="str">
        <f ca="1">""""&amp;TEXT('SCOUT &amp; LOGISTICS'!B3,"dd/mm/aaaa")&amp;""""</f>
        <v>"02/01/Friday"</v>
      </c>
      <c r="F7" s="45" t="str">
        <f t="shared" ca="1" si="0"/>
        <v>"date" : "02/01/Friday",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"SERTAC DIOSTEL"</v>
      </c>
      <c r="F10" s="45" t="str">
        <f t="shared" si="0"/>
        <v>"Data_entry" : "SERTAC DIOSTEL",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"AHMET YILDIZ"</v>
      </c>
      <c r="F13" s="45" t="str">
        <f t="shared" si="0"/>
        <v>"Timerkeeper" : "AHMET YILDIZ",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"KEREM SIRMAGIL"</v>
      </c>
      <c r="F14" s="45" t="str">
        <f t="shared" si="0"/>
        <v>"Shotclock" : "KEREM SIRMAGIL",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529</v>
      </c>
      <c r="F25" s="45" t="str">
        <f t="shared" ref="F25:F48" si="1">""""&amp;C25&amp;"""" &amp; " : " &amp;D25&amp;","</f>
        <v>"total_actions" : 529,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19_185_IST_RED_E2025</v>
      </c>
      <c r="F52" s="45" t="str">
        <f>""""&amp;B52&amp;"""" &amp; " : " &amp;C52</f>
        <v>"result" : 19_185_IST_RED_E2025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E185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SERTAC DIOSTEL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AHMET YILDIZ</v>
      </c>
      <c r="R8" s="206"/>
      <c r="S8" s="206"/>
      <c r="T8" s="206"/>
      <c r="U8" s="206"/>
      <c r="V8" s="206" t="str">
        <f>IF('SCOUT &amp; LOGISTICS'!D10="","",'SCOUT &amp; LOGISTICS'!D10)</f>
        <v>KEREM SIRMAGIL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529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3.780718336483932E-3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3.3780718336483933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0657EF-7A96-44F9-8E7D-D6EA0CAC2B9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2026-01-02T21:45:53Z</cp:lastPrinted>
  <dcterms:created xsi:type="dcterms:W3CDTF">2023-09-19T19:50:35Z</dcterms:created>
  <dcterms:modified xsi:type="dcterms:W3CDTF">2026-01-02T21:46:07Z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