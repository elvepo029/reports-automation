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20" documentId="8_{A5F2DCB8-3EA7-48BB-AB1D-EA94BE654473}" xr6:coauthVersionLast="47" xr6:coauthVersionMax="47" xr10:uidLastSave="{6604ECEE-69E5-4EB1-BB76-E144F13853E7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4" i="2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<sst xmlns="http://schemas.openxmlformats.org/spreadsheetml/2006/main" count="3321" uniqueCount="828">
  <si>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</si>
  <si>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</si>
  <si>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</si>
  <si>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</si>
  <si>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</si>
  <si>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</si>
  <si>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</si>
  <si>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</si>
  <si>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</si>
  <si>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</si>
  <si>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</si>
  <si>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</si>
  <si>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</si>
  <si>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</si>
  <si>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</si>
  <si>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</si>
  <si>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</si>
  <si>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</si>
  <si>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</si>
  <si>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</si>
  <si>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</si>
  <si>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</si>
  <si>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</si>
  <si>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</si>
  <si>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</si>
  <si>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</si>
  <si>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</si>
  <si>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</si>
  <si>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</si>
  <si>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</si>
  <si>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</si>
  <si>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</si>
  <si>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</si>
  <si>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</si>
  <si>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</si>
  <si>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</si>
  <si>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</si>
  <si>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</si>
  <si>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</si>
  <si>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</si>
  <si>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</si>
  <si>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</si>
  <si>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</si>
  <si>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</si>
  <si>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</si>
  <si>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</si>
  <si>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</si>
  <si>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</si>
  <si>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</si>
  <si>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</si>
  <si>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</si>
  <si>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</si>
  <si>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</si>
  <si>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</si>
  <si>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</si>
  <si>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</si>
  <si>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</si>
  <si>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</si>
  <si>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</si>
  <si>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</si>
  <si>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</si>
  <si>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</si>
  <si>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</si>
  <si>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</si>
  <si>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</si>
  <si>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</si>
  <si>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</si>
  <si>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</si>
  <si>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</si>
  <si>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</si>
  <si>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</si>
  <si>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</si>
  <si>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</si>
  <si>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</si>
  <si>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</si>
  <si>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</si>
  <si>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</si>
  <si>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</si>
  <si>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</si>
  <si>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</si>
  <si>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</si>
  <si>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</si>
  <si>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</si>
  <si>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</si>
  <si>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</si>
  <si>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</si>
  <si>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</si>
  <si>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</si>
  <si>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</si>
  <si>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</si>
  <si>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</si>
  <si>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</si>
  <si>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</si>
  <si>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</si>
  <si>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</si>
  <si>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</si>
  <si>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</si>
  <si>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</si>
  <si>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</si>
  <si>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</si>
  <si>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</si>
  <si>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</si>
  <si>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</si>
  <si>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</si>
  <si>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</si>
  <si>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</si>
  <si>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</si>
  <si>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</si>
  <si>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</si>
  <si>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</si>
  <si>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</si>
  <si>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</si>
  <si>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</si>
  <si>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</si>
  <si>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</si>
  <si>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</si>
  <si>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</si>
  <si>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</si>
  <si>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</si>
  <si>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</si>
  <si>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</si>
  <si>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</si>
  <si>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</si>
  <si>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</si>
  <si>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</si>
  <si>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</si>
  <si>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</si>
  <si>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</si>
  <si>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</si>
  <si>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</si>
  <si>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</si>
  <si>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</si>
  <si>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</si>
  <si>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</si>
  <si>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</si>
  <si>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</si>
  <si>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</si>
  <si>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</si>
  <si>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</si>
  <si>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</si>
  <si>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</si>
  <si>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</si>
  <si>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</si>
  <si>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</si>
  <si>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</si>
  <si>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</si>
  <si>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</si>
  <si>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</si>
  <si>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</si>
  <si>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</si>
  <si>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</si>
  <si>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</si>
  <si>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</si>
  <si>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</si>
  <si>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</si>
  <si>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</si>
  <si>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</si>
  <si>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</si>
  <si>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</si>
  <si>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</si>
  <si>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</si>
  <si>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</si>
  <si>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</si>
  <si>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</si>
  <si>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</si>
  <si>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</si>
  <si>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</si>
  <si>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</si>
  <si>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</si>
  <si>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</si>
  <si>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</si>
  <si>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</si>
  <si>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</si>
  <si>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</si>
  <si>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</si>
  <si>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</si>
  <si>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</si>
  <si>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</si>
  <si>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</si>
  <si>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</si>
  <si>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</si>
  <si>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</si>
  <si>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</si>
  <si>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</si>
  <si>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</si>
  <si>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</si>
  <si>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</si>
  <si>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</si>
  <si>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</si>
  <si>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</si>
  <si>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</si>
  <si>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</si>
  <si>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</si>
  <si>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</si>
  <si>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</si>
  <si>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</si>
  <si>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</si>
  <si>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</si>
  <si>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</si>
  <si>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</si>
  <si>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</si>
  <si>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</si>
  <si>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</si>
  <si>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</si>
  <si>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</si>
  <si>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</si>
  <si>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</si>
  <si>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</si>
  <si>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</si>
  <si>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</si>
  <si>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</si>
  <si>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</si>
  <si>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</si>
  <si>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</si>
  <si>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</si>
  <si>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</si>
  <si>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</si>
  <si>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</si>
  <si>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</si>
  <si>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</si>
  <si>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</si>
  <si>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</si>
  <si>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</si>
  <si>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</si>
  <si>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</si>
  <si>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</si>
  <si>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</si>
  <si>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</si>
  <si>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</si>
  <si>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</si>
  <si>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</si>
  <si>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</si>
  <si>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</si>
  <si>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</si>
  <si>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</si>
  <si>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</si>
  <si>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</si>
  <si>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</si>
  <si>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</si>
  <si>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</si>
  <si>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</si>
  <si>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</si>
  <si>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</si>
  <si>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</si>
  <si>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</si>
  <si>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</si>
  <si>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</si>
  <si>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</si>
  <si>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</si>
  <si>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</si>
  <si>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</si>
  <si>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</si>
  <si>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</si>
  <si>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</si>
  <si>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</si>
  <si>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</si>
  <si>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</si>
  <si>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</si>
  <si>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</si>
  <si>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</si>
  <si>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</si>
  <si>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</si>
  <si>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</si>
  <si>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</si>
  <si>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</si>
  <si>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</si>
  <si>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</si>
  <si>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</si>
  <si>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</si>
  <si>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</si>
  <si>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</si>
  <si>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</si>
  <si>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</si>
  <si>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</si>
  <si>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</si>
  <si>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</si>
  <si>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</si>
  <si>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</si>
  <si>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</si>
  <si>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</si>
  <si>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</si>
  <si>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</si>
  <si>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</si>
  <si>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</si>
  <si>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</si>
  <si>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</si>
  <si>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</si>
  <si>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</si>
  <si>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</si>
  <si>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</si>
  <si>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</si>
  <si>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</si>
  <si>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</si>
  <si>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</si>
  <si>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</si>
  <si>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</si>
  <si>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</si>
  <si>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</si>
  <si>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</si>
  <si>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</si>
  <si>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</si>
  <si>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</si>
  <si>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</si>
  <si>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</si>
  <si>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</si>
  <si>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</si>
  <si>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</si>
  <si>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</si>
  <si>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</si>
  <si>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</si>
  <si>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</si>
  <si>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</si>
  <si>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</si>
  <si>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</si>
  <si>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</si>
  <si>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</si>
  <si>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</si>
  <si>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</si>
  <si>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</si>
  <si>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</si>
  <si>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</si>
  <si>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</si>
  <si>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</si>
  <si>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</si>
  <si>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</si>
  <si>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</si>
  <si>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</si>
  <si>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</si>
  <si>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</si>
  <si>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</si>
  <si>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</si>
  <si>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</si>
  <si>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</si>
  <si>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</si>
  <si>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</si>
  <si>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</si>
  <si>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</si>
  <si>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</si>
  <si>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</si>
  <si>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</si>
  <si>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</si>
  <si>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</si>
  <si>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</si>
  <si>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</si>
  <si>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</si>
  <si>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</si>
  <si>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</si>
  <si>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</si>
  <si>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</si>
  <si>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</si>
  <si>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</si>
  <si>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</si>
  <si>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</si>
  <si>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</si>
  <si>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</si>
  <si>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</si>
  <si>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</si>
  <si>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</si>
  <si>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</si>
  <si>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</si>
  <si>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</si>
  <si>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</si>
  <si>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</si>
  <si>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</si>
  <si>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</si>
  <si>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</si>
  <si>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</si>
  <si>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</si>
  <si>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</si>
  <si>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</si>
  <si>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</si>
  <si>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</si>
  <si>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</si>
  <si>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</si>
  <si>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</si>
  <si>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</si>
  <si>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</si>
  <si>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</si>
  <si>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</si>
  <si>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</si>
  <si>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</si>
  <si>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</si>
  <si>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</si>
  <si>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</si>
  <si>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</si>
  <si>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</si>
  <si>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</si>
  <si>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</si>
  <si>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</si>
  <si>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</si>
  <si>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</si>
  <si>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</si>
  <si>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</si>
  <si>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</si>
  <si>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</si>
  <si>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</si>
  <si>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</si>
  <si>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</si>
  <si>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</si>
  <si>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</si>
  <si>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</si>
  <si>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</si>
  <si>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</si>
  <si>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</si>
  <si>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</si>
  <si>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</si>
  <si>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</si>
  <si>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</si>
  <si>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</si>
  <si>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</si>
  <si>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</si>
  <si>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</si>
  <si>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</si>
  <si>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</si>
  <si>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</si>
  <si>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</si>
  <si>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</si>
  <si>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</si>
  <si>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</si>
  <si>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</si>
  <si>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</si>
  <si>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</si>
  <si>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</si>
  <si>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</si>
  <si>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</si>
  <si>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</si>
  <si>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</si>
  <si>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</si>
  <si>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</si>
  <si>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</si>
  <si>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</si>
  <si>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</si>
  <si>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</si>
  <si>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</si>
  <si>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</si>
  <si>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</si>
  <si>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</si>
  <si>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</si>
  <si>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</si>
  <si>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</si>
  <si>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</si>
  <si>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</si>
  <si>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</si>
  <si>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</si>
  <si>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</si>
  <si>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</si>
  <si>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</si>
  <si>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</si>
  <si>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</si>
  <si>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</si>
  <si>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</si>
  <si>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</si>
  <si>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</si>
  <si>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</si>
  <si>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</si>
  <si>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</si>
  <si>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</si>
  <si>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</si>
  <si>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</si>
  <si>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</si>
  <si>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</si>
  <si>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</si>
  <si>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</si>
  <si>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</si>
  <si>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</si>
  <si>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</si>
  <si>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</si>
  <si>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</si>
  <si>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</si>
  <si>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</si>
  <si>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</si>
  <si>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</si>
  <si>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</si>
  <si>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</si>
  <si>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</si>
  <si>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</si>
  <si>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</si>
  <si>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</si>
  <si>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</si>
  <si>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</si>
  <si>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</si>
  <si>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</si>
  <si>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</si>
  <si>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</si>
  <si>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</si>
  <si>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</si>
  <si>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</si>
  <si>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</si>
  <si>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</si>
  <si>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</si>
  <si>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</si>
  <si>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</si>
  <si>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</si>
  <si>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</si>
  <si>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</si>
  <si>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</si>
  <si>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</si>
  <si>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</si>
  <si>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</si>
  <si>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</si>
  <si>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</si>
  <si>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</si>
  <si>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</si>
  <si>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</si>
  <si>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</si>
  <si>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</si>
  <si>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</si>
  <si>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</si>
  <si>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</si>
  <si>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</si>
  <si>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</si>
  <si>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</si>
  <si>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</si>
  <si>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</si>
  <si>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</si>
  <si>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</si>
  <si>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</si>
  <si>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</si>
  <si>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</si>
  <si>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</si>
  <si>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</si>
  <si>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</si>
  <si>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</si>
  <si>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</si>
  <si>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</si>
  <si>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</si>
  <si>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</si>
  <si>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</si>
  <si>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</si>
  <si>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</si>
  <si>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</si>
  <si>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</si>
  <si>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</si>
  <si>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</si>
  <si>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</si>
  <si>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</si>
  <si>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</si>
  <si>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</si>
  <si>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</si>
  <si>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</si>
  <si>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</si>
  <si>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</si>
  <si>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</si>
  <si>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</si>
  <si>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</si>
  <si>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</si>
  <si>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</si>
  <si>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</si>
  <si>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</si>
  <si>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</si>
  <si>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</si>
  <si>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</si>
  <si>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</si>
  <si>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</si>
  <si>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</si>
  <si>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</si>
  <si>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</si>
  <si>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</si>
  <si>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</si>
  <si>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</si>
  <si>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</si>
  <si>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</si>
  <si>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</si>
  <si>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</si>
  <si>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</si>
  <si>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</si>
  <si>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</si>
  <si>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</si>
  <si>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</si>
  <si>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</si>
  <si>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</si>
  <si>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</si>
  <si>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</si>
  <si>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</si>
  <si>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</si>
  <si>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</si>
  <si>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</si>
  <si>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</si>
  <si>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</si>
  <si>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</si>
  <si>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</si>
  <si>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</si>
  <si>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</si>
  <si>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</si>
  <si>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</si>
  <si>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</si>
  <si>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</si>
  <si>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</si>
  <si>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</si>
  <si>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</si>
  <si>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</si>
  <si>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</si>
  <si>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</si>
  <si>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</si>
  <si>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</si>
  <si>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</si>
  <si>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</si>
  <si>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</si>
  <si>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</si>
  <si>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</si>
  <si>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</si>
  <si>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</si>
  <si>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</si>
  <si>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</si>
  <si>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</si>
  <si>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</si>
  <si>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</si>
  <si>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</si>
  <si>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</si>
  <si>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</si>
  <si>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</si>
  <si>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</si>
  <si>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</si>
  <si>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</si>
  <si>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</si>
  <si>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</si>
  <si>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</si>
  <si>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</si>
  <si>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</si>
  <si>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</si>
  <si>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</si>
  <si>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</si>
  <si>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</si>
  <si>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</si>
  <si>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</si>
  <si>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</si>
  <si>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</si>
  <si>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</si>
  <si>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</si>
  <si>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</si>
  <si>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</si>
  <si>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</si>
  <si>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</si>
  <si>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</si>
  <si>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</si>
  <si>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</si>
  <si>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</si>
  <si>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</si>
  <si>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</si>
  <si>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</si>
  <si>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</si>
  <si>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</si>
  <si>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</si>
  <si>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</si>
  <si>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</si>
  <si>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</si>
  <si>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</si>
  <si>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</si>
  <si>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</si>
  <si>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</si>
  <si>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</si>
  <si>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</si>
  <si>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</si>
  <si>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</si>
  <si>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</si>
  <si>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</si>
  <si>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</si>
  <si>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</si>
  <si>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</si>
  <si>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</si>
  <si>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</si>
  <si>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</si>
  <si>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</si>
  <si>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</si>
  <si>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</si>
  <si>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</si>
  <si>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</si>
  <si>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</si>
  <si>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</si>
  <si>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</si>
  <si>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</si>
  <si>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</si>
  <si>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</si>
  <si>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</si>
  <si>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</si>
  <si>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</si>
  <si>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</si>
  <si>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</si>
  <si>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</si>
  <si>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</si>
  <si>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</si>
  <si>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</si>
  <si>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</si>
  <si>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</si>
  <si>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</si>
  <si>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</si>
  <si>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</si>
  <si>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</si>
  <si>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</si>
  <si>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</si>
  <si>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</si>
  <si>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</si>
  <si>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</si>
  <si>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</si>
  <si>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</si>
  <si>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</si>
  <si>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</si>
  <si>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</si>
  <si>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</si>
  <si>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</si>
  <si>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</si>
  <si>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</si>
  <si>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</si>
  <si>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</si>
  <si>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</si>
  <si>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</si>
  <si>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</si>
  <si>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</si>
  <si>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</si>
  <si>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</si>
  <si>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</si>
  <si>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</si>
  <si>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</si>
  <si>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</si>
  <si>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</si>
  <si>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</si>
  <si>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</si>
  <si>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</si>
  <si>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</si>
  <si>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</si>
  <si>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</si>
  <si>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</si>
  <si>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</si>
  <si>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</si>
  <si>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</si>
  <si>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</si>
  <si>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</si>
  <si>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</si>
  <si>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</si>
  <si>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</si>
  <si>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</si>
  <si>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</si>
  <si>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</si>
  <si>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</si>
  <si>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</si>
  <si>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</si>
  <si>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</si>
  <si>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</si>
  <si>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</si>
  <si>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</si>
  <si>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</si>
  <si>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</si>
  <si>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</si>
  <si>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</si>
  <si>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</si>
  <si>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</si>
  <si>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</si>
  <si>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</si>
  <si>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</si>
  <si>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</si>
  <si>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</si>
  <si>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</si>
  <si>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</si>
  <si>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</si>
  <si>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</si>
  <si>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</si>
  <si>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</si>
  <si>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</si>
  <si>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</si>
  <si>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</si>
  <si>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</si>
  <si>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</si>
  <si>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</si>
  <si>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</si>
  <si>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</si>
  <si>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</si>
  <si>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</si>
  <si>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</si>
  <si>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</si>
  <si>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</si>
  <si>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</si>
  <si>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</si>
  <si>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</si>
  <si>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</si>
  <si>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</si>
  <si>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</si>
  <si>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</si>
  <si>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</si>
  <si>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</si>
  <si>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</si>
  <si>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</si>
  <si>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</si>
  <si>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</si>
  <si>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</si>
  <si>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</si>
  <si>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</si>
  <si>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</si>
  <si>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</si>
  <si>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</si>
  <si>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</si>
  <si>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</si>
  <si>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</si>
  <si>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</si>
  <si>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</si>
  <si>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</si>
  <si>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</si>
  <si>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</si>
  <si>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</si>
  <si>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</si>
  <si>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</si>
  <si>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</si>
  <si>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</si>
  <si>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</si>
  <si>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</si>
  <si>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</si>
  <si>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</si>
  <si>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</si>
  <si>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</si>
  <si>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</si>
  <si>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</si>
  <si>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</si>
  <si>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</si>
  <si>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</si>
  <si>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</si>
  <si>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</si>
  <si>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</si>
  <si>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</si>
  <si>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</si>
  <si>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</si>
  <si>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</si>
  <si>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</si>
  <si>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</si>
  <si>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</si>
  <si>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</si>
  <si>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</si>
  <si>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C:\Users\nerea.fraile\EUROLEAGUE\EB STATS - Documents\General\SEASON 2025-26\Reports\Eurocup\PDF</t>
  </si>
  <si>
    <t>C:\Users\nerea.fraile\EUROLEAGUE\EB STATS - Documents\General\SEASON 2025-26\Reports\Eurocup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</si>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</sst>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C1" sqref="C1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>
        <v>20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20_185_LOC_VIS_U2025</v>
      </c>
      <c r="G1" s="5"/>
      <c r="H1" s="5"/>
      <c r="I1" s="5"/>
      <c r="J1" s="8" t="s">
        <v>707</v>
      </c>
      <c r="K1" s="121" t="s">
        <v>826</v>
      </c>
      <c r="L1" s="121"/>
      <c r="M1" s="122" t="s">
        <v>239</v>
      </c>
      <c r="N1" s="121" t="s">
        <v>825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U2025</v>
      </c>
      <c r="C2" s="123">
        <v>185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56" t="s">
        <v>827</v>
      </c>
      <c r="C3" s="157"/>
      <c r="D3" s="39"/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3" t="s">
        <v>86</v>
      </c>
      <c r="C4" s="164"/>
      <c r="D4" s="160" t="str">
        <f>IF(ISERROR(VLOOKUP(H4,Teams!$B$2:$C$44,2,FALSE)),"Local Team",VLOOKUP(H4,Teams!$B$2:$C$44,2,FALSE))</f>
        <v>Local Team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LOC</v>
      </c>
      <c r="I4" s="5"/>
      <c r="J4" s="119" t="s">
        <v>714</v>
      </c>
      <c r="K4" s="54" t="s">
        <v>742</v>
      </c>
      <c r="L4" s="5"/>
      <c r="M4" s="167"/>
      <c r="N4" s="168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65" t="s">
        <v>87</v>
      </c>
      <c r="C5" s="166"/>
      <c r="D5" s="173" t="str">
        <f>IF(ISERROR(VLOOKUP(H5,Teams!$B$2:$C$44,2,FALSE)),"Visitor Team",VLOOKUP(H5,Teams!$B$2:$C$44,2,FALSE))</f>
        <v>Visitor Team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VIS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3" t="s">
        <v>95</v>
      </c>
      <c r="C6" s="164"/>
      <c r="D6" s="178"/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87" t="s">
        <v>96</v>
      </c>
      <c r="C7" s="188"/>
      <c r="D7" s="178"/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65" t="s">
        <v>97</v>
      </c>
      <c r="C8" s="189"/>
      <c r="D8" s="181"/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3" t="s">
        <v>98</v>
      </c>
      <c r="C9" s="190"/>
      <c r="D9" s="178"/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65" t="s">
        <v>99</v>
      </c>
      <c r="C10" s="189"/>
      <c r="D10" s="181"/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76" t="s">
        <v>108</v>
      </c>
      <c r="C11" s="177"/>
      <c r="D11" s="191"/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/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76" t="s">
        <v>162</v>
      </c>
      <c r="C14" s="177"/>
      <c r="D14" s="184"/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REPORT_U2025185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"U2025185"</v>
      </c>
      <c r="F3" s="45" t="str">
        <f t="shared" ref="F3:F16" si="0">""""&amp;B3&amp;"""" &amp; " : " &amp;C3&amp;","</f>
        <v>"name" : "U2025185",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"U185"</v>
      </c>
      <c r="F4" s="45" t="str">
        <f t="shared" si="0"/>
        <v>"cod" : "U185",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185</v>
      </c>
      <c r="F6" s="45" t="str">
        <f t="shared" si="0"/>
        <v>"number" : 185,</v>
      </c>
    </row>
    <row r="7" spans="2:6" x14ac:dyDescent="0.2">
      <c r="B7" s="43" t="s">
        <v>116</v>
      </c>
      <c r="C7" s="43" t="str">
        <f>""""&amp;TEXT('SCOUT &amp; LOGISTICS'!B3,"dd/mm/aaaa")&amp;""""</f>
        <v>"Date"</v>
      </c>
      <c r="F7" s="45" t="str">
        <f t="shared" si="0"/>
        <v>"date" : "Date",</v>
      </c>
    </row>
    <row r="8" spans="2:6" x14ac:dyDescent="0.2">
      <c r="B8" s="43" t="s">
        <v>125</v>
      </c>
      <c r="C8" s="43" t="str">
        <f>""""&amp;'SCOUT &amp; LOGISTICS'!D4 &amp;""""</f>
        <v>"Local Team"</v>
      </c>
      <c r="F8" s="45" t="str">
        <f t="shared" si="0"/>
        <v>"home_team" : "Local Team",</v>
      </c>
    </row>
    <row r="9" spans="2:6" x14ac:dyDescent="0.2">
      <c r="B9" s="43" t="s">
        <v>126</v>
      </c>
      <c r="C9" s="43" t="str">
        <f>""""&amp;'SCOUT &amp; LOGISTICS'!D5&amp;""""</f>
        <v>"Visitor Team"</v>
      </c>
      <c r="F9" s="45" t="str">
        <f t="shared" si="0"/>
        <v>"away_team" : "Visitor Team",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""</v>
      </c>
      <c r="F10" s="45" t="str">
        <f t="shared" si="0"/>
        <v>"Data_entry" : "",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""</v>
      </c>
      <c r="F11" s="45" t="str">
        <f t="shared" si="0"/>
        <v>"Caller_1" : "",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""</v>
      </c>
      <c r="F12" s="45" t="str">
        <f t="shared" si="0"/>
        <v>"Caller_2" : "",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""</v>
      </c>
      <c r="F13" s="45" t="str">
        <f t="shared" si="0"/>
        <v>"Timerkeeper" : "",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""</v>
      </c>
      <c r="F14" s="45" t="str">
        <f t="shared" si="0"/>
        <v>"Shotclock" : "",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""</v>
      </c>
      <c r="F16" s="45" t="str">
        <f t="shared" si="0"/>
        <v>"Live_Game_Manager" : "",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""</v>
      </c>
      <c r="F22" s="45" t="str">
        <f>""""&amp;C22&amp;"""" &amp; " : " &amp;D22</f>
        <v>"rescouted" : ""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""</v>
      </c>
      <c r="F51" s="45" t="str">
        <f>""""&amp;B51&amp;"""" &amp; " : " &amp;C51&amp;","</f>
        <v>"comments" : "",</v>
      </c>
    </row>
    <row r="52" spans="2:6" x14ac:dyDescent="0.2">
      <c r="B52" s="43" t="s">
        <v>153</v>
      </c>
      <c r="C52" s="43" t="str">
        <f>TEXT('SCOUT &amp; LOGISTICS'!F1,"0,0")</f>
        <v>20_185_LOC_VIS_U2025</v>
      </c>
      <c r="F52" s="45" t="str">
        <f>""""&amp;B52&amp;"""" &amp; " : " &amp;C52</f>
        <v>"result" : 20_185_LOC_VIS_U2025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4">
      <c r="A3" s="48"/>
      <c r="B3" s="208" t="str">
        <f>"GAME: "&amp; LEFT('SCOUT &amp; LOGISTICS'!B2,1) &amp; TEXT('SCOUT &amp; LOGISTICS'!C2,"000") &amp; " " &amp; IF(LEFT('SCOUT &amp; LOGISTICS'!B2,1)="U","(EUROCUP)","(EUROLEAGUE)")</f>
        <v>GAME: U185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4">
      <c r="A4" s="48"/>
      <c r="B4" s="194" t="str">
        <f>"DATE: " &amp; TEXT('SCOUT &amp; LOGISTICS'!B3,"dd/mm")</f>
        <v>DATE: Date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4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4">
      <c r="A6" s="48"/>
      <c r="B6" s="212" t="str">
        <f>PROPER('SCOUT &amp; LOGISTICS'!D4)</f>
        <v>Local Team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Visitor Team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4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4">
      <c r="A8" s="48"/>
      <c r="B8" s="206" t="str">
        <f>IF('SCOUT &amp; LOGISTICS'!D6="","",'SCOUT &amp; LOGISTICS'!D6)</f>
        <v/>
      </c>
      <c r="C8" s="206"/>
      <c r="D8" s="206"/>
      <c r="E8" s="206"/>
      <c r="F8" s="206"/>
      <c r="G8" s="206" t="str">
        <f>IF('SCOUT &amp; LOGISTICS'!D7="","",'SCOUT &amp; LOGISTICS'!D7)</f>
        <v/>
      </c>
      <c r="H8" s="206"/>
      <c r="I8" s="206"/>
      <c r="J8" s="206"/>
      <c r="K8" s="206"/>
      <c r="L8" s="206" t="str">
        <f>IF('SCOUT &amp; LOGISTICS'!D8="","",'SCOUT &amp; LOGISTICS'!D8)</f>
        <v/>
      </c>
      <c r="M8" s="206"/>
      <c r="N8" s="206"/>
      <c r="O8" s="206"/>
      <c r="P8" s="206"/>
      <c r="Q8" s="206" t="str">
        <f>IF('SCOUT &amp; LOGISTICS'!D9="","",'SCOUT &amp; LOGISTICS'!D9)</f>
        <v/>
      </c>
      <c r="R8" s="206"/>
      <c r="S8" s="206"/>
      <c r="T8" s="206"/>
      <c r="U8" s="206"/>
      <c r="V8" s="206" t="str">
        <f>IF('SCOUT &amp; LOGISTICS'!D10="","",'SCOUT &amp; LOGISTICS'!D10)</f>
        <v/>
      </c>
      <c r="W8" s="206"/>
      <c r="X8" s="206"/>
      <c r="Y8" s="206"/>
      <c r="Z8" s="206"/>
      <c r="AA8" s="206" t="str">
        <f>IF('SCOUT &amp; LOGISTICS'!D11="","",'SCOUT &amp; LOGISTICS'!D11)</f>
        <v/>
      </c>
      <c r="AB8" s="206"/>
      <c r="AC8" s="206"/>
      <c r="AD8" s="206"/>
      <c r="AE8" s="206"/>
      <c r="AF8" s="48"/>
    </row>
    <row r="9" spans="1:33" ht="17.25" thickBot="1" x14ac:dyDescent="0.4">
      <c r="A9" s="48"/>
      <c r="B9" s="200" t="str">
        <f>IF(OR('SCOUT &amp; LOGISTICS'!D14="",'SCOUT &amp; LOGISTICS'!D14=0),"",'SCOUT &amp; LOGISTICS'!B14 &amp; ": " &amp; 'SCOUT &amp; LOGISTICS'!D14) &amp; "     "</f>
        <v xml:space="preserve">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7.25" thickBot="1" x14ac:dyDescent="0.4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4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7" t="str">
        <f>IF('SCOUT &amp; LOGISTICS'!I12="","",'SCOUT &amp; LOGISTICS'!I12)</f>
        <v/>
      </c>
      <c r="C13" s="207"/>
      <c r="D13" s="207"/>
      <c r="E13" s="207"/>
      <c r="F13" s="207"/>
      <c r="G13" s="207"/>
      <c r="H13" s="207" t="str">
        <f>IF('SCOUT &amp; LOGISTICS'!J12="","",'SCOUT &amp; LOGISTICS'!J12)</f>
        <v/>
      </c>
      <c r="I13" s="207"/>
      <c r="J13" s="207"/>
      <c r="K13" s="207"/>
      <c r="L13" s="207"/>
      <c r="M13" s="207"/>
      <c r="N13" s="207" t="str">
        <f>IF('SCOUT &amp; LOGISTICS'!K12="","",'SCOUT &amp; LOGISTICS'!K12)</f>
        <v/>
      </c>
      <c r="O13" s="207"/>
      <c r="P13" s="207"/>
      <c r="Q13" s="207"/>
      <c r="R13" s="207"/>
      <c r="S13" s="207"/>
      <c r="T13" s="207" t="str">
        <f>IF('SCOUT &amp; LOGISTICS'!L12="","",'SCOUT &amp; LOGISTICS'!L12)</f>
        <v/>
      </c>
      <c r="U13" s="207"/>
      <c r="V13" s="207"/>
      <c r="W13" s="207"/>
      <c r="X13" s="207"/>
      <c r="Y13" s="207"/>
      <c r="Z13" s="207" t="str">
        <f>IF('SCOUT &amp; LOGISTICS'!M12="","",'SCOUT &amp; LOGISTICS'!M12)</f>
        <v/>
      </c>
      <c r="AA13" s="207"/>
      <c r="AB13" s="207"/>
      <c r="AC13" s="207"/>
      <c r="AD13" s="207"/>
      <c r="AE13" s="207"/>
      <c r="AF13" s="48"/>
    </row>
    <row r="14" spans="1:33" s="48" customFormat="1" ht="17.25" thickBot="1" x14ac:dyDescent="0.4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4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4">
        <f>'SCOUT &amp; LOGISTICS'!D3</f>
        <v>0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0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 t="str">
        <f>IF(OR(B17="",B17=0),"",L17/B17)</f>
        <v/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7.25" thickBot="1" x14ac:dyDescent="0.4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7.25" thickBot="1" x14ac:dyDescent="0.4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7">
        <f>'SCOUT &amp; LOGISTICS'!Y17</f>
        <v>0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7.25" thickBot="1" x14ac:dyDescent="0.4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4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4">
      <c r="A32" s="48"/>
      <c r="B32" s="195" t="str">
        <f>IF('SCOUT &amp; LOGISTICS'!M4="","",'SCOUT &amp; LOGISTICS'!M4)</f>
        <v/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4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4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196">
        <f>'SCOUT &amp; LOGISTICS'!M7</f>
        <v>0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6924842-96C6-4054-8D21-5D311F8ED09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2026-02-11T20:55:11Z</cp:lastPrinted>
  <dcterms:created xsi:type="dcterms:W3CDTF">2023-09-19T19:50:35Z</dcterms:created>
  <dcterms:modified xsi:type="dcterms:W3CDTF">2026-03-11T21:59:52Z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