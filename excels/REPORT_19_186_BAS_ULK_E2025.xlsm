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7" documentId="8_{F1D6F6C2-29A4-4EA6-83AE-7C78B135E998}" xr6:coauthVersionLast="47" xr6:coauthVersionMax="47" xr10:uidLastSave="{3A47B115-C06E-4EC4-A9FD-649E903A857C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<sst xmlns="http://schemas.openxmlformats.org/spreadsheetml/2006/main" count="3245" uniqueCount="759">
  <si>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</si>
  <si>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</si>
  <si>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</si>
  <si>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</si>
  <si>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</si>
  <si>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</si>
  <si>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</si>
  <si>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</si>
  <si>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</si>
  <si>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</si>
  <si>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</si>
  <si>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</si>
  <si>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</si>
  <si>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</si>
  <si>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</si>
  <si>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</si>
  <si>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</si>
  <si>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</si>
  <si>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</si>
  <si>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</si>
  <si>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</si>
  <si>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</si>
  <si>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</si>
  <si>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</si>
  <si>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</si>
  <si>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</si>
  <si>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</si>
  <si>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</si>
  <si>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</si>
  <si>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</si>
  <si>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</si>
  <si>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</si>
  <si>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</si>
  <si>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</si>
  <si>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</si>
  <si>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</si>
  <si>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</si>
  <si>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</si>
  <si>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</si>
  <si>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</si>
  <si>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</si>
  <si>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</si>
  <si>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</si>
  <si>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</si>
  <si>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</si>
  <si>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</si>
  <si>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</si>
  <si>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</si>
  <si>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</si>
  <si>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</si>
  <si>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</si>
  <si>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</si>
  <si>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</si>
  <si>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</si>
  <si>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</si>
  <si>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</si>
  <si>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</si>
  <si>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</si>
  <si>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</si>
  <si>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</si>
  <si>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</si>
  <si>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</si>
  <si>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</si>
  <si>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</si>
  <si>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</si>
  <si>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</si>
  <si>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</si>
  <si>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</si>
  <si>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</si>
  <si>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</si>
  <si>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</si>
  <si>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</si>
  <si>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</si>
  <si>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</si>
  <si>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</si>
  <si>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</si>
  <si>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</si>
  <si>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</si>
  <si>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</si>
  <si>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</si>
  <si>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</si>
  <si>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</si>
  <si>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</si>
  <si>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</si>
  <si>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</si>
  <si>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</si>
  <si>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</si>
  <si>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</si>
  <si>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</si>
  <si>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</si>
  <si>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</si>
  <si>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</si>
  <si>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</si>
  <si>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</si>
  <si>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</si>
  <si>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</si>
  <si>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</si>
  <si>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</si>
  <si>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</si>
  <si>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</si>
  <si>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</si>
  <si>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</si>
  <si>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</si>
  <si>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</si>
  <si>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</si>
  <si>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</si>
  <si>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</si>
  <si>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</si>
  <si>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</si>
  <si>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</si>
  <si>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</si>
  <si>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</si>
  <si>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</si>
  <si>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</si>
  <si>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</si>
  <si>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</si>
  <si>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</si>
  <si>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</si>
  <si>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</si>
  <si>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</si>
  <si>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</si>
  <si>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</si>
  <si>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</si>
  <si>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</si>
  <si>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</si>
  <si>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</si>
  <si>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</si>
  <si>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</si>
  <si>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</si>
  <si>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</si>
  <si>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</si>
  <si>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</si>
  <si>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</si>
  <si>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</si>
  <si>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</si>
  <si>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</si>
  <si>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</si>
  <si>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</si>
  <si>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</si>
  <si>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</si>
  <si>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</si>
  <si>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</si>
  <si>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</si>
  <si>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</si>
  <si>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</si>
  <si>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</si>
  <si>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</si>
  <si>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</si>
  <si>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</si>
  <si>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</si>
  <si>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</si>
  <si>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</si>
  <si>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</si>
  <si>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</si>
  <si>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</si>
  <si>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</si>
  <si>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</si>
  <si>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</si>
  <si>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</si>
  <si>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</si>
  <si>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</si>
  <si>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</si>
  <si>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</si>
  <si>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</si>
  <si>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</si>
  <si>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</si>
  <si>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</si>
  <si>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</si>
  <si>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</si>
  <si>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</si>
  <si>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</si>
  <si>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</si>
  <si>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</si>
  <si>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</si>
  <si>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</si>
  <si>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</si>
  <si>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</si>
  <si>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</si>
  <si>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</si>
  <si>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</si>
  <si>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</si>
  <si>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</si>
  <si>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</si>
  <si>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</si>
  <si>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</si>
  <si>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</si>
  <si>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</si>
  <si>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</si>
  <si>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</si>
  <si>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</si>
  <si>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</si>
  <si>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</si>
  <si>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</si>
  <si>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</si>
  <si>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</si>
  <si>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</si>
  <si>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</si>
  <si>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</si>
  <si>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</si>
  <si>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</si>
  <si>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</si>
  <si>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</si>
  <si>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</si>
  <si>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</si>
  <si>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</si>
  <si>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</si>
  <si>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</si>
  <si>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</si>
  <si>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</si>
  <si>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</si>
  <si>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</si>
  <si>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</si>
  <si>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</si>
  <si>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</si>
  <si>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</si>
  <si>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</si>
  <si>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</si>
  <si>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</si>
  <si>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</si>
  <si>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</si>
  <si>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</si>
  <si>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</si>
  <si>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</si>
  <si>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</si>
  <si>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</si>
  <si>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</si>
  <si>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</si>
  <si>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</si>
  <si>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</si>
  <si>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</si>
  <si>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</si>
  <si>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</si>
  <si>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</si>
  <si>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</si>
  <si>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</si>
  <si>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</si>
  <si>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</si>
  <si>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</si>
  <si>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</si>
  <si>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</si>
  <si>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</si>
  <si>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</si>
  <si>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</si>
  <si>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</si>
  <si>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</si>
  <si>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</si>
  <si>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</si>
  <si>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</si>
  <si>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</si>
  <si>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</si>
  <si>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</si>
  <si>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</si>
  <si>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</si>
  <si>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</si>
  <si>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</si>
  <si>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</si>
  <si>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</si>
  <si>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</si>
  <si>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</si>
  <si>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</si>
  <si>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</si>
  <si>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</si>
  <si>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</si>
  <si>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</si>
  <si>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</si>
  <si>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</si>
  <si>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</si>
  <si>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</si>
  <si>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</si>
  <si>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</si>
  <si>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</si>
  <si>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</si>
  <si>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</si>
  <si>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</si>
  <si>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</si>
  <si>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</si>
  <si>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</si>
  <si>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</si>
  <si>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</si>
  <si>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</si>
  <si>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</si>
  <si>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</si>
  <si>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</si>
  <si>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</si>
  <si>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</si>
  <si>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</si>
  <si>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</si>
  <si>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</si>
  <si>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</si>
  <si>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</si>
  <si>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</si>
  <si>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</si>
  <si>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</si>
  <si>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</si>
  <si>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</si>
  <si>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</si>
  <si>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</si>
  <si>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</si>
  <si>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</si>
  <si>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</si>
  <si>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</si>
  <si>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</si>
  <si>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</si>
  <si>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</si>
  <si>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</si>
  <si>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</si>
  <si>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</si>
  <si>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</si>
  <si>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</si>
  <si>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</si>
  <si>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</si>
  <si>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</si>
  <si>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</si>
  <si>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</si>
  <si>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</si>
  <si>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</si>
  <si>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</si>
  <si>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</si>
  <si>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</si>
  <si>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</si>
  <si>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</si>
  <si>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</si>
  <si>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</si>
  <si>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</si>
  <si>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</si>
  <si>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</si>
  <si>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</si>
  <si>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</si>
  <si>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</si>
  <si>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</si>
  <si>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</si>
  <si>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</si>
  <si>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</si>
  <si>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</si>
  <si>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</si>
  <si>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</si>
  <si>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</si>
  <si>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</si>
  <si>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</si>
  <si>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</si>
  <si>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</si>
  <si>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</si>
  <si>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</si>
  <si>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</si>
  <si>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</si>
  <si>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</si>
  <si>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</si>
  <si>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</si>
  <si>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</si>
  <si>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</si>
  <si>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</si>
  <si>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</si>
  <si>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</si>
  <si>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</si>
  <si>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</si>
  <si>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</si>
  <si>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</si>
  <si>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</si>
  <si>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</si>
  <si>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</si>
  <si>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</si>
  <si>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</si>
  <si>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</si>
  <si>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</si>
  <si>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</si>
  <si>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</si>
  <si>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</si>
  <si>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</si>
  <si>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</si>
  <si>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</si>
  <si>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</si>
  <si>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</si>
  <si>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</si>
  <si>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</si>
  <si>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</si>
  <si>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</si>
  <si>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</si>
  <si>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</si>
  <si>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</si>
  <si>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</si>
  <si>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</si>
  <si>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</si>
  <si>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</si>
  <si>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</si>
  <si>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</si>
  <si>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</si>
  <si>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</si>
  <si>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</si>
  <si>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</si>
  <si>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</si>
  <si>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</si>
  <si>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</si>
  <si>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</si>
  <si>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</si>
  <si>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</si>
  <si>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</si>
  <si>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</si>
  <si>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</si>
  <si>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</si>
  <si>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</si>
  <si>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</si>
  <si>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</si>
  <si>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</si>
  <si>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</si>
  <si>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</si>
  <si>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</si>
  <si>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</si>
  <si>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</si>
  <si>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</si>
  <si>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</si>
  <si>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</si>
  <si>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</si>
  <si>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</si>
  <si>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</si>
  <si>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</si>
  <si>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</si>
  <si>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</si>
  <si>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</si>
  <si>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</si>
  <si>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</si>
  <si>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</si>
  <si>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</si>
  <si>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</si>
  <si>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</si>
  <si>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</si>
  <si>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</si>
  <si>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</si>
  <si>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</si>
  <si>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</si>
  <si>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</si>
  <si>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</si>
  <si>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</si>
  <si>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</si>
  <si>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</si>
  <si>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</si>
  <si>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</si>
  <si>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</si>
  <si>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</si>
  <si>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</si>
  <si>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</si>
  <si>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</si>
  <si>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</si>
  <si>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</si>
  <si>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</si>
  <si>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</si>
  <si>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</si>
  <si>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</si>
  <si>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</si>
  <si>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</si>
  <si>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</si>
  <si>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</si>
  <si>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</si>
  <si>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</si>
  <si>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</si>
  <si>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</si>
  <si>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</si>
  <si>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</si>
  <si>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</si>
  <si>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</si>
  <si>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</si>
  <si>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</si>
  <si>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</si>
  <si>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</si>
  <si>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</si>
  <si>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</si>
  <si>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</si>
  <si>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</si>
  <si>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</si>
  <si>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</si>
  <si>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</si>
  <si>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</si>
  <si>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</si>
  <si>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</si>
  <si>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</si>
  <si>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</si>
  <si>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</si>
  <si>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</si>
  <si>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</si>
  <si>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</si>
  <si>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</si>
  <si>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</si>
  <si>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</si>
  <si>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</si>
  <si>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</si>
  <si>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</si>
  <si>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</si>
  <si>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</si>
  <si>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</si>
  <si>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</si>
  <si>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</si>
  <si>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</si>
  <si>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</si>
  <si>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</si>
  <si>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</si>
  <si>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</si>
  <si>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</si>
  <si>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</si>
  <si>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</si>
  <si>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</si>
  <si>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</si>
  <si>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</si>
  <si>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</si>
  <si>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</si>
  <si>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</si>
  <si>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</si>
  <si>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</si>
  <si>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</si>
  <si>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</si>
  <si>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</si>
  <si>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</si>
  <si>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</si>
  <si>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</si>
  <si>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</si>
  <si>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</si>
  <si>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</si>
  <si>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</si>
  <si>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</si>
  <si>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</si>
  <si>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</si>
  <si>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</si>
  <si>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</si>
  <si>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</si>
  <si>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</si>
  <si>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</si>
  <si>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</si>
  <si>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</si>
  <si>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</si>
  <si>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</si>
  <si>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</si>
  <si>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</si>
  <si>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</si>
  <si>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</si>
  <si>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</si>
  <si>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</si>
  <si>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</si>
  <si>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</si>
  <si>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</si>
  <si>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</si>
  <si>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</si>
  <si>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</si>
  <si>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</si>
  <si>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</si>
  <si>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</si>
  <si>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</si>
  <si>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</si>
  <si>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</si>
  <si>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</si>
  <si>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</si>
  <si>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</si>
  <si>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</si>
  <si>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</si>
  <si>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</si>
  <si>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</si>
  <si>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</si>
  <si>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</si>
  <si>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</si>
  <si>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</si>
  <si>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</si>
  <si>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</si>
  <si>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</si>
  <si>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</si>
  <si>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</si>
  <si>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</si>
  <si>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</si>
  <si>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</si>
  <si>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</si>
  <si>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</si>
  <si>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</si>
  <si>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</si>
  <si>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</si>
  <si>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</si>
  <si>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</si>
  <si>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</si>
  <si>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</si>
  <si>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</si>
  <si>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</si>
  <si>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</si>
  <si>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</si>
  <si>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</si>
  <si>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</si>
  <si>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</si>
  <si>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</si>
  <si>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</si>
  <si>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</si>
  <si>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</si>
  <si>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</si>
  <si>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</si>
  <si>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</si>
  <si>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</si>
  <si>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</si>
  <si>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</si>
  <si>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</si>
  <si>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</si>
  <si>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</si>
  <si>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</si>
  <si>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</si>
  <si>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</si>
  <si>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</si>
  <si>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</si>
  <si>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</si>
  <si>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</si>
  <si>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</si>
  <si>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</si>
  <si>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</si>
  <si>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</si>
  <si>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</si>
  <si>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</si>
  <si>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</si>
  <si>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</si>
  <si>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</si>
  <si>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</si>
  <si>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</si>
  <si>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</si>
  <si>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</si>
  <si>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</si>
  <si>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</si>
  <si>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</si>
  <si>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</si>
  <si>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</si>
  <si>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</si>
  <si>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</si>
  <si>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</si>
  <si>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</si>
  <si>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</si>
  <si>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</si>
  <si>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</si>
  <si>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</si>
  <si>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</si>
  <si>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</si>
  <si>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</si>
  <si>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</si>
  <si>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</si>
  <si>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</si>
  <si>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</si>
  <si>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</si>
  <si>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</si>
  <si>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</si>
  <si>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</si>
  <si>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</si>
  <si>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</si>
  <si>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</si>
  <si>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</si>
  <si>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</si>
  <si>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</si>
  <si>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</si>
  <si>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</si>
  <si>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</si>
  <si>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</si>
  <si>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</si>
  <si>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</si>
  <si>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</si>
  <si>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</si>
  <si>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</si>
  <si>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</si>
  <si>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</si>
  <si>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</si>
  <si>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</si>
  <si>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</si>
  <si>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</si>
  <si>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</si>
  <si>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</si>
  <si>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</si>
  <si>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</si>
  <si>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</si>
  <si>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</si>
  <si>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</si>
  <si>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</si>
  <si>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</si>
  <si>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</si>
  <si>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</si>
  <si>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</si>
  <si>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</si>
  <si>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</si>
  <si>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</si>
  <si>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</si>
  <si>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</si>
  <si>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</si>
  <si>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</si>
  <si>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</si>
  <si>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</si>
  <si>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</si>
  <si>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</si>
  <si>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</si>
  <si>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</si>
  <si>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</si>
  <si>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</si>
  <si>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</si>
  <si>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</si>
  <si>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</si>
  <si>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</si>
  <si>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</si>
  <si>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</si>
  <si>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</si>
  <si>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</si>
  <si>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</si>
  <si>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</si>
  <si>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</si>
  <si>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</si>
  <si>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</si>
  <si>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</si>
  <si>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</si>
  <si>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</si>
  <si>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</si>
  <si>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</si>
  <si>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</si>
  <si>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</si>
  <si>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</si>
  <si>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</si>
  <si>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</si>
  <si>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</si>
  <si>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</si>
  <si>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</si>
  <si>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</si>
  <si>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</si>
  <si>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</si>
  <si>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</si>
  <si>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</si>
  <si>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</si>
  <si>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</si>
  <si>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</si>
  <si>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</si>
  <si>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</si>
  <si>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</si>
  <si>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</si>
  <si>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</si>
  <si>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</si>
  <si>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</si>
  <si>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</si>
  <si>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</si>
  <si>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</si>
  <si>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</si>
  <si>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</si>
  <si>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</si>
  <si>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</si>
  <si>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</si>
  <si>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</si>
  <si>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</si>
  <si>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</si>
  <si>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</si>
  <si>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</si>
  <si>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</si>
  <si>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</si>
  <si>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</si>
  <si>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</si>
  <si>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</si>
  <si>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</si>
  <si>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</si>
  <si>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</si>
  <si>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</si>
  <si>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</si>
  <si>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</si>
  <si>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RAQUEL GARCIA-SAMPEDRO</t>
  </si>
  <si>
    <t>LUIS MOULIAA</t>
  </si>
  <si>
    <t>FERNANDO ESTARRONA</t>
  </si>
  <si>
    <t>PATRICIA ORTIZ DE ZARATE</t>
  </si>
  <si>
    <t>IKER BASCONES</t>
  </si>
  <si>
    <t>XAVIER MATEU</t>
  </si>
  <si>
    <t>In situations where a player receives the ball alone, the defender arrives late, there is a feint and a lateral or frontal dribble, record the assist.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</si>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</sst>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19_186_BAS_ULK_E2025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46024.854166666664</v>
      </c>
      <c r="C3" s="178"/>
      <c r="D3" s="39">
        <v>683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"E2025186"</v>
      </c>
      <c r="F3" s="45" t="str">
        <f t="shared" ref="F3:F16" si="0">""""&amp;B3&amp;"""" &amp; " : " &amp;C3&amp;","</f>
        <v>"name" : "E2025186",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"E186"</v>
      </c>
      <c r="F4" s="45" t="str">
        <f t="shared" si="0"/>
        <v>"cod" : "E186",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186</v>
      </c>
      <c r="F6" s="45" t="str">
        <f t="shared" si="0"/>
        <v>"number" : 186,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"FERNANDO ESTARRONA"</v>
      </c>
      <c r="F13" s="45" t="str">
        <f t="shared" si="0"/>
        <v>"Timerkeeper" : "FERNANDO ESTARRONA",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"PATRICIA ORTIZ DE ZARATE"</v>
      </c>
      <c r="F14" s="45" t="str">
        <f t="shared" si="0"/>
        <v>"Shotclock" : "PATRICIA ORTIZ DE ZARATE",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683</v>
      </c>
      <c r="F25" s="45" t="str">
        <f t="shared" ref="F25:F48" si="1">""""&amp;C25&amp;"""" &amp; " : " &amp;D25&amp;","</f>
        <v>"total_actions" : 683,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"In situations where a player receives the ball alone, the defender arrives late, there is a feint and a lateral or frontal dribble, record the assist."</v>
      </c>
      <c r="F51" s="45" t="str">
        <f>""""&amp;B51&amp;"""" &amp; " : " &amp;C51&amp;","</f>
        <v>"comments" : "In situations where a player receives the ball alone, the defender arrives late, there is a feint and a lateral or frontal dribble, record the assist.",</v>
      </c>
    </row>
    <row r="52" spans="2:6" x14ac:dyDescent="0.25">
      <c r="B52" s="43" t="s">
        <v>153</v>
      </c>
      <c r="C52" s="43" t="str">
        <f>TEXT('SCOUT &amp; LOGISTICS'!F1,"0,0")</f>
        <v>19_186_BAS_ULK_E2025</v>
      </c>
      <c r="F52" s="45" t="str">
        <f>""""&amp;B52&amp;"""" &amp; " : " &amp;C52</f>
        <v>"result" : 19_186_BAS_ULK_E2025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E186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02/01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ANDONI COLMENERO</v>
      </c>
      <c r="C8" s="201"/>
      <c r="D8" s="201"/>
      <c r="E8" s="201"/>
      <c r="F8" s="201"/>
      <c r="G8" s="201" t="str">
        <f>IF('SCOUT &amp; LOGISTICS'!D7="","",'SCOUT &amp; LOGISTICS'!D7)</f>
        <v>RAQUEL GARCIA-SAMPEDRO</v>
      </c>
      <c r="H8" s="201"/>
      <c r="I8" s="201"/>
      <c r="J8" s="201"/>
      <c r="K8" s="201"/>
      <c r="L8" s="201" t="str">
        <f>IF('SCOUT &amp; LOGISTICS'!D8="","",'SCOUT &amp; LOGISTICS'!D8)</f>
        <v>LUIS MOULIAA</v>
      </c>
      <c r="M8" s="201"/>
      <c r="N8" s="201"/>
      <c r="O8" s="201"/>
      <c r="P8" s="201"/>
      <c r="Q8" s="201" t="str">
        <f>IF('SCOUT &amp; LOGISTICS'!D9="","",'SCOUT &amp; LOGISTICS'!D9)</f>
        <v>FERNANDO ESTARRONA</v>
      </c>
      <c r="R8" s="201"/>
      <c r="S8" s="201"/>
      <c r="T8" s="201"/>
      <c r="U8" s="201"/>
      <c r="V8" s="201" t="str">
        <f>IF('SCOUT &amp; LOGISTICS'!D10="","",'SCOUT &amp; LOGISTICS'!D10)</f>
        <v>PATRICIA ORTIZ DE ZARATE</v>
      </c>
      <c r="W8" s="201"/>
      <c r="X8" s="201"/>
      <c r="Y8" s="201"/>
      <c r="Z8" s="201"/>
      <c r="AA8" s="201" t="str">
        <f>IF('SCOUT &amp; LOGISTICS'!D11="","",'SCOUT &amp; LOGISTICS'!D11)</f>
        <v>IKER BASCONES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683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In situations where a player receives the ball alone, the defender arrives late, there is a feint and a lateral or frontal dribble, record the assist.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4503C2F-E79A-40CB-AD44-1198CD12E84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2026-01-07T14:30:40Z</cp:lastPrinted>
  <dcterms:created xsi:type="dcterms:W3CDTF">2023-09-19T19:50:35Z</dcterms:created>
  <dcterms:modified xsi:type="dcterms:W3CDTF">2026-01-07T14:30:47Z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