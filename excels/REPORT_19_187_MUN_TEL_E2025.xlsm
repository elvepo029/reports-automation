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9" documentId="8_{A49F48C9-9242-4F9B-B879-0FD7E0481C8B}" xr6:coauthVersionLast="47" xr6:coauthVersionMax="47" xr10:uidLastSave="{A8D33885-34CE-4F7F-BA46-34EDEAAAC14D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<sst xmlns="http://schemas.openxmlformats.org/spreadsheetml/2006/main" count="3260" uniqueCount="759">
  <si>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</si>
  <si>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</si>
  <si>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</si>
  <si>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</si>
  <si>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</si>
  <si>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</si>
  <si>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</si>
  <si>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</si>
  <si>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</si>
  <si>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</si>
  <si>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</si>
  <si>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</si>
  <si>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</si>
  <si>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</si>
  <si>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</si>
  <si>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</si>
  <si>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</si>
  <si>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</si>
  <si>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</si>
  <si>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</si>
  <si>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</si>
  <si>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</si>
  <si>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</si>
  <si>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</si>
  <si>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</si>
  <si>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</si>
  <si>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</si>
  <si>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</si>
  <si>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</si>
  <si>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</si>
  <si>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</si>
  <si>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</si>
  <si>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</si>
  <si>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</si>
  <si>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</si>
  <si>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</si>
  <si>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</si>
  <si>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</si>
  <si>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</si>
  <si>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</si>
  <si>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</si>
  <si>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</si>
  <si>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</si>
  <si>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</si>
  <si>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</si>
  <si>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</si>
  <si>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</si>
  <si>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</si>
  <si>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</si>
  <si>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</si>
  <si>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</si>
  <si>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</si>
  <si>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</si>
  <si>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</si>
  <si>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</si>
  <si>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</si>
  <si>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</si>
  <si>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</si>
  <si>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</si>
  <si>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</si>
  <si>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</si>
  <si>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</si>
  <si>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</si>
  <si>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</si>
  <si>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</si>
  <si>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</si>
  <si>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</si>
  <si>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</si>
  <si>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</si>
  <si>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</si>
  <si>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</si>
  <si>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</si>
  <si>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</si>
  <si>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</si>
  <si>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</si>
  <si>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</si>
  <si>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</si>
  <si>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</si>
  <si>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</si>
  <si>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</si>
  <si>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</si>
  <si>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</si>
  <si>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</si>
  <si>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</si>
  <si>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</si>
  <si>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</si>
  <si>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</si>
  <si>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</si>
  <si>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</si>
  <si>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</si>
  <si>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</si>
  <si>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</si>
  <si>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</si>
  <si>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</si>
  <si>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</si>
  <si>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</si>
  <si>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</si>
  <si>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</si>
  <si>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</si>
  <si>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</si>
  <si>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</si>
  <si>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</si>
  <si>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</si>
  <si>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</si>
  <si>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</si>
  <si>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</si>
  <si>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</si>
  <si>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</si>
  <si>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</si>
  <si>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</si>
  <si>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</si>
  <si>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</si>
  <si>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</si>
  <si>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</si>
  <si>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</si>
  <si>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</si>
  <si>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</si>
  <si>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</si>
  <si>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</si>
  <si>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</si>
  <si>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</si>
  <si>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</si>
  <si>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</si>
  <si>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</si>
  <si>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</si>
  <si>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</si>
  <si>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</si>
  <si>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</si>
  <si>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</si>
  <si>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</si>
  <si>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</si>
  <si>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</si>
  <si>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</si>
  <si>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</si>
  <si>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</si>
  <si>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</si>
  <si>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</si>
  <si>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</si>
  <si>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</si>
  <si>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</si>
  <si>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</si>
  <si>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</si>
  <si>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</si>
  <si>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</si>
  <si>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</si>
  <si>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</si>
  <si>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</si>
  <si>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</si>
  <si>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</si>
  <si>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</si>
  <si>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</si>
  <si>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</si>
  <si>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</si>
  <si>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</si>
  <si>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</si>
  <si>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</si>
  <si>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</si>
  <si>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</si>
  <si>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</si>
  <si>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</si>
  <si>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</si>
  <si>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</si>
  <si>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</si>
  <si>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</si>
  <si>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</si>
  <si>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</si>
  <si>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</si>
  <si>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</si>
  <si>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</si>
  <si>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</si>
  <si>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</si>
  <si>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</si>
  <si>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</si>
  <si>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</si>
  <si>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</si>
  <si>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</si>
  <si>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</si>
  <si>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</si>
  <si>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</si>
  <si>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</si>
  <si>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</si>
  <si>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</si>
  <si>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</si>
  <si>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</si>
  <si>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</si>
  <si>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</si>
  <si>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</si>
  <si>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</si>
  <si>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</si>
  <si>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</si>
  <si>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</si>
  <si>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</si>
  <si>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</si>
  <si>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</si>
  <si>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</si>
  <si>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</si>
  <si>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</si>
  <si>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</si>
  <si>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</si>
  <si>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</si>
  <si>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</si>
  <si>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</si>
  <si>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</si>
  <si>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</si>
  <si>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</si>
  <si>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</si>
  <si>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</si>
  <si>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</si>
  <si>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</si>
  <si>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</si>
  <si>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</si>
  <si>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</si>
  <si>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</si>
  <si>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</si>
  <si>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</si>
  <si>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</si>
  <si>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</si>
  <si>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</si>
  <si>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</si>
  <si>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</si>
  <si>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</si>
  <si>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</si>
  <si>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</si>
  <si>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</si>
  <si>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</si>
  <si>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</si>
  <si>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</si>
  <si>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</si>
  <si>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</si>
  <si>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</si>
  <si>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</si>
  <si>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</si>
  <si>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</si>
  <si>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</si>
  <si>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</si>
  <si>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</si>
  <si>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</si>
  <si>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</si>
  <si>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</si>
  <si>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</si>
  <si>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</si>
  <si>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</si>
  <si>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</si>
  <si>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</si>
  <si>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</si>
  <si>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</si>
  <si>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</si>
  <si>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</si>
  <si>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</si>
  <si>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</si>
  <si>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</si>
  <si>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</si>
  <si>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</si>
  <si>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</si>
  <si>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</si>
  <si>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</si>
  <si>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</si>
  <si>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</si>
  <si>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</si>
  <si>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</si>
  <si>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</si>
  <si>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</si>
  <si>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</si>
  <si>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</si>
  <si>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</si>
  <si>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</si>
  <si>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</si>
  <si>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</si>
  <si>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</si>
  <si>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</si>
  <si>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</si>
  <si>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</si>
  <si>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</si>
  <si>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</si>
  <si>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</si>
  <si>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</si>
  <si>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</si>
  <si>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</si>
  <si>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</si>
  <si>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</si>
  <si>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</si>
  <si>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</si>
  <si>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</si>
  <si>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</si>
  <si>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</si>
  <si>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</si>
  <si>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</si>
  <si>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</si>
  <si>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</si>
  <si>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</si>
  <si>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</si>
  <si>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</si>
  <si>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</si>
  <si>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</si>
  <si>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</si>
  <si>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</si>
  <si>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</si>
  <si>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</si>
  <si>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</si>
  <si>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</si>
  <si>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</si>
  <si>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</si>
  <si>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</si>
  <si>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</si>
  <si>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</si>
  <si>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</si>
  <si>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</si>
  <si>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</si>
  <si>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</si>
  <si>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</si>
  <si>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</si>
  <si>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</si>
  <si>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</si>
  <si>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</si>
  <si>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</si>
  <si>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</si>
  <si>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</si>
  <si>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</si>
  <si>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</si>
  <si>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</si>
  <si>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</si>
  <si>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</si>
  <si>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</si>
  <si>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</si>
  <si>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</si>
  <si>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</si>
  <si>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</si>
  <si>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</si>
  <si>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</si>
  <si>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</si>
  <si>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</si>
  <si>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</si>
  <si>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</si>
  <si>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</si>
  <si>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</si>
  <si>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</si>
  <si>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</si>
  <si>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</si>
  <si>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</si>
  <si>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</si>
  <si>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</si>
  <si>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</si>
  <si>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</si>
  <si>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</si>
  <si>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</si>
  <si>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</si>
  <si>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</si>
  <si>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</si>
  <si>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</si>
  <si>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</si>
  <si>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</si>
  <si>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</si>
  <si>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</si>
  <si>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</si>
  <si>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</si>
  <si>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</si>
  <si>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</si>
  <si>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</si>
  <si>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</si>
  <si>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</si>
  <si>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</si>
  <si>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</si>
  <si>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</si>
  <si>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</si>
  <si>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</si>
  <si>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</si>
  <si>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</si>
  <si>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</si>
  <si>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</si>
  <si>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</si>
  <si>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</si>
  <si>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</si>
  <si>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</si>
  <si>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</si>
  <si>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</si>
  <si>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</si>
  <si>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</si>
  <si>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</si>
  <si>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</si>
  <si>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</si>
  <si>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</si>
  <si>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</si>
  <si>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</si>
  <si>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</si>
  <si>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</si>
  <si>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</si>
  <si>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</si>
  <si>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</si>
  <si>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</si>
  <si>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</si>
  <si>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</si>
  <si>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</si>
  <si>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</si>
  <si>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</si>
  <si>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</si>
  <si>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</si>
  <si>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</si>
  <si>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</si>
  <si>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</si>
  <si>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</si>
  <si>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</si>
  <si>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</si>
  <si>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</si>
  <si>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</si>
  <si>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</si>
  <si>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</si>
  <si>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</si>
  <si>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</si>
  <si>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</si>
  <si>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</si>
  <si>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</si>
  <si>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</si>
  <si>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</si>
  <si>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</si>
  <si>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</si>
  <si>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</si>
  <si>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</si>
  <si>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</si>
  <si>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</si>
  <si>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</si>
  <si>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</si>
  <si>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</si>
  <si>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</si>
  <si>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</si>
  <si>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</si>
  <si>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</si>
  <si>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</si>
  <si>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</si>
  <si>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</si>
  <si>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</si>
  <si>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</si>
  <si>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</si>
  <si>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</si>
  <si>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</si>
  <si>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</si>
  <si>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</si>
  <si>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</si>
  <si>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</si>
  <si>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</si>
  <si>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</si>
  <si>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</si>
  <si>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</si>
  <si>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</si>
  <si>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</si>
  <si>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</si>
  <si>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</si>
  <si>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</si>
  <si>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</si>
  <si>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</si>
  <si>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</si>
  <si>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</si>
  <si>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</si>
  <si>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</si>
  <si>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</si>
  <si>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</si>
  <si>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</si>
  <si>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</si>
  <si>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</si>
  <si>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</si>
  <si>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</si>
  <si>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</si>
  <si>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</si>
  <si>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</si>
  <si>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</si>
  <si>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</si>
  <si>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</si>
  <si>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</si>
  <si>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</si>
  <si>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</si>
  <si>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</si>
  <si>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</si>
  <si>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</si>
  <si>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</si>
  <si>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</si>
  <si>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</si>
  <si>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</si>
  <si>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</si>
  <si>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</si>
  <si>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</si>
  <si>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</si>
  <si>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</si>
  <si>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</si>
  <si>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</si>
  <si>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</si>
  <si>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</si>
  <si>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</si>
  <si>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</si>
  <si>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</si>
  <si>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</si>
  <si>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</si>
  <si>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</si>
  <si>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</si>
  <si>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</si>
  <si>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</si>
  <si>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</si>
  <si>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</si>
  <si>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</si>
  <si>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</si>
  <si>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</si>
  <si>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</si>
  <si>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</si>
  <si>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</si>
  <si>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</si>
  <si>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</si>
  <si>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</si>
  <si>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</si>
  <si>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</si>
  <si>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</si>
  <si>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</si>
  <si>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</si>
  <si>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</si>
  <si>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</si>
  <si>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</si>
  <si>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</si>
  <si>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</si>
  <si>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</si>
  <si>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</si>
  <si>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</si>
  <si>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</si>
  <si>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</si>
  <si>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</si>
  <si>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</si>
  <si>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</si>
  <si>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</si>
  <si>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</si>
  <si>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</si>
  <si>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</si>
  <si>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</si>
  <si>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</si>
  <si>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</si>
  <si>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</si>
  <si>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</si>
  <si>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</si>
  <si>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</si>
  <si>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</si>
  <si>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</si>
  <si>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</si>
  <si>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</si>
  <si>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</si>
  <si>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</si>
  <si>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</si>
  <si>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</si>
  <si>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</si>
  <si>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</si>
  <si>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</si>
  <si>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</si>
  <si>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</si>
  <si>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</si>
  <si>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</si>
  <si>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</si>
  <si>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</si>
  <si>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</si>
  <si>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</si>
  <si>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</si>
  <si>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</si>
  <si>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</si>
  <si>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</si>
  <si>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</si>
  <si>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</si>
  <si>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</si>
  <si>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</si>
  <si>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</si>
  <si>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</si>
  <si>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</si>
  <si>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</si>
  <si>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</si>
  <si>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</si>
  <si>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</si>
  <si>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</si>
  <si>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</si>
  <si>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</si>
  <si>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</si>
  <si>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</si>
  <si>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</si>
  <si>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</si>
  <si>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</si>
  <si>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</si>
  <si>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</si>
  <si>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</si>
  <si>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</si>
  <si>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</si>
  <si>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</si>
  <si>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</si>
  <si>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</si>
  <si>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</si>
  <si>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</si>
  <si>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</si>
  <si>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</si>
  <si>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</si>
  <si>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</si>
  <si>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</si>
  <si>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</si>
  <si>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</si>
  <si>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</si>
  <si>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</si>
  <si>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</si>
  <si>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</si>
  <si>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</si>
  <si>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</si>
  <si>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</si>
  <si>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</si>
  <si>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</si>
  <si>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</si>
  <si>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</si>
  <si>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</si>
  <si>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</si>
  <si>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</si>
  <si>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</si>
  <si>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</si>
  <si>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</si>
  <si>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</si>
  <si>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</si>
  <si>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</si>
  <si>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</si>
  <si>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</si>
  <si>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</si>
  <si>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</si>
  <si>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</si>
  <si>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</si>
  <si>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</si>
  <si>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</si>
  <si>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</si>
  <si>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</si>
  <si>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</si>
  <si>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</si>
  <si>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</si>
  <si>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</si>
  <si>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</si>
  <si>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</si>
  <si>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</si>
  <si>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</si>
  <si>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</si>
  <si>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</si>
  <si>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</si>
  <si>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</si>
  <si>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</si>
  <si>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</si>
  <si>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</si>
  <si>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</si>
  <si>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</si>
  <si>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</si>
  <si>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</si>
  <si>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</si>
  <si>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</si>
  <si>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</si>
  <si>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</si>
  <si>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</si>
  <si>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</si>
  <si>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</si>
  <si>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</si>
  <si>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</si>
  <si>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</si>
  <si>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</si>
  <si>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</si>
  <si>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</si>
  <si>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</si>
  <si>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</si>
  <si>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</si>
  <si>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</si>
  <si>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</si>
  <si>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</si>
  <si>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</si>
  <si>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</si>
  <si>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</si>
  <si>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</si>
  <si>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</si>
  <si>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</si>
  <si>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</si>
  <si>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</si>
  <si>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</si>
  <si>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</si>
  <si>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</si>
  <si>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</si>
  <si>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</si>
  <si>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</si>
  <si>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</si>
  <si>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</si>
  <si>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</si>
  <si>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</si>
  <si>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</si>
  <si>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</si>
  <si>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</si>
  <si>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</si>
  <si>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</si>
  <si>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</si>
  <si>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</si>
  <si>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</si>
  <si>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</si>
  <si>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</si>
  <si>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</si>
  <si>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</si>
  <si>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</si>
  <si>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</si>
  <si>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</si>
  <si>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</si>
  <si>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</si>
  <si>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</si>
  <si>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</si>
  <si>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</si>
  <si>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</si>
  <si>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</si>
  <si>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</si>
  <si>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</si>
  <si>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</si>
  <si>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</si>
  <si>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</si>
  <si>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</si>
  <si>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</si>
  <si>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</si>
  <si>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</si>
  <si>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</si>
  <si>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</si>
  <si>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</si>
  <si>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</si>
  <si>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</si>
  <si>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</si>
  <si>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</si>
  <si>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</si>
  <si>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</si>
  <si>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</si>
  <si>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</si>
  <si>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</si>
  <si>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</si>
  <si>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</si>
  <si>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</si>
  <si>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</si>
  <si>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</si>
  <si>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</si>
  <si>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</si>
  <si>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</si>
  <si>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</si>
  <si>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</si>
  <si>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</si>
  <si>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</si>
  <si>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</si>
  <si>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</si>
  <si>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</si>
  <si>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</si>
  <si>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</si>
  <si>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</si>
  <si>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</si>
  <si>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</si>
  <si>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</si>
  <si>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</si>
  <si>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</si>
  <si>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</si>
  <si>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</si>
  <si>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</si>
  <si>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</si>
  <si>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</si>
  <si>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C:\Users\nerea.fraile\EUROLEAGUE\EB STATS - Documents\General\SEASON 2025-26\Reports\Euroleague\PDF</t>
  </si>
  <si>
    <t>C:\Users\nerea.fraile\EUROLEAGUE\EB STATS - Documents\General\SEASON 2025-26\Reports\Euroleague</t>
  </si>
  <si>
    <t>MIKA KINDELMANN</t>
  </si>
  <si>
    <t>HUBERT KRAGLER</t>
  </si>
  <si>
    <t>ROBERT BAYERER</t>
  </si>
  <si>
    <t>08:19</t>
  </si>
  <si>
    <t>01:52</t>
  </si>
  <si>
    <t>07:06</t>
  </si>
  <si>
    <t>Very good job! Pity about the mistake in the Coach Challenge. Very good overall job throughout the game.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</si>
</sst>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19_187_MUN_TEL_E2025</v>
      </c>
      <c r="G1" s="5"/>
      <c r="H1" s="5"/>
      <c r="I1" s="5"/>
      <c r="J1" s="8" t="s">
        <v>707</v>
      </c>
      <c r="K1" s="121" t="s">
        <v>751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187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46024.875</v>
      </c>
      <c r="C3" s="157"/>
      <c r="D3" s="39">
        <v>592</v>
      </c>
      <c r="E3" s="29"/>
      <c r="F3" s="26">
        <f>SUBTOTAL(3,I17:I106)</f>
        <v>3</v>
      </c>
      <c r="G3" s="27">
        <f>IF(OR(D3="",D3=0),"",F3/D3)</f>
        <v>5.0675675675675678E-3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Bayern Munich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742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5.0675675675675678E-3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1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Maccabi Rapyd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0.5067567567567568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10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723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11.506756756756756</v>
      </c>
      <c r="N7" s="58"/>
      <c r="O7" s="2"/>
      <c r="P7" s="2"/>
      <c r="Q7" s="86">
        <f>SUM(R5,S5,AC16)</f>
        <v>11.506756756756756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11.506756756756756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727</v>
      </c>
      <c r="E9" s="179"/>
      <c r="F9" s="179"/>
      <c r="G9" s="18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728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187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11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187</v>
      </c>
      <c r="D17" s="32" t="s">
        <v>755</v>
      </c>
      <c r="E17" s="33">
        <v>1</v>
      </c>
      <c r="F17" s="36">
        <v>7</v>
      </c>
      <c r="G17" s="36">
        <v>5</v>
      </c>
      <c r="H17" s="38" t="str">
        <f>IF(I17="","",$I$14)</f>
        <v>SCOUTING</v>
      </c>
      <c r="I17" s="34">
        <v>26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1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187</v>
      </c>
      <c r="D18" s="32" t="s">
        <v>756</v>
      </c>
      <c r="E18" s="33">
        <v>1</v>
      </c>
      <c r="F18" s="36">
        <v>23</v>
      </c>
      <c r="G18" s="36">
        <v>18</v>
      </c>
      <c r="H18" s="38" t="str">
        <f t="shared" ref="H18:H81" si="8">IF(I18="","",$I$14)</f>
        <v>SCOUTING</v>
      </c>
      <c r="I18" s="34">
        <v>134</v>
      </c>
      <c r="J18" s="13" t="s">
        <v>4</v>
      </c>
      <c r="K18" s="13" t="s">
        <v>62</v>
      </c>
      <c r="L18" s="13" t="s">
        <v>5</v>
      </c>
      <c r="M18" s="13" t="s">
        <v>27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187</v>
      </c>
      <c r="D19" s="32" t="s">
        <v>757</v>
      </c>
      <c r="E19" s="33">
        <v>4</v>
      </c>
      <c r="F19" s="36">
        <v>78</v>
      </c>
      <c r="G19" s="36">
        <v>60</v>
      </c>
      <c r="H19" s="38" t="str">
        <f t="shared" si="8"/>
        <v>SCOUTING</v>
      </c>
      <c r="I19" s="34">
        <v>494</v>
      </c>
      <c r="J19" s="13" t="s">
        <v>3</v>
      </c>
      <c r="K19" s="13" t="s">
        <v>61</v>
      </c>
      <c r="L19" s="13" t="s">
        <v>19</v>
      </c>
      <c r="M19" s="13" t="s">
        <v>19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1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REPORT_E2025187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"E2025187"</v>
      </c>
      <c r="F3" s="45" t="str">
        <f t="shared" ref="F3:F16" si="0">""""&amp;B3&amp;"""" &amp; " : " &amp;C3&amp;","</f>
        <v>"name" : "E2025187",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"E187"</v>
      </c>
      <c r="F4" s="45" t="str">
        <f t="shared" si="0"/>
        <v>"cod" : "E187",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187</v>
      </c>
      <c r="F6" s="45" t="str">
        <f t="shared" si="0"/>
        <v>"number" : 187,</v>
      </c>
    </row>
    <row r="7" spans="2:6" x14ac:dyDescent="0.25">
      <c r="B7" s="43" t="s">
        <v>116</v>
      </c>
      <c r="C7" s="43" t="str">
        <f ca="1">""""&amp;TEXT('SCOUT &amp; LOGISTICS'!B3,"dd/mm/aaaa")&amp;""""</f>
        <v>"02/01/Friday"</v>
      </c>
      <c r="F7" s="45" t="str">
        <f t="shared" ca="1" si="0"/>
        <v>"date" : "02/01/Friday",</v>
      </c>
    </row>
    <row r="8" spans="2:6" x14ac:dyDescent="0.25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5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"SEBASTIAN BLANZ"</v>
      </c>
      <c r="F10" s="45" t="str">
        <f t="shared" si="0"/>
        <v>"Data_entry" : "SEBASTIAN BLANZ",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"MIKA KINDELMANN"</v>
      </c>
      <c r="F11" s="45" t="str">
        <f t="shared" si="0"/>
        <v>"Caller_1" : "MIKA KINDELMANN",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"HUBERT KRAGLER"</v>
      </c>
      <c r="F12" s="45" t="str">
        <f t="shared" si="0"/>
        <v>"Caller_2" : "HUBERT KRAGLER",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"ANDREAS GREPPMAYR"</v>
      </c>
      <c r="F13" s="45" t="str">
        <f t="shared" si="0"/>
        <v>"Timerkeeper" : "ANDREAS GREPPMAYR",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"ROBERT BAYERER"</v>
      </c>
      <c r="F14" s="45" t="str">
        <f t="shared" si="0"/>
        <v>"Shotclock" : "ROBERT BAYERER",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"ROBERT TAVASZI"</v>
      </c>
      <c r="F15" s="45" t="str">
        <f t="shared" si="0"/>
        <v>"IRS" : "ROBERT TAVASZI",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592</v>
      </c>
      <c r="F25" s="45" t="str">
        <f t="shared" ref="F25:F48" si="1">""""&amp;C25&amp;"""" &amp; " : " &amp;D25&amp;","</f>
        <v>"total_actions" : 592,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1</v>
      </c>
      <c r="F38" s="45" t="str">
        <f t="shared" si="1"/>
        <v>"criteria" : 1,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1</v>
      </c>
      <c r="F43" s="45" t="str">
        <f t="shared" si="1"/>
        <v>"coach_challenge" : 1,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Pity about the mistake in the Coach Challenge. Very good overall job throughout the game."</v>
      </c>
      <c r="F51" s="45" t="str">
        <f>""""&amp;B51&amp;"""" &amp; " : " &amp;C51&amp;","</f>
        <v>"comments" : "Very good job! Pity about the mistake in the Coach Challenge. Very good overall job throughout the game.",</v>
      </c>
    </row>
    <row r="52" spans="2:6" x14ac:dyDescent="0.25">
      <c r="B52" s="43" t="s">
        <v>153</v>
      </c>
      <c r="C52" s="43" t="str">
        <f>TEXT('SCOUT &amp; LOGISTICS'!F1,"0,0")</f>
        <v>19_187_MUN_TEL_E2025</v>
      </c>
      <c r="F52" s="45" t="str">
        <f>""""&amp;B52&amp;"""" &amp; " : " &amp;C52</f>
        <v>"result" : 19_187_MUN_TEL_E2025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E187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02/01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Bayern Munich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Maccabi Rapyd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SEBASTIAN BLANZ</v>
      </c>
      <c r="C8" s="206"/>
      <c r="D8" s="206"/>
      <c r="E8" s="206"/>
      <c r="F8" s="206"/>
      <c r="G8" s="206" t="str">
        <f>IF('SCOUT &amp; LOGISTICS'!D7="","",'SCOUT &amp; LOGISTICS'!D7)</f>
        <v>MIKA KINDELMANN</v>
      </c>
      <c r="H8" s="206"/>
      <c r="I8" s="206"/>
      <c r="J8" s="206"/>
      <c r="K8" s="206"/>
      <c r="L8" s="206" t="str">
        <f>IF('SCOUT &amp; LOGISTICS'!D8="","",'SCOUT &amp; LOGISTICS'!D8)</f>
        <v>HUBERT KRAGLER</v>
      </c>
      <c r="M8" s="206"/>
      <c r="N8" s="206"/>
      <c r="O8" s="206"/>
      <c r="P8" s="206"/>
      <c r="Q8" s="206" t="str">
        <f>IF('SCOUT &amp; LOGISTICS'!D9="","",'SCOUT &amp; LOGISTICS'!D9)</f>
        <v>ANDREAS GREPPMAYR</v>
      </c>
      <c r="R8" s="206"/>
      <c r="S8" s="206"/>
      <c r="T8" s="206"/>
      <c r="U8" s="206"/>
      <c r="V8" s="206" t="str">
        <f>IF('SCOUT &amp; LOGISTICS'!D10="","",'SCOUT &amp; LOGISTICS'!D10)</f>
        <v>ROBERT BAYERER</v>
      </c>
      <c r="W8" s="206"/>
      <c r="X8" s="206"/>
      <c r="Y8" s="206"/>
      <c r="Z8" s="206"/>
      <c r="AA8" s="206" t="str">
        <f>IF('SCOUT &amp; LOGISTICS'!D11="","",'SCOUT &amp; LOGISTICS'!D11)</f>
        <v>ROBERT TAVASZI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592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5.0675675675675678E-3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1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Pity about the mistake in the Coach Challenge. Very good overall job throughout the game.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11.506756756756756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FACC8A-EE5E-4991-8024-4BF4E48E04F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2026-01-07T16:36:54Z</cp:lastPrinted>
  <dcterms:created xsi:type="dcterms:W3CDTF">2023-09-19T19:50:35Z</dcterms:created>
  <dcterms:modified xsi:type="dcterms:W3CDTF">2026-01-07T16:36:55Z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