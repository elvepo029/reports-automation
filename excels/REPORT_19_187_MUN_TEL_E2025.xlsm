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59" documentId="8_{A49F48C9-9242-4F9B-B879-0FD7E0481C8B}" xr6:coauthVersionLast="47" xr6:coauthVersionMax="47" xr10:uidLastSave="{A8D33885-34CE-4F7F-BA46-34EDEAAAC14D}"/>
  <bookViews>
    <workbookView xWindow="-6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<sst xmlns="http://schemas.openxmlformats.org/spreadsheetml/2006/main" count="3260" uniqueCount="759">
  <si>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</si>
  <si>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</si>
  <si>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</si>
  <si>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</si>
  <si>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</si>
  <si>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</si>
  <si>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</si>
  <si>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</si>
  <si>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</si>
  <si>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</si>
  <si>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</si>
  <si>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</si>
  <si>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</si>
  <si>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</si>
  <si>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</si>
  <si>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</si>
  <si>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</si>
  <si>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</si>
  <si>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</si>
  <si>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</si>
  <si>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</si>
  <si>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</si>
  <si>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</si>
  <si>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</si>
  <si>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</si>
  <si>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</si>
  <si>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</si>
  <si>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</si>
  <si>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</si>
  <si>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</si>
  <si>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</si>
  <si>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</si>
  <si>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</si>
  <si>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</si>
  <si>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</si>
  <si>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</si>
  <si>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</si>
  <si>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</si>
  <si>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</si>
  <si>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</si>
  <si>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</si>
  <si>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</si>
  <si>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</si>
  <si>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</si>
  <si>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</si>
  <si>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</si>
  <si>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</si>
  <si>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</si>
  <si>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</si>
  <si>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</si>
  <si>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</si>
  <si>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</si>
  <si>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</si>
  <si>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</si>
  <si>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</si>
  <si>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</si>
  <si>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</si>
  <si>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</si>
  <si>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</si>
  <si>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</si>
  <si>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</si>
  <si>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</si>
  <si>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</si>
  <si>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</si>
  <si>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</si>
  <si>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</si>
  <si>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</si>
  <si>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</si>
  <si>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</si>
  <si>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</si>
  <si>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</si>
  <si>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</si>
  <si>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</si>
  <si>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</si>
  <si>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</si>
  <si>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</si>
  <si>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</si>
  <si>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</si>
  <si>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</si>
  <si>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</si>
  <si>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</si>
  <si>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</si>
  <si>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</si>
  <si>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</si>
  <si>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</si>
  <si>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</si>
  <si>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</si>
  <si>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</si>
  <si>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</si>
  <si>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</si>
  <si>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</si>
  <si>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</si>
  <si>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</si>
  <si>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</si>
  <si>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</si>
  <si>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</si>
  <si>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</si>
  <si>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</si>
  <si>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</si>
  <si>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</si>
  <si>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</si>
  <si>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</si>
  <si>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</si>
  <si>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</si>
  <si>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</si>
  <si>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</si>
  <si>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</si>
  <si>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</si>
  <si>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</si>
  <si>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</si>
  <si>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</si>
  <si>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</si>
  <si>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</si>
  <si>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</si>
  <si>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</si>
  <si>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</si>
  <si>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</si>
  <si>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</si>
  <si>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</si>
  <si>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</si>
  <si>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</si>
  <si>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</si>
  <si>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</si>
  <si>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</si>
  <si>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</si>
  <si>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</si>
  <si>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</si>
  <si>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</si>
  <si>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</si>
  <si>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</si>
  <si>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</si>
  <si>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</si>
  <si>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</si>
  <si>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</si>
  <si>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</si>
  <si>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</si>
  <si>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</si>
  <si>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</si>
  <si>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</si>
  <si>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</si>
  <si>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</si>
  <si>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</si>
  <si>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</si>
  <si>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</si>
  <si>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</si>
  <si>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</si>
  <si>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</si>
  <si>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</si>
  <si>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</si>
  <si>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</si>
  <si>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</si>
  <si>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</si>
  <si>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</si>
  <si>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</si>
  <si>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</si>
  <si>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</si>
  <si>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</si>
  <si>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</si>
  <si>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</si>
  <si>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</si>
  <si>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</si>
  <si>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</si>
  <si>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</si>
  <si>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</si>
  <si>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</si>
  <si>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</si>
  <si>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</si>
  <si>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</si>
  <si>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</si>
  <si>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</si>
  <si>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</si>
  <si>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</si>
  <si>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</si>
  <si>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</si>
  <si>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</si>
  <si>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</si>
  <si>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</si>
  <si>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</si>
  <si>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</si>
  <si>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</si>
  <si>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</si>
  <si>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</si>
  <si>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</si>
  <si>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</si>
  <si>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</si>
  <si>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</si>
  <si>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</si>
  <si>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</si>
  <si>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</si>
  <si>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</si>
  <si>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</si>
  <si>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</si>
  <si>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</si>
  <si>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</si>
  <si>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</si>
  <si>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</si>
  <si>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</si>
  <si>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</si>
  <si>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</si>
  <si>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</si>
  <si>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</si>
  <si>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</si>
  <si>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</si>
  <si>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</si>
  <si>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</si>
  <si>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</si>
  <si>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</si>
  <si>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</si>
  <si>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</si>
  <si>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</si>
  <si>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</si>
  <si>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</si>
  <si>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</si>
  <si>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</si>
  <si>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</si>
  <si>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</si>
  <si>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</si>
  <si>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</si>
  <si>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</si>
  <si>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</si>
  <si>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</si>
  <si>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</si>
  <si>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</si>
  <si>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</si>
  <si>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</si>
  <si>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</si>
  <si>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</si>
  <si>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</si>
  <si>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</si>
  <si>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</si>
  <si>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</si>
  <si>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</si>
  <si>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</si>
  <si>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</si>
  <si>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</si>
  <si>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</si>
  <si>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</si>
  <si>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</si>
  <si>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</si>
  <si>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</si>
  <si>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</si>
  <si>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</si>
  <si>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</si>
  <si>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</si>
  <si>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</si>
  <si>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</si>
  <si>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</si>
  <si>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</si>
  <si>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</si>
  <si>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</si>
  <si>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</si>
  <si>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</si>
  <si>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</si>
  <si>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</si>
  <si>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</si>
  <si>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</si>
  <si>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</si>
  <si>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</si>
  <si>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</si>
  <si>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</si>
  <si>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</si>
  <si>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</si>
  <si>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</si>
  <si>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</si>
  <si>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</si>
  <si>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</si>
  <si>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</si>
  <si>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</si>
  <si>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</si>
  <si>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</si>
  <si>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</si>
  <si>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</si>
  <si>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</si>
  <si>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</si>
  <si>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</si>
  <si>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</si>
  <si>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</si>
  <si>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</si>
  <si>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</si>
  <si>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</si>
  <si>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</si>
  <si>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</si>
  <si>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</si>
  <si>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</si>
  <si>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</si>
  <si>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</si>
  <si>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</si>
  <si>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</si>
  <si>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</si>
  <si>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</si>
  <si>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</si>
  <si>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</si>
  <si>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</si>
  <si>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</si>
  <si>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</si>
  <si>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</si>
  <si>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</si>
  <si>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</si>
  <si>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</si>
  <si>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</si>
  <si>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</si>
  <si>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</si>
  <si>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</si>
  <si>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</si>
  <si>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</si>
  <si>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</si>
  <si>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</si>
  <si>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</si>
  <si>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</si>
  <si>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</si>
  <si>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</si>
  <si>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</si>
  <si>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</si>
  <si>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</si>
  <si>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</si>
  <si>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</si>
  <si>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</si>
  <si>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</si>
  <si>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</si>
  <si>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</si>
  <si>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</si>
  <si>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</si>
  <si>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</si>
  <si>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</si>
  <si>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</si>
  <si>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</si>
  <si>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</si>
  <si>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</si>
  <si>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</si>
  <si>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</si>
  <si>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</si>
  <si>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</si>
  <si>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</si>
  <si>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</si>
  <si>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</si>
  <si>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</si>
  <si>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</si>
  <si>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</si>
  <si>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</si>
  <si>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</si>
  <si>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</si>
  <si>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</si>
  <si>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</si>
  <si>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</si>
  <si>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</si>
  <si>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</si>
  <si>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</si>
  <si>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</si>
  <si>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</si>
  <si>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</si>
  <si>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</si>
  <si>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</si>
  <si>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</si>
  <si>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</si>
  <si>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</si>
  <si>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</si>
  <si>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</si>
  <si>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</si>
  <si>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</si>
  <si>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</si>
  <si>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</si>
  <si>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</si>
  <si>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</si>
  <si>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</si>
  <si>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</si>
  <si>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</si>
  <si>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</si>
  <si>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</si>
  <si>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</si>
  <si>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</si>
  <si>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</si>
  <si>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</si>
  <si>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</si>
  <si>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</si>
  <si>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</si>
  <si>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</si>
  <si>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</si>
  <si>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</si>
  <si>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</si>
  <si>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</si>
  <si>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</si>
  <si>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</si>
  <si>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</si>
  <si>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</si>
  <si>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</si>
  <si>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</si>
  <si>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</si>
  <si>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</si>
  <si>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</si>
  <si>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</si>
  <si>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</si>
  <si>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</si>
  <si>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</si>
  <si>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</si>
  <si>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</si>
  <si>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</si>
  <si>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</si>
  <si>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</si>
  <si>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</si>
  <si>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</si>
  <si>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</si>
  <si>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</si>
  <si>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</si>
  <si>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</si>
  <si>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</si>
  <si>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</si>
  <si>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</si>
  <si>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</si>
  <si>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</si>
  <si>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</si>
  <si>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</si>
  <si>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</si>
  <si>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</si>
  <si>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</si>
  <si>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</si>
  <si>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</si>
  <si>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</si>
  <si>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</si>
  <si>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</si>
  <si>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</si>
  <si>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</si>
  <si>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</si>
  <si>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</si>
  <si>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</si>
  <si>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</si>
  <si>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</si>
  <si>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</si>
  <si>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</si>
  <si>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</si>
  <si>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</si>
  <si>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</si>
  <si>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</si>
  <si>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</si>
  <si>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</si>
  <si>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</si>
  <si>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</si>
  <si>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</si>
  <si>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</si>
  <si>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</si>
  <si>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</si>
  <si>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</si>
  <si>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</si>
  <si>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</si>
  <si>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</si>
  <si>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</si>
  <si>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</si>
  <si>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</si>
  <si>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</si>
  <si>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</si>
  <si>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</si>
  <si>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</si>
  <si>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</si>
  <si>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</si>
  <si>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</si>
  <si>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</si>
  <si>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</si>
  <si>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</si>
  <si>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</si>
  <si>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</si>
  <si>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</si>
  <si>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</si>
  <si>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</si>
  <si>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</si>
  <si>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</si>
  <si>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</si>
  <si>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</si>
  <si>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</si>
  <si>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</si>
  <si>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</si>
  <si>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</si>
  <si>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</si>
  <si>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</si>
  <si>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</si>
  <si>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</si>
  <si>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</si>
  <si>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</si>
  <si>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</si>
  <si>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</si>
  <si>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</si>
  <si>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</si>
  <si>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</si>
  <si>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</si>
  <si>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</si>
  <si>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</si>
  <si>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</si>
  <si>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</si>
  <si>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</si>
  <si>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</si>
  <si>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</si>
  <si>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</si>
  <si>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</si>
  <si>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</si>
  <si>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</si>
  <si>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</si>
  <si>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</si>
  <si>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</si>
  <si>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</si>
  <si>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</si>
  <si>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</si>
  <si>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</si>
  <si>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</si>
  <si>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</si>
  <si>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</si>
  <si>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</si>
  <si>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</si>
  <si>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</si>
  <si>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</si>
  <si>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</si>
  <si>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</si>
  <si>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</si>
  <si>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</si>
  <si>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</si>
  <si>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</si>
  <si>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</si>
  <si>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</si>
  <si>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</si>
  <si>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</si>
  <si>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</si>
  <si>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</si>
  <si>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</si>
  <si>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</si>
  <si>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</si>
  <si>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</si>
  <si>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</si>
  <si>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</si>
  <si>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</si>
  <si>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</si>
  <si>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</si>
  <si>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</si>
  <si>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</si>
  <si>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</si>
  <si>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</si>
  <si>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</si>
  <si>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</si>
  <si>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</si>
  <si>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</si>
  <si>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</si>
  <si>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</si>
  <si>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</si>
  <si>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</si>
  <si>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</si>
  <si>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</si>
  <si>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</si>
  <si>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</si>
  <si>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</si>
  <si>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</si>
  <si>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</si>
  <si>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</si>
  <si>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</si>
  <si>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</si>
  <si>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</si>
  <si>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</si>
  <si>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</si>
  <si>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</si>
  <si>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</si>
  <si>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</si>
  <si>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</si>
  <si>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</si>
  <si>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</si>
  <si>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</si>
  <si>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</si>
  <si>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</si>
  <si>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</si>
  <si>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</si>
  <si>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</si>
  <si>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</si>
  <si>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</si>
  <si>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</si>
  <si>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</si>
  <si>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</si>
  <si>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</si>
  <si>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</si>
  <si>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</si>
  <si>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</si>
  <si>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</si>
  <si>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</si>
  <si>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</si>
  <si>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</si>
  <si>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</si>
  <si>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</si>
  <si>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</si>
  <si>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</si>
  <si>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</si>
  <si>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</si>
  <si>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</si>
  <si>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</si>
  <si>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</si>
  <si>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</si>
  <si>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</si>
  <si>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</si>
  <si>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</si>
  <si>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</si>
  <si>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</si>
  <si>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</si>
  <si>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</si>
  <si>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</si>
  <si>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</si>
  <si>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</si>
  <si>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</si>
  <si>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</si>
  <si>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</si>
  <si>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</si>
  <si>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</si>
  <si>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</si>
  <si>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</si>
  <si>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</si>
  <si>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</si>
  <si>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</si>
  <si>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</si>
  <si>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</si>
  <si>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</si>
  <si>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</si>
  <si>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</si>
  <si>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</si>
  <si>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</si>
  <si>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</si>
  <si>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</si>
  <si>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</si>
  <si>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</si>
  <si>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</si>
  <si>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</si>
  <si>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</si>
  <si>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</si>
  <si>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</si>
  <si>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</si>
  <si>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</si>
  <si>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</si>
  <si>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</si>
  <si>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</si>
  <si>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</si>
  <si>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</si>
  <si>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</si>
  <si>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</si>
  <si>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</si>
  <si>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</si>
  <si>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</si>
  <si>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</si>
  <si>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</si>
  <si>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</si>
  <si>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</si>
  <si>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</si>
  <si>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</si>
  <si>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</si>
  <si>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</si>
  <si>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</si>
  <si>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</si>
  <si>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</si>
  <si>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</si>
  <si>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</si>
  <si>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</si>
  <si>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</si>
  <si>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</si>
  <si>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</si>
  <si>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</si>
  <si>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</si>
  <si>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</si>
  <si>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</si>
  <si>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</si>
  <si>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</si>
  <si>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</si>
  <si>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</si>
  <si>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</si>
  <si>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</si>
  <si>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</si>
  <si>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</si>
  <si>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</si>
  <si>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</si>
  <si>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</si>
  <si>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</si>
  <si>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</si>
  <si>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</si>
  <si>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</si>
  <si>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</si>
  <si>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</si>
  <si>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</si>
  <si>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</si>
  <si>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</si>
  <si>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</si>
  <si>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</si>
  <si>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</si>
  <si>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</si>
  <si>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</si>
  <si>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</si>
  <si>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</si>
  <si>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</si>
  <si>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</si>
  <si>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</si>
  <si>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</si>
  <si>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</si>
  <si>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</si>
  <si>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</si>
  <si>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</si>
  <si>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</si>
  <si>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</si>
  <si>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</si>
  <si>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</si>
  <si>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</si>
  <si>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</si>
  <si>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</si>
  <si>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</si>
  <si>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</si>
  <si>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</si>
  <si>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</si>
  <si>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</si>
  <si>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</si>
  <si>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</si>
  <si>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</si>
  <si>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</si>
  <si>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</si>
  <si>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</si>
  <si>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</si>
  <si>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</si>
  <si>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</si>
  <si>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</si>
  <si>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</si>
  <si>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</si>
  <si>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</si>
  <si>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</si>
  <si>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</si>
  <si>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</si>
  <si>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</si>
  <si>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</si>
  <si>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</si>
  <si>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</si>
  <si>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</si>
  <si>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</si>
  <si>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</si>
  <si>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</si>
  <si>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</si>
  <si>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</si>
  <si>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</si>
  <si>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</si>
  <si>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</si>
  <si>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</si>
  <si>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</si>
  <si>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</si>
  <si>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</si>
  <si>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</si>
  <si>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</si>
  <si>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</si>
  <si>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</si>
  <si>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</si>
  <si>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</si>
  <si>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</si>
  <si>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</si>
  <si>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</si>
  <si>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</si>
  <si>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</si>
  <si>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</si>
  <si>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NEREA FRAILE</t>
  </si>
  <si>
    <t>C:\Users\nerea.fraile\EUROLEAGUE\EB STATS - Documents\General\SEASON 2025-26\Reports\Euroleague\PDF</t>
  </si>
  <si>
    <t>C:\Users\nerea.fraile\EUROLEAGUE\EB STATS - Documents\General\SEASON 2025-26\Reports\Euroleague</t>
  </si>
  <si>
    <t>MIKA KINDELMANN</t>
  </si>
  <si>
    <t>HUBERT KRAGLER</t>
  </si>
  <si>
    <t>ROBERT BAYERER</t>
  </si>
  <si>
    <t>08:19</t>
  </si>
  <si>
    <t>01:52</t>
  </si>
  <si>
    <t>07:06</t>
  </si>
  <si>
    <t>Very good job! Pity about the mistake in the Coach Challenge. Very good overall job throughout the game.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</si>
</sst>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19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19_187_MUN_TEL_E2025</v>
      </c>
      <c r="G1" s="5"/>
      <c r="H1" s="5"/>
      <c r="I1" s="5"/>
      <c r="J1" s="8" t="s">
        <v>707</v>
      </c>
      <c r="K1" s="121" t="s">
        <v>751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187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46024.875</v>
      </c>
      <c r="C3" s="157"/>
      <c r="D3" s="39">
        <v>592</v>
      </c>
      <c r="E3" s="29"/>
      <c r="F3" s="26">
        <f>SUBTOTAL(3,I17:I106)</f>
        <v>3</v>
      </c>
      <c r="G3" s="27">
        <f>IF(OR(D3="",D3=0),"",F3/D3)</f>
        <v>5.0675675675675678E-3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FC Bayern Munich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MUN</v>
      </c>
      <c r="I4" s="5"/>
      <c r="J4" s="119" t="s">
        <v>714</v>
      </c>
      <c r="K4" s="54" t="s">
        <v>742</v>
      </c>
      <c r="L4" s="5"/>
      <c r="M4" s="167" t="s">
        <v>758</v>
      </c>
      <c r="N4" s="168"/>
      <c r="O4" s="2"/>
      <c r="P4" s="2"/>
      <c r="Q4" s="84" t="s">
        <v>175</v>
      </c>
      <c r="R4" s="94">
        <f>(IF(G3="",0,G3))</f>
        <v>5.0675675675675678E-3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1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Maccabi Rapyd Tel Aviv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TEL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0.5067567567567568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10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723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11.506756756756756</v>
      </c>
      <c r="N7" s="58"/>
      <c r="O7" s="2"/>
      <c r="P7" s="2"/>
      <c r="Q7" s="86">
        <f>SUM(R5,S5,AC16)</f>
        <v>11.506756756756756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11.506756756756756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727</v>
      </c>
      <c r="E9" s="179"/>
      <c r="F9" s="179"/>
      <c r="G9" s="180"/>
      <c r="H9" s="130" t="str">
        <f>VLOOKUP($H$4,Teams!$B$3:$O$44,3,FALSE)</f>
        <v>SEBASTIAN BLANZ</v>
      </c>
      <c r="I9" s="130" t="str">
        <f>VLOOKUP($H$4,Teams!$B$3:$O$44,3,FALSE)</f>
        <v>SEBASTIAN BLANZ</v>
      </c>
      <c r="J9" s="130" t="str">
        <f>VLOOKUP($H$4,Teams!$B$3:$O$44,5,FALSE)</f>
        <v>THOMAS ROEHLICH</v>
      </c>
      <c r="K9" s="130" t="str">
        <f>VLOOKUP($H$4,Teams!$B$3:$O$44,6,FALSE)</f>
        <v>JURGEN JOST</v>
      </c>
      <c r="L9" s="130" t="str">
        <f>VLOOKUP($H$4,Teams!$B$3:$O$44,7,FALSE)</f>
        <v>ANDREAS GREPPMAYR</v>
      </c>
      <c r="M9" s="131" t="str">
        <f>VLOOKUP($H$4,Teams!$B$3:$O$44,8,FALSE)</f>
        <v>ROBERT TAVASZI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754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">
        <v>728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187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3</v>
      </c>
      <c r="J15" s="24">
        <f>SUBTOTAL(3,J17:J106)</f>
        <v>3</v>
      </c>
      <c r="K15" s="24">
        <f>SUBTOTAL(3,K17:K106)</f>
        <v>3</v>
      </c>
      <c r="L15" s="24">
        <f>SUBTOTAL(3,L17:L106)</f>
        <v>3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3</v>
      </c>
      <c r="Z16" s="90" t="s">
        <v>110</v>
      </c>
      <c r="AA16" s="75">
        <f>SUM(AA17:AA24)</f>
        <v>3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3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187</v>
      </c>
      <c r="D17" s="32" t="s">
        <v>755</v>
      </c>
      <c r="E17" s="33">
        <v>1</v>
      </c>
      <c r="F17" s="36">
        <v>7</v>
      </c>
      <c r="G17" s="36">
        <v>5</v>
      </c>
      <c r="H17" s="38" t="str">
        <f>IF(I17="","",$I$14)</f>
        <v>SCOUTING</v>
      </c>
      <c r="I17" s="34">
        <v>26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0</v>
      </c>
      <c r="AB17" s="66" t="s">
        <v>19</v>
      </c>
      <c r="AC17" s="61">
        <f t="shared" ref="AC17:AC29" si="5">COUNTIF($L$17:$L$106,AB17)</f>
        <v>1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2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187</v>
      </c>
      <c r="D18" s="32" t="s">
        <v>756</v>
      </c>
      <c r="E18" s="33">
        <v>1</v>
      </c>
      <c r="F18" s="36">
        <v>23</v>
      </c>
      <c r="G18" s="36">
        <v>18</v>
      </c>
      <c r="H18" s="38" t="str">
        <f t="shared" ref="H18:H81" si="8">IF(I18="","",$I$14)</f>
        <v>SCOUTING</v>
      </c>
      <c r="I18" s="34">
        <v>134</v>
      </c>
      <c r="J18" s="13" t="s">
        <v>4</v>
      </c>
      <c r="K18" s="13" t="s">
        <v>62</v>
      </c>
      <c r="L18" s="13" t="s">
        <v>5</v>
      </c>
      <c r="M18" s="13" t="s">
        <v>27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1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E2025</v>
      </c>
      <c r="C19" s="31">
        <f t="shared" si="3"/>
        <v>187</v>
      </c>
      <c r="D19" s="32" t="s">
        <v>757</v>
      </c>
      <c r="E19" s="33">
        <v>4</v>
      </c>
      <c r="F19" s="36">
        <v>78</v>
      </c>
      <c r="G19" s="36">
        <v>60</v>
      </c>
      <c r="H19" s="38" t="str">
        <f t="shared" si="8"/>
        <v>SCOUTING</v>
      </c>
      <c r="I19" s="34">
        <v>494</v>
      </c>
      <c r="J19" s="13" t="s">
        <v>3</v>
      </c>
      <c r="K19" s="13" t="s">
        <v>61</v>
      </c>
      <c r="L19" s="13" t="s">
        <v>19</v>
      </c>
      <c r="M19" s="13" t="s">
        <v>19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1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1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1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1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REPORT_E2025187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"E2025187"</v>
      </c>
      <c r="F3" s="45" t="str">
        <f t="shared" ref="F3:F16" si="0">""""&amp;B3&amp;"""" &amp; " : " &amp;C3&amp;","</f>
        <v>"name" : "E2025187",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"E187"</v>
      </c>
      <c r="F4" s="45" t="str">
        <f t="shared" si="0"/>
        <v>"cod" : "E187",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187</v>
      </c>
      <c r="F6" s="45" t="str">
        <f t="shared" si="0"/>
        <v>"number" : 187,</v>
      </c>
    </row>
    <row r="7" spans="2:6" x14ac:dyDescent="0.25">
      <c r="B7" s="43" t="s">
        <v>116</v>
      </c>
      <c r="C7" s="43" t="str">
        <f ca="1">""""&amp;TEXT('SCOUT &amp; LOGISTICS'!B3,"dd/mm/aaaa")&amp;""""</f>
        <v>"02/01/Friday"</v>
      </c>
      <c r="F7" s="45" t="str">
        <f t="shared" ca="1" si="0"/>
        <v>"date" : "02/01/Friday",</v>
      </c>
    </row>
    <row r="8" spans="2:6" x14ac:dyDescent="0.25">
      <c r="B8" s="43" t="s">
        <v>125</v>
      </c>
      <c r="C8" s="43" t="str">
        <f>""""&amp;'SCOUT &amp; LOGISTICS'!D4 &amp;""""</f>
        <v>"FC Bayern Munich"</v>
      </c>
      <c r="F8" s="45" t="str">
        <f t="shared" si="0"/>
        <v>"home_team" : "FC Bayern Munich",</v>
      </c>
    </row>
    <row r="9" spans="2:6" x14ac:dyDescent="0.25">
      <c r="B9" s="43" t="s">
        <v>126</v>
      </c>
      <c r="C9" s="43" t="str">
        <f>""""&amp;'SCOUT &amp; LOGISTICS'!D5&amp;""""</f>
        <v>"Maccabi Rapyd Tel Aviv"</v>
      </c>
      <c r="F9" s="45" t="str">
        <f t="shared" si="0"/>
        <v>"away_team" : "Maccabi Rapyd Tel Aviv",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"SEBASTIAN BLANZ"</v>
      </c>
      <c r="F10" s="45" t="str">
        <f t="shared" si="0"/>
        <v>"Data_entry" : "SEBASTIAN BLANZ",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"MIKA KINDELMANN"</v>
      </c>
      <c r="F11" s="45" t="str">
        <f t="shared" si="0"/>
        <v>"Caller_1" : "MIKA KINDELMANN",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"HUBERT KRAGLER"</v>
      </c>
      <c r="F12" s="45" t="str">
        <f t="shared" si="0"/>
        <v>"Caller_2" : "HUBERT KRAGLER",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"ANDREAS GREPPMAYR"</v>
      </c>
      <c r="F13" s="45" t="str">
        <f t="shared" si="0"/>
        <v>"Timerkeeper" : "ANDREAS GREPPMAYR",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"ROBERT BAYERER"</v>
      </c>
      <c r="F14" s="45" t="str">
        <f t="shared" si="0"/>
        <v>"Shotclock" : "ROBERT BAYERER",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"ROBERT TAVASZI"</v>
      </c>
      <c r="F15" s="45" t="str">
        <f t="shared" si="0"/>
        <v>"IRS" : "ROBERT TAVASZI",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"NEREA FRAILE"</v>
      </c>
      <c r="F16" s="45" t="str">
        <f t="shared" si="0"/>
        <v>"Live_Game_Manager" : "NEREA FRAILE",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592</v>
      </c>
      <c r="F25" s="45" t="str">
        <f t="shared" ref="F25:F48" si="1">""""&amp;C25&amp;"""" &amp; " : " &amp;D25&amp;","</f>
        <v>"total_actions" : 592,</v>
      </c>
    </row>
    <row r="26" spans="2:6" x14ac:dyDescent="0.25">
      <c r="C26" s="43" t="s">
        <v>132</v>
      </c>
      <c r="D26" s="43">
        <f>'SCOUT &amp; LOGISTICS'!F3</f>
        <v>3</v>
      </c>
      <c r="F26" s="45" t="str">
        <f t="shared" si="1"/>
        <v>"total_correcions" : 3,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0</v>
      </c>
      <c r="F28" s="45" t="str">
        <f t="shared" si="1"/>
        <v>"home_team" : 0,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1</v>
      </c>
      <c r="F30" s="45" t="str">
        <f t="shared" si="1"/>
        <v>"away_team" : 1,</v>
      </c>
    </row>
    <row r="31" spans="2:6" x14ac:dyDescent="0.25">
      <c r="C31" s="43" t="s">
        <v>135</v>
      </c>
      <c r="D31" s="43">
        <f>'SCOUT &amp; LOGISTICS'!AG17</f>
        <v>2</v>
      </c>
      <c r="F31" s="45" t="str">
        <f t="shared" si="1"/>
        <v>"q1" : 2,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1</v>
      </c>
      <c r="F34" s="45" t="str">
        <f t="shared" si="1"/>
        <v>"q4" : 1,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1</v>
      </c>
      <c r="F36" s="45" t="str">
        <f t="shared" si="1"/>
        <v>"boxscore_corrections" : 1,</v>
      </c>
    </row>
    <row r="37" spans="3:6" x14ac:dyDescent="0.25">
      <c r="C37" s="43" t="s">
        <v>140</v>
      </c>
      <c r="D37" s="43">
        <f>'SCOUT &amp; LOGISTICS'!Y16</f>
        <v>3</v>
      </c>
      <c r="F37" s="45" t="str">
        <f t="shared" si="1"/>
        <v>"scoresheet_corrections" : 3,</v>
      </c>
    </row>
    <row r="38" spans="3:6" x14ac:dyDescent="0.25">
      <c r="C38" s="43" t="s">
        <v>141</v>
      </c>
      <c r="D38" s="43">
        <f>'SCOUT &amp; LOGISTICS'!AC17</f>
        <v>1</v>
      </c>
      <c r="F38" s="45" t="str">
        <f t="shared" si="1"/>
        <v>"criteria" : 1,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1</v>
      </c>
      <c r="F43" s="45" t="str">
        <f t="shared" si="1"/>
        <v>"coach_challenge" : 1,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"Very good job! Pity about the mistake in the Coach Challenge. Very good overall job throughout the game."</v>
      </c>
      <c r="F51" s="45" t="str">
        <f>""""&amp;B51&amp;"""" &amp; " : " &amp;C51&amp;","</f>
        <v>"comments" : "Very good job! Pity about the mistake in the Coach Challenge. Very good overall job throughout the game.",</v>
      </c>
    </row>
    <row r="52" spans="2:6" x14ac:dyDescent="0.25">
      <c r="B52" s="43" t="s">
        <v>153</v>
      </c>
      <c r="C52" s="43" t="str">
        <f>TEXT('SCOUT &amp; LOGISTICS'!F1,"0,0")</f>
        <v>19_187_MUN_TEL_E2025</v>
      </c>
      <c r="F52" s="45" t="str">
        <f>""""&amp;B52&amp;"""" &amp; " : " &amp;C52</f>
        <v>"result" : 19_187_MUN_TEL_E2025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E187 (EUROLEAGUE)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02/01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Fc Bayern Munich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Maccabi Rapyd Tel Aviv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SEBASTIAN BLANZ</v>
      </c>
      <c r="C8" s="206"/>
      <c r="D8" s="206"/>
      <c r="E8" s="206"/>
      <c r="F8" s="206"/>
      <c r="G8" s="206" t="str">
        <f>IF('SCOUT &amp; LOGISTICS'!D7="","",'SCOUT &amp; LOGISTICS'!D7)</f>
        <v>MIKA KINDELMANN</v>
      </c>
      <c r="H8" s="206"/>
      <c r="I8" s="206"/>
      <c r="J8" s="206"/>
      <c r="K8" s="206"/>
      <c r="L8" s="206" t="str">
        <f>IF('SCOUT &amp; LOGISTICS'!D8="","",'SCOUT &amp; LOGISTICS'!D8)</f>
        <v>HUBERT KRAGLER</v>
      </c>
      <c r="M8" s="206"/>
      <c r="N8" s="206"/>
      <c r="O8" s="206"/>
      <c r="P8" s="206"/>
      <c r="Q8" s="206" t="str">
        <f>IF('SCOUT &amp; LOGISTICS'!D9="","",'SCOUT &amp; LOGISTICS'!D9)</f>
        <v>ANDREAS GREPPMAYR</v>
      </c>
      <c r="R8" s="206"/>
      <c r="S8" s="206"/>
      <c r="T8" s="206"/>
      <c r="U8" s="206"/>
      <c r="V8" s="206" t="str">
        <f>IF('SCOUT &amp; LOGISTICS'!D10="","",'SCOUT &amp; LOGISTICS'!D10)</f>
        <v>ROBERT BAYERER</v>
      </c>
      <c r="W8" s="206"/>
      <c r="X8" s="206"/>
      <c r="Y8" s="206"/>
      <c r="Z8" s="206"/>
      <c r="AA8" s="206" t="str">
        <f>IF('SCOUT &amp; LOGISTICS'!D11="","",'SCOUT &amp; LOGISTICS'!D11)</f>
        <v>ROBERT TAVASZI</v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NEREA FRAILE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592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3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5.0675675675675678E-3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0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1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2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1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1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2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1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Very good job! Pity about the mistake in the Coach Challenge. Very good overall job throughout the game.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11.506756756756756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F4C82D61-9EE3-43FE-9BA6-F87D0286DF8F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Nerea Fraile</cp:lastModifiedBy>
  <cp:lastPrinted>2026-01-07T16:36:54Z</cp:lastPrinted>
  <dcterms:created xsi:type="dcterms:W3CDTF">2023-09-19T19:50:35Z</dcterms:created>
  <dcterms:modified xsi:type="dcterms:W3CDTF">2026-01-07T16:36:55Z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