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0" documentId="8_{A5F2DCB8-3EA7-48BB-AB1D-EA94BE654473}" xr6:coauthVersionLast="47" xr6:coauthVersionMax="47" xr10:uidLastSave="{D7DD6B93-C5EE-4554-80FB-8DEDA8EA819F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<sst xmlns="http://schemas.openxmlformats.org/spreadsheetml/2006/main" count="3321" uniqueCount="828">
  <si>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</si>
  <si>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</si>
  <si>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</si>
  <si>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</si>
  <si>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</si>
  <si>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</si>
  <si>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</si>
  <si>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</si>
  <si>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</si>
  <si>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</si>
  <si>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</si>
  <si>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</si>
  <si>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</si>
  <si>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</si>
  <si>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</si>
  <si>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</si>
  <si>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</si>
  <si>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</si>
  <si>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</si>
  <si>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</si>
  <si>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</si>
  <si>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</si>
  <si>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</si>
  <si>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</si>
  <si>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</si>
  <si>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</si>
  <si>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</si>
  <si>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</si>
  <si>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</si>
  <si>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</si>
  <si>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</si>
  <si>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</si>
  <si>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</si>
  <si>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</si>
  <si>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</si>
  <si>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</si>
  <si>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</si>
  <si>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</si>
  <si>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</si>
  <si>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</si>
  <si>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</si>
  <si>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</si>
  <si>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</si>
  <si>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</si>
  <si>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</si>
  <si>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</si>
  <si>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</si>
  <si>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</si>
  <si>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</si>
  <si>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</si>
  <si>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</si>
  <si>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</si>
  <si>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</si>
  <si>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</si>
  <si>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</si>
  <si>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</si>
  <si>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</si>
  <si>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</si>
  <si>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</si>
  <si>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</si>
  <si>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</si>
  <si>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</si>
  <si>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</si>
  <si>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</si>
  <si>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</si>
  <si>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</si>
  <si>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</si>
  <si>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</si>
  <si>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</si>
  <si>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</si>
  <si>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</si>
  <si>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</si>
  <si>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</si>
  <si>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</si>
  <si>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</si>
  <si>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</si>
  <si>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</si>
  <si>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</si>
  <si>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</si>
  <si>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</si>
  <si>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</si>
  <si>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</si>
  <si>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</si>
  <si>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</si>
  <si>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</si>
  <si>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</si>
  <si>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</si>
  <si>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</si>
  <si>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</si>
  <si>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</si>
  <si>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</si>
  <si>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</si>
  <si>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</si>
  <si>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</si>
  <si>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</si>
  <si>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</si>
  <si>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</si>
  <si>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</si>
  <si>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</si>
  <si>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</si>
  <si>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</si>
  <si>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</si>
  <si>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</si>
  <si>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</si>
  <si>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</si>
  <si>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</si>
  <si>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</si>
  <si>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</si>
  <si>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</si>
  <si>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</si>
  <si>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</si>
  <si>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</si>
  <si>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</si>
  <si>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</si>
  <si>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</si>
  <si>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</si>
  <si>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</si>
  <si>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</si>
  <si>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</si>
  <si>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</si>
  <si>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</si>
  <si>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</si>
  <si>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</si>
  <si>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</si>
  <si>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</si>
  <si>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</si>
  <si>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</si>
  <si>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</si>
  <si>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</si>
  <si>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</si>
  <si>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</si>
  <si>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</si>
  <si>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</si>
  <si>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</si>
  <si>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</si>
  <si>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</si>
  <si>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</si>
  <si>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</si>
  <si>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</si>
  <si>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</si>
  <si>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</si>
  <si>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</si>
  <si>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</si>
  <si>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</si>
  <si>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</si>
  <si>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</si>
  <si>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</si>
  <si>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</si>
  <si>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</si>
  <si>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</si>
  <si>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</si>
  <si>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</si>
  <si>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</si>
  <si>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</si>
  <si>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</si>
  <si>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</si>
  <si>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</si>
  <si>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</si>
  <si>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</si>
  <si>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</si>
  <si>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</si>
  <si>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</si>
  <si>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</si>
  <si>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</si>
  <si>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</si>
  <si>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</si>
  <si>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</si>
  <si>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</si>
  <si>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</si>
  <si>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</si>
  <si>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</si>
  <si>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</si>
  <si>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</si>
  <si>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</si>
  <si>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</si>
  <si>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</si>
  <si>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</si>
  <si>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</si>
  <si>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</si>
  <si>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</si>
  <si>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</si>
  <si>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</si>
  <si>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</si>
  <si>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</si>
  <si>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</si>
  <si>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</si>
  <si>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</si>
  <si>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</si>
  <si>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</si>
  <si>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</si>
  <si>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</si>
  <si>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</si>
  <si>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</si>
  <si>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</si>
  <si>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</si>
  <si>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</si>
  <si>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</si>
  <si>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</si>
  <si>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</si>
  <si>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</si>
  <si>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</si>
  <si>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</si>
  <si>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</si>
  <si>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</si>
  <si>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</si>
  <si>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</si>
  <si>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</si>
  <si>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</si>
  <si>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</si>
  <si>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</si>
  <si>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</si>
  <si>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</si>
  <si>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</si>
  <si>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</si>
  <si>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</si>
  <si>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</si>
  <si>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</si>
  <si>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</si>
  <si>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</si>
  <si>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</si>
  <si>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</si>
  <si>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</si>
  <si>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</si>
  <si>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</si>
  <si>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</si>
  <si>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</si>
  <si>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</si>
  <si>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</si>
  <si>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</si>
  <si>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</si>
  <si>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</si>
  <si>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</si>
  <si>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</si>
  <si>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</si>
  <si>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</si>
  <si>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</si>
  <si>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</si>
  <si>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</si>
  <si>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</si>
  <si>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</si>
  <si>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</si>
  <si>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</si>
  <si>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</si>
  <si>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</si>
  <si>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</si>
  <si>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</si>
  <si>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</si>
  <si>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</si>
  <si>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</si>
  <si>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</si>
  <si>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</si>
  <si>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</si>
  <si>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</si>
  <si>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</si>
  <si>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</si>
  <si>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</si>
  <si>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</si>
  <si>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</si>
  <si>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</si>
  <si>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</si>
  <si>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</si>
  <si>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</si>
  <si>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</si>
  <si>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</si>
  <si>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</si>
  <si>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</si>
  <si>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</si>
  <si>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</si>
  <si>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</si>
  <si>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</si>
  <si>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</si>
  <si>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</si>
  <si>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</si>
  <si>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</si>
  <si>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</si>
  <si>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</si>
  <si>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</si>
  <si>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</si>
  <si>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</si>
  <si>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</si>
  <si>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</si>
  <si>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</si>
  <si>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</si>
  <si>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</si>
  <si>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</si>
  <si>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</si>
  <si>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</si>
  <si>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</si>
  <si>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</si>
  <si>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</si>
  <si>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</si>
  <si>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</si>
  <si>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</si>
  <si>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</si>
  <si>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</si>
  <si>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</si>
  <si>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</si>
  <si>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</si>
  <si>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</si>
  <si>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</si>
  <si>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</si>
  <si>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</si>
  <si>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</si>
  <si>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</si>
  <si>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</si>
  <si>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</si>
  <si>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</si>
  <si>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</si>
  <si>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</si>
  <si>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</si>
  <si>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</si>
  <si>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</si>
  <si>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</si>
  <si>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</si>
  <si>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</si>
  <si>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</si>
  <si>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</si>
  <si>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</si>
  <si>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</si>
  <si>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</si>
  <si>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</si>
  <si>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</si>
  <si>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</si>
  <si>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</si>
  <si>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</si>
  <si>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</si>
  <si>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</si>
  <si>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</si>
  <si>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</si>
  <si>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</si>
  <si>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</si>
  <si>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</si>
  <si>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</si>
  <si>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</si>
  <si>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</si>
  <si>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</si>
  <si>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</si>
  <si>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</si>
  <si>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</si>
  <si>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</si>
  <si>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</si>
  <si>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</si>
  <si>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</si>
  <si>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</si>
  <si>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</si>
  <si>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</si>
  <si>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</si>
  <si>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</si>
  <si>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</si>
  <si>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</si>
  <si>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</si>
  <si>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</si>
  <si>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</si>
  <si>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</si>
  <si>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</si>
  <si>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</si>
  <si>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</si>
  <si>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</si>
  <si>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</si>
  <si>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</si>
  <si>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</si>
  <si>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</si>
  <si>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</si>
  <si>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</si>
  <si>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</si>
  <si>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</si>
  <si>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</si>
  <si>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</si>
  <si>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</si>
  <si>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</si>
  <si>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</si>
  <si>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</si>
  <si>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</si>
  <si>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</si>
  <si>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</si>
  <si>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</si>
  <si>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</si>
  <si>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</si>
  <si>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</si>
  <si>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</si>
  <si>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</si>
  <si>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</si>
  <si>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</si>
  <si>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</si>
  <si>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</si>
  <si>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</si>
  <si>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</si>
  <si>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</si>
  <si>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</si>
  <si>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</si>
  <si>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</si>
  <si>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</si>
  <si>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</si>
  <si>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</si>
  <si>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</si>
  <si>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</si>
  <si>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</si>
  <si>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</si>
  <si>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</si>
  <si>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</si>
  <si>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</si>
  <si>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</si>
  <si>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</si>
  <si>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</si>
  <si>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</si>
  <si>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</si>
  <si>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</si>
  <si>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</si>
  <si>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</si>
  <si>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</si>
  <si>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</si>
  <si>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</si>
  <si>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</si>
  <si>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</si>
  <si>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</si>
  <si>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</si>
  <si>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</si>
  <si>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</si>
  <si>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</si>
  <si>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</si>
  <si>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</si>
  <si>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</si>
  <si>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</si>
  <si>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</si>
  <si>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</si>
  <si>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</si>
  <si>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</si>
  <si>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</si>
  <si>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</si>
  <si>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</si>
  <si>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</si>
  <si>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</si>
  <si>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</si>
  <si>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</si>
  <si>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</si>
  <si>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</si>
  <si>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</si>
  <si>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</si>
  <si>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</si>
  <si>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</si>
  <si>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</si>
  <si>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</si>
  <si>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</si>
  <si>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</si>
  <si>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</si>
  <si>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</si>
  <si>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</si>
  <si>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</si>
  <si>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</si>
  <si>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</si>
  <si>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</si>
  <si>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</si>
  <si>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</si>
  <si>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</si>
  <si>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</si>
  <si>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</si>
  <si>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</si>
  <si>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</si>
  <si>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</si>
  <si>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</si>
  <si>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</si>
  <si>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</si>
  <si>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</si>
  <si>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</si>
  <si>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</si>
  <si>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</si>
  <si>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</si>
  <si>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</si>
  <si>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</si>
  <si>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</si>
  <si>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</si>
  <si>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</si>
  <si>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</si>
  <si>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</si>
  <si>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</si>
  <si>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</si>
  <si>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</si>
  <si>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</si>
  <si>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</si>
  <si>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</si>
  <si>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</si>
  <si>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</si>
  <si>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</si>
  <si>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</si>
  <si>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</si>
  <si>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</si>
  <si>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</si>
  <si>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</si>
  <si>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</si>
  <si>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</si>
  <si>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</si>
  <si>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</si>
  <si>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</si>
  <si>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</si>
  <si>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</si>
  <si>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</si>
  <si>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</si>
  <si>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</si>
  <si>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</si>
  <si>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</si>
  <si>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</si>
  <si>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</si>
  <si>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</si>
  <si>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</si>
  <si>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</si>
  <si>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</si>
  <si>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</si>
  <si>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</si>
  <si>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</si>
  <si>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</si>
  <si>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</si>
  <si>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</si>
  <si>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</si>
  <si>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</si>
  <si>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</si>
  <si>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</si>
  <si>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</si>
  <si>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</si>
  <si>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</si>
  <si>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</si>
  <si>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</si>
  <si>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</si>
  <si>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</si>
  <si>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</si>
  <si>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</si>
  <si>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</si>
  <si>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</si>
  <si>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</si>
  <si>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</si>
  <si>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</si>
  <si>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</si>
  <si>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</si>
  <si>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</si>
  <si>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</si>
  <si>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</si>
  <si>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</si>
  <si>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</si>
  <si>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</si>
  <si>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</si>
  <si>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</si>
  <si>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</si>
  <si>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</si>
  <si>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</si>
  <si>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</si>
  <si>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</si>
  <si>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</si>
  <si>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</si>
  <si>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</si>
  <si>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</si>
  <si>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</si>
  <si>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</si>
  <si>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</si>
  <si>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</si>
  <si>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</si>
  <si>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</si>
  <si>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</si>
  <si>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</si>
  <si>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</si>
  <si>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</si>
  <si>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</si>
  <si>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</si>
  <si>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</si>
  <si>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</si>
  <si>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</si>
  <si>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</si>
  <si>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</si>
  <si>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</si>
  <si>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</si>
  <si>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</si>
  <si>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</si>
  <si>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</si>
  <si>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</si>
  <si>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</si>
  <si>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</si>
  <si>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</si>
  <si>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</si>
  <si>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</si>
  <si>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</si>
  <si>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</si>
  <si>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</si>
  <si>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</si>
  <si>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</si>
  <si>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</si>
  <si>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</si>
  <si>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</si>
  <si>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</si>
  <si>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</si>
  <si>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</si>
  <si>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</si>
  <si>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</si>
  <si>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</si>
  <si>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</si>
  <si>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</si>
  <si>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</si>
  <si>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</si>
  <si>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</si>
  <si>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</si>
  <si>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</si>
  <si>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</si>
  <si>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</si>
  <si>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</si>
  <si>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</si>
  <si>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</si>
  <si>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</si>
  <si>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</si>
  <si>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</si>
  <si>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</si>
  <si>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</si>
  <si>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</si>
  <si>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</si>
  <si>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</si>
  <si>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</si>
  <si>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</si>
  <si>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</si>
  <si>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</si>
  <si>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</si>
  <si>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</si>
  <si>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</si>
  <si>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</si>
  <si>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</si>
  <si>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</si>
  <si>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</si>
  <si>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</si>
  <si>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</si>
  <si>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</si>
  <si>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</si>
  <si>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</si>
  <si>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</si>
  <si>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</si>
  <si>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</si>
  <si>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</si>
  <si>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</si>
  <si>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</si>
  <si>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</si>
  <si>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</si>
  <si>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</si>
  <si>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</si>
  <si>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</si>
  <si>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</si>
  <si>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</si>
  <si>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</si>
  <si>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</si>
  <si>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</si>
  <si>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</si>
  <si>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</si>
  <si>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</si>
  <si>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</si>
  <si>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</si>
  <si>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</si>
  <si>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</si>
  <si>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</si>
  <si>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</si>
  <si>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</si>
  <si>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</si>
  <si>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</si>
  <si>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</si>
  <si>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</si>
  <si>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</si>
  <si>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</si>
  <si>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</si>
  <si>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</si>
  <si>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</si>
  <si>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</si>
  <si>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</si>
  <si>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</si>
  <si>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</si>
  <si>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</si>
  <si>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</si>
  <si>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</si>
  <si>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</si>
  <si>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</si>
  <si>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</si>
  <si>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</si>
  <si>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</si>
  <si>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</si>
  <si>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</si>
  <si>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</si>
  <si>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</si>
  <si>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</si>
  <si>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</si>
  <si>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</si>
  <si>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</si>
  <si>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</si>
  <si>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</si>
  <si>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</si>
  <si>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</si>
  <si>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</si>
  <si>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</si>
  <si>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</si>
  <si>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</si>
  <si>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</si>
  <si>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</si>
  <si>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</si>
  <si>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</si>
  <si>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</si>
  <si>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</si>
  <si>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</si>
  <si>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</si>
  <si>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</si>
  <si>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</si>
  <si>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</si>
  <si>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</si>
  <si>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</si>
  <si>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</si>
  <si>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</si>
  <si>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</si>
  <si>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</si>
  <si>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</si>
  <si>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</si>
  <si>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</si>
  <si>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</si>
  <si>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</si>
  <si>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</si>
  <si>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</si>
  <si>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</si>
  <si>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</si>
  <si>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</si>
  <si>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</si>
  <si>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</si>
  <si>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</si>
  <si>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</si>
  <si>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</si>
  <si>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</si>
  <si>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</si>
  <si>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</si>
  <si>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</si>
  <si>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</si>
  <si>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</si>
  <si>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</si>
  <si>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</si>
  <si>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</si>
  <si>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</si>
  <si>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</si>
  <si>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</si>
  <si>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</si>
  <si>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</si>
  <si>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</si>
  <si>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</si>
  <si>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</si>
  <si>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</si>
  <si>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</si>
  <si>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</si>
  <si>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</si>
  <si>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</si>
  <si>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</si>
  <si>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</si>
  <si>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</si>
  <si>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</si>
  <si>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</si>
  <si>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</si>
  <si>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</si>
  <si>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</si>
  <si>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</si>
  <si>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</si>
  <si>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</si>
  <si>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</si>
  <si>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</si>
  <si>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</si>
  <si>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</si>
  <si>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</si>
  <si>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</si>
  <si>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</si>
  <si>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</si>
  <si>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</si>
  <si>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</si>
  <si>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</si>
  <si>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</si>
  <si>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</si>
  <si>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</si>
  <si>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</si>
  <si>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</si>
  <si>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</si>
  <si>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</si>
  <si>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</si>
  <si>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</si>
  <si>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</si>
  <si>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</si>
  <si>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</si>
  <si>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</si>
  <si>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</si>
  <si>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</si>
  <si>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</si>
  <si>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</si>
  <si>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</si>
  <si>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</si>
  <si>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</si>
  <si>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</si>
  <si>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</si>
  <si>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</si>
  <si>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</si>
  <si>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</si>
  <si>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</si>
  <si>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</si>
  <si>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</si>
  <si>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</si>
  <si>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</si>
  <si>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</si>
  <si>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</si>
  <si>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</si>
  <si>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</si>
  <si>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</si>
  <si>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</si>
  <si>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</si>
  <si>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</si>
  <si>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</si>
  <si>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</si>
  <si>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</si>
  <si>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</si>
  <si>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</si>
  <si>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</si>
  <si>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</si>
  <si>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</si>
  <si>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</si>
  <si>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</si>
  <si>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</si>
  <si>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</si>
  <si>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</si>
  <si>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</si>
  <si>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</si>
  <si>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</si>
  <si>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</si>
  <si>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</si>
  <si>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</si>
  <si>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</si>
  <si>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</si>
  <si>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C:\Users\nerea.fraile\EUROLEAGUE\EB STATS - Documents\General\SEASON 2025-26\Reports\Eurocup\PDF</t>
  </si>
  <si>
    <t>C:\Users\nerea.fraile\EUROLEAGUE\EB STATS - Documents\General\SEASON 2025-26\Reports\Eurocup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</si>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</sst>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>
        <v>20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20_187_LOC_VIS_U2025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187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 t="s">
        <v>827</v>
      </c>
      <c r="C3" s="157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Local Team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LOC</v>
      </c>
      <c r="I4" s="5"/>
      <c r="J4" s="119" t="s">
        <v>714</v>
      </c>
      <c r="K4" s="54" t="s">
        <v>742</v>
      </c>
      <c r="L4" s="5"/>
      <c r="M4" s="167"/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Visitor Team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/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/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/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/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/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/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/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REPORT_U2025187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"U2025187"</v>
      </c>
      <c r="F3" s="45" t="str">
        <f t="shared" ref="F3:F16" si="0">""""&amp;B3&amp;"""" &amp; " : " &amp;C3&amp;","</f>
        <v>"name" : "U2025187",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"U187"</v>
      </c>
      <c r="F4" s="45" t="str">
        <f t="shared" si="0"/>
        <v>"cod" : "U187",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187</v>
      </c>
      <c r="F6" s="45" t="str">
        <f t="shared" si="0"/>
        <v>"number" : 187,</v>
      </c>
    </row>
    <row r="7" spans="2:6" x14ac:dyDescent="0.2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">
      <c r="B8" s="43" t="s">
        <v>125</v>
      </c>
      <c r="C8" s="43" t="str">
        <f>""""&amp;'SCOUT &amp; LOGISTICS'!D4 &amp;""""</f>
        <v>"Local Team"</v>
      </c>
      <c r="F8" s="45" t="str">
        <f t="shared" si="0"/>
        <v>"home_team" : "Local Team",</v>
      </c>
    </row>
    <row r="9" spans="2:6" x14ac:dyDescent="0.2">
      <c r="B9" s="43" t="s">
        <v>126</v>
      </c>
      <c r="C9" s="43" t="str">
        <f>""""&amp;'SCOUT &amp; LOGISTICS'!D5&amp;""""</f>
        <v>"Visitor Team"</v>
      </c>
      <c r="F9" s="45" t="str">
        <f t="shared" si="0"/>
        <v>"away_team" : "Visitor Team",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""</v>
      </c>
      <c r="F10" s="45" t="str">
        <f t="shared" si="0"/>
        <v>"Data_entry" : "",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""</v>
      </c>
      <c r="F11" s="45" t="str">
        <f t="shared" si="0"/>
        <v>"Caller_1" : "",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""</v>
      </c>
      <c r="F12" s="45" t="str">
        <f t="shared" si="0"/>
        <v>"Caller_2" : "",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""</v>
      </c>
      <c r="F13" s="45" t="str">
        <f t="shared" si="0"/>
        <v>"Timerkeeper" : "",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""</v>
      </c>
      <c r="F14" s="45" t="str">
        <f t="shared" si="0"/>
        <v>"Shotclock" : "",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""</v>
      </c>
      <c r="F22" s="45" t="str">
        <f>""""&amp;C22&amp;"""" &amp; " : " &amp;D22</f>
        <v>"rescouted" : ""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20_187_LOC_VIS_U2025</v>
      </c>
      <c r="F52" s="45" t="str">
        <f>""""&amp;B52&amp;"""" &amp; " : " &amp;C52</f>
        <v>"result" : 20_187_LOC_VIS_U2025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U187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>"DATE: " &amp; TEXT('SCOUT &amp; LOGISTICS'!B3,"dd/mm")</f>
        <v>DATE: Date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Local Team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Visitor Team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/>
      </c>
      <c r="C8" s="206"/>
      <c r="D8" s="206"/>
      <c r="E8" s="206"/>
      <c r="F8" s="206"/>
      <c r="G8" s="206" t="str">
        <f>IF('SCOUT &amp; LOGISTICS'!D7="","",'SCOUT &amp; LOGISTICS'!D7)</f>
        <v/>
      </c>
      <c r="H8" s="206"/>
      <c r="I8" s="206"/>
      <c r="J8" s="206"/>
      <c r="K8" s="206"/>
      <c r="L8" s="206" t="str">
        <f>IF('SCOUT &amp; LOGISTICS'!D8="","",'SCOUT &amp; LOGISTICS'!D8)</f>
        <v/>
      </c>
      <c r="M8" s="206"/>
      <c r="N8" s="206"/>
      <c r="O8" s="206"/>
      <c r="P8" s="206"/>
      <c r="Q8" s="206" t="str">
        <f>IF('SCOUT &amp; LOGISTICS'!D9="","",'SCOUT &amp; LOGISTICS'!D9)</f>
        <v/>
      </c>
      <c r="R8" s="206"/>
      <c r="S8" s="206"/>
      <c r="T8" s="206"/>
      <c r="U8" s="206"/>
      <c r="V8" s="206" t="str">
        <f>IF('SCOUT &amp; LOGISTICS'!D10="","",'SCOUT &amp; LOGISTICS'!D10)</f>
        <v/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/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/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2026-02-11T20:55:11Z</cp:lastPrinted>
  <dcterms:created xsi:type="dcterms:W3CDTF">2023-09-19T19:50:35Z</dcterms:created>
  <dcterms:modified xsi:type="dcterms:W3CDTF">2026-03-11T21:59:41Z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