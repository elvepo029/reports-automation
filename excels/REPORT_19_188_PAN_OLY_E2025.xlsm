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0" documentId="8_{FFF48A8A-10E4-4C7F-959B-D5196E7BB658}" xr6:coauthVersionLast="47" xr6:coauthVersionMax="47" xr10:uidLastSave="{CF732208-ADC5-4FF1-9F41-6EBB3D3C9B14}"/>
  <bookViews>
    <workbookView xWindow="-28920" yWindow="-75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<sst xmlns="http://schemas.openxmlformats.org/spreadsheetml/2006/main" count="3270" uniqueCount="761">
  <si>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</si>
  <si>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</si>
  <si>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</si>
  <si>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</si>
  <si>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</si>
  <si>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</si>
  <si>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</si>
  <si>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</si>
  <si>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</si>
  <si>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</si>
  <si>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</si>
  <si>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</si>
  <si>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</si>
  <si>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</si>
  <si>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</si>
  <si>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</si>
  <si>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</si>
  <si>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</si>
  <si>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</si>
  <si>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</si>
  <si>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</si>
  <si>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</si>
  <si>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</si>
  <si>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</si>
  <si>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</si>
  <si>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</si>
  <si>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</si>
  <si>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</si>
  <si>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</si>
  <si>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</si>
  <si>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</si>
  <si>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</si>
  <si>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</si>
  <si>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</si>
  <si>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</si>
  <si>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</si>
  <si>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</si>
  <si>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</si>
  <si>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</si>
  <si>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</si>
  <si>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</si>
  <si>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</si>
  <si>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</si>
  <si>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</si>
  <si>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</si>
  <si>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</si>
  <si>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</si>
  <si>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</si>
  <si>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</si>
  <si>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</si>
  <si>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</si>
  <si>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</si>
  <si>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</si>
  <si>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</si>
  <si>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</si>
  <si>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</si>
  <si>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</si>
  <si>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</si>
  <si>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</si>
  <si>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</si>
  <si>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</si>
  <si>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</si>
  <si>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</si>
  <si>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</si>
  <si>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</si>
  <si>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</si>
  <si>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</si>
  <si>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</si>
  <si>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</si>
  <si>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</si>
  <si>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</si>
  <si>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</si>
  <si>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</si>
  <si>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</si>
  <si>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</si>
  <si>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</si>
  <si>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</si>
  <si>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</si>
  <si>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</si>
  <si>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</si>
  <si>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</si>
  <si>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</si>
  <si>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</si>
  <si>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</si>
  <si>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</si>
  <si>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</si>
  <si>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</si>
  <si>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</si>
  <si>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</si>
  <si>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</si>
  <si>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</si>
  <si>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</si>
  <si>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</si>
  <si>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</si>
  <si>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</si>
  <si>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</si>
  <si>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</si>
  <si>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</si>
  <si>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</si>
  <si>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</si>
  <si>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</si>
  <si>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</si>
  <si>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</si>
  <si>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</si>
  <si>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</si>
  <si>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</si>
  <si>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</si>
  <si>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</si>
  <si>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</si>
  <si>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</si>
  <si>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</si>
  <si>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</si>
  <si>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</si>
  <si>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</si>
  <si>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</si>
  <si>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</si>
  <si>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</si>
  <si>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</si>
  <si>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</si>
  <si>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</si>
  <si>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</si>
  <si>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</si>
  <si>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</si>
  <si>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</si>
  <si>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</si>
  <si>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</si>
  <si>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</si>
  <si>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</si>
  <si>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</si>
  <si>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</si>
  <si>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</si>
  <si>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</si>
  <si>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</si>
  <si>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</si>
  <si>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</si>
  <si>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</si>
  <si>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</si>
  <si>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</si>
  <si>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</si>
  <si>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</si>
  <si>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</si>
  <si>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</si>
  <si>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</si>
  <si>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</si>
  <si>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</si>
  <si>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</si>
  <si>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</si>
  <si>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</si>
  <si>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</si>
  <si>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</si>
  <si>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</si>
  <si>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</si>
  <si>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</si>
  <si>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</si>
  <si>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</si>
  <si>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</si>
  <si>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</si>
  <si>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</si>
  <si>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</si>
  <si>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</si>
  <si>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</si>
  <si>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</si>
  <si>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</si>
  <si>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</si>
  <si>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</si>
  <si>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</si>
  <si>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</si>
  <si>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</si>
  <si>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</si>
  <si>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</si>
  <si>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</si>
  <si>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</si>
  <si>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</si>
  <si>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</si>
  <si>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</si>
  <si>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</si>
  <si>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</si>
  <si>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</si>
  <si>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</si>
  <si>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</si>
  <si>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</si>
  <si>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</si>
  <si>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</si>
  <si>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</si>
  <si>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</si>
  <si>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</si>
  <si>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</si>
  <si>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</si>
  <si>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</si>
  <si>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</si>
  <si>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</si>
  <si>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</si>
  <si>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</si>
  <si>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</si>
  <si>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</si>
  <si>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</si>
  <si>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</si>
  <si>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</si>
  <si>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</si>
  <si>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</si>
  <si>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</si>
  <si>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</si>
  <si>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</si>
  <si>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</si>
  <si>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</si>
  <si>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</si>
  <si>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</si>
  <si>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</si>
  <si>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</si>
  <si>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</si>
  <si>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</si>
  <si>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</si>
  <si>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</si>
  <si>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</si>
  <si>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</si>
  <si>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</si>
  <si>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</si>
  <si>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</si>
  <si>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</si>
  <si>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</si>
  <si>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</si>
  <si>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</si>
  <si>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</si>
  <si>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</si>
  <si>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</si>
  <si>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</si>
  <si>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</si>
  <si>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</si>
  <si>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</si>
  <si>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</si>
  <si>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</si>
  <si>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</si>
  <si>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</si>
  <si>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</si>
  <si>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</si>
  <si>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</si>
  <si>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</si>
  <si>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</si>
  <si>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</si>
  <si>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</si>
  <si>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</si>
  <si>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</si>
  <si>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</si>
  <si>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</si>
  <si>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</si>
  <si>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</si>
  <si>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</si>
  <si>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</si>
  <si>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</si>
  <si>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</si>
  <si>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</si>
  <si>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</si>
  <si>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</si>
  <si>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</si>
  <si>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</si>
  <si>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</si>
  <si>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</si>
  <si>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</si>
  <si>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</si>
  <si>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</si>
  <si>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</si>
  <si>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</si>
  <si>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</si>
  <si>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</si>
  <si>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</si>
  <si>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</si>
  <si>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</si>
  <si>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</si>
  <si>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</si>
  <si>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</si>
  <si>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</si>
  <si>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</si>
  <si>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</si>
  <si>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</si>
  <si>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</si>
  <si>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</si>
  <si>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</si>
  <si>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</si>
  <si>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</si>
  <si>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</si>
  <si>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</si>
  <si>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</si>
  <si>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</si>
  <si>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</si>
  <si>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</si>
  <si>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</si>
  <si>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</si>
  <si>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</si>
  <si>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</si>
  <si>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</si>
  <si>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</si>
  <si>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</si>
  <si>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</si>
  <si>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</si>
  <si>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</si>
  <si>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</si>
  <si>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</si>
  <si>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</si>
  <si>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</si>
  <si>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</si>
  <si>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</si>
  <si>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</si>
  <si>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</si>
  <si>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</si>
  <si>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</si>
  <si>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</si>
  <si>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</si>
  <si>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</si>
  <si>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</si>
  <si>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</si>
  <si>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</si>
  <si>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</si>
  <si>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</si>
  <si>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</si>
  <si>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</si>
  <si>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</si>
  <si>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</si>
  <si>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</si>
  <si>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</si>
  <si>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</si>
  <si>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</si>
  <si>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</si>
  <si>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</si>
  <si>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</si>
  <si>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</si>
  <si>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</si>
  <si>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</si>
  <si>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</si>
  <si>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</si>
  <si>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</si>
  <si>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</si>
  <si>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</si>
  <si>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</si>
  <si>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</si>
  <si>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</si>
  <si>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</si>
  <si>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</si>
  <si>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</si>
  <si>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</si>
  <si>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</si>
  <si>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</si>
  <si>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</si>
  <si>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</si>
  <si>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</si>
  <si>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</si>
  <si>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</si>
  <si>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</si>
  <si>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</si>
  <si>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</si>
  <si>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</si>
  <si>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</si>
  <si>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</si>
  <si>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</si>
  <si>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</si>
  <si>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</si>
  <si>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</si>
  <si>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</si>
  <si>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</si>
  <si>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</si>
  <si>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</si>
  <si>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</si>
  <si>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</si>
  <si>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</si>
  <si>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</si>
  <si>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</si>
  <si>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</si>
  <si>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</si>
  <si>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</si>
  <si>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</si>
  <si>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</si>
  <si>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</si>
  <si>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</si>
  <si>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</si>
  <si>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</si>
  <si>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</si>
  <si>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</si>
  <si>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</si>
  <si>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</si>
  <si>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</si>
  <si>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</si>
  <si>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</si>
  <si>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</si>
  <si>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</si>
  <si>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</si>
  <si>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</si>
  <si>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</si>
  <si>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</si>
  <si>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</si>
  <si>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</si>
  <si>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</si>
  <si>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</si>
  <si>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</si>
  <si>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</si>
  <si>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</si>
  <si>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</si>
  <si>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</si>
  <si>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</si>
  <si>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</si>
  <si>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</si>
  <si>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</si>
  <si>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</si>
  <si>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</si>
  <si>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</si>
  <si>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</si>
  <si>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</si>
  <si>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</si>
  <si>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</si>
  <si>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</si>
  <si>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</si>
  <si>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</si>
  <si>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</si>
  <si>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</si>
  <si>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</si>
  <si>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</si>
  <si>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</si>
  <si>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</si>
  <si>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</si>
  <si>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</si>
  <si>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</si>
  <si>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</si>
  <si>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</si>
  <si>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</si>
  <si>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</si>
  <si>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</si>
  <si>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</si>
  <si>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</si>
  <si>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</si>
  <si>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</si>
  <si>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</si>
  <si>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</si>
  <si>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</si>
  <si>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</si>
  <si>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</si>
  <si>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</si>
  <si>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</si>
  <si>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</si>
  <si>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</si>
  <si>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</si>
  <si>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</si>
  <si>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</si>
  <si>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</si>
  <si>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</si>
  <si>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</si>
  <si>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</si>
  <si>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</si>
  <si>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</si>
  <si>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</si>
  <si>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</si>
  <si>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</si>
  <si>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</si>
  <si>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</si>
  <si>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</si>
  <si>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</si>
  <si>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</si>
  <si>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</si>
  <si>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</si>
  <si>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</si>
  <si>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</si>
  <si>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</si>
  <si>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</si>
  <si>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</si>
  <si>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</si>
  <si>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</si>
  <si>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</si>
  <si>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</si>
  <si>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</si>
  <si>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</si>
  <si>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</si>
  <si>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</si>
  <si>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</si>
  <si>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</si>
  <si>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</si>
  <si>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</si>
  <si>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</si>
  <si>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</si>
  <si>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</si>
  <si>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</si>
  <si>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</si>
  <si>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</si>
  <si>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</si>
  <si>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</si>
  <si>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</si>
  <si>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</si>
  <si>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</si>
  <si>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</si>
  <si>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</si>
  <si>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</si>
  <si>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</si>
  <si>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</si>
  <si>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</si>
  <si>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</si>
  <si>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</si>
  <si>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</si>
  <si>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</si>
  <si>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</si>
  <si>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</si>
  <si>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</si>
  <si>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</si>
  <si>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</si>
  <si>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</si>
  <si>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</si>
  <si>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</si>
  <si>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</si>
  <si>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</si>
  <si>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</si>
  <si>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</si>
  <si>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</si>
  <si>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</si>
  <si>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</si>
  <si>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</si>
  <si>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</si>
  <si>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</si>
  <si>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</si>
  <si>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</si>
  <si>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</si>
  <si>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</si>
  <si>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</si>
  <si>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</si>
  <si>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</si>
  <si>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</si>
  <si>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</si>
  <si>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</si>
  <si>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</si>
  <si>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</si>
  <si>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</si>
  <si>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</si>
  <si>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</si>
  <si>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</si>
  <si>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</si>
  <si>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</si>
  <si>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</si>
  <si>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</si>
  <si>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</si>
  <si>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</si>
  <si>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</si>
  <si>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</si>
  <si>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</si>
  <si>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</si>
  <si>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</si>
  <si>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</si>
  <si>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</si>
  <si>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</si>
  <si>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</si>
  <si>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</si>
  <si>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</si>
  <si>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</si>
  <si>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</si>
  <si>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</si>
  <si>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</si>
  <si>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</si>
  <si>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</si>
  <si>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</si>
  <si>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</si>
  <si>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</si>
  <si>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</si>
  <si>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</si>
  <si>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</si>
  <si>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</si>
  <si>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</si>
  <si>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</si>
  <si>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</si>
  <si>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</si>
  <si>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</si>
  <si>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</si>
  <si>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</si>
  <si>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</si>
  <si>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</si>
  <si>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</si>
  <si>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</si>
  <si>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</si>
  <si>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</si>
  <si>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</si>
  <si>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</si>
  <si>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</si>
  <si>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</si>
  <si>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</si>
  <si>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</si>
  <si>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</si>
  <si>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</si>
  <si>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</si>
  <si>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</si>
  <si>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</si>
  <si>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</si>
  <si>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</si>
  <si>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</si>
  <si>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</si>
  <si>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</si>
  <si>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</si>
  <si>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</si>
  <si>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</si>
  <si>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</si>
  <si>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</si>
  <si>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</si>
  <si>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</si>
  <si>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</si>
  <si>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</si>
  <si>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</si>
  <si>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</si>
  <si>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</si>
  <si>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</si>
  <si>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</si>
  <si>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</si>
  <si>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</si>
  <si>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</si>
  <si>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</si>
  <si>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</si>
  <si>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</si>
  <si>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</si>
  <si>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</si>
  <si>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</si>
  <si>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</si>
  <si>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</si>
  <si>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</si>
  <si>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</si>
  <si>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</si>
  <si>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</si>
  <si>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</si>
  <si>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</si>
  <si>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</si>
  <si>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</si>
  <si>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</si>
  <si>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</si>
  <si>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</si>
  <si>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</si>
  <si>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</si>
  <si>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</si>
  <si>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</si>
  <si>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</si>
  <si>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</si>
  <si>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</si>
  <si>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</si>
  <si>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</si>
  <si>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</si>
  <si>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</si>
  <si>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</si>
  <si>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</si>
  <si>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</si>
  <si>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</si>
  <si>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</si>
  <si>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</si>
  <si>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</si>
  <si>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</si>
  <si>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</si>
  <si>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</si>
  <si>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</si>
  <si>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</si>
  <si>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</si>
  <si>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</si>
  <si>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</si>
  <si>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</si>
  <si>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</si>
  <si>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</si>
  <si>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</si>
  <si>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</si>
  <si>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</si>
  <si>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</si>
  <si>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</si>
  <si>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</si>
  <si>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</si>
  <si>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</si>
  <si>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</si>
  <si>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</si>
  <si>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</si>
  <si>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</si>
  <si>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</si>
  <si>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</si>
  <si>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</si>
  <si>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</si>
  <si>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</si>
  <si>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</si>
  <si>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</si>
  <si>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</si>
  <si>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</si>
  <si>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</si>
  <si>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</si>
  <si>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</si>
  <si>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</si>
  <si>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</si>
  <si>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</si>
  <si>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</si>
  <si>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</si>
  <si>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</si>
  <si>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</si>
  <si>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</si>
  <si>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</si>
  <si>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</si>
  <si>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</si>
  <si>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</si>
  <si>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</si>
  <si>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</si>
  <si>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</si>
  <si>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</si>
  <si>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</si>
  <si>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</si>
  <si>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</si>
  <si>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</si>
  <si>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</si>
  <si>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</si>
  <si>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</si>
  <si>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</si>
  <si>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</si>
  <si>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</si>
  <si>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</si>
  <si>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</si>
  <si>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</si>
  <si>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</si>
  <si>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</si>
  <si>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</si>
  <si>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</si>
  <si>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</si>
  <si>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</si>
  <si>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</si>
  <si>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</si>
  <si>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</si>
  <si>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</si>
  <si>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</si>
  <si>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</si>
  <si>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</si>
  <si>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</si>
  <si>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</si>
  <si>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</si>
  <si>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</si>
  <si>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</si>
  <si>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</si>
  <si>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</si>
  <si>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</si>
  <si>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</si>
  <si>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</si>
  <si>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</si>
  <si>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</si>
  <si>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</si>
  <si>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</si>
  <si>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</si>
  <si>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</si>
  <si>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</si>
  <si>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</si>
  <si>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</si>
  <si>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</si>
  <si>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</si>
  <si>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</si>
  <si>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</si>
  <si>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</si>
  <si>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</si>
  <si>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</si>
  <si>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</si>
  <si>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</si>
  <si>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</si>
  <si>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</si>
  <si>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</si>
  <si>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</si>
  <si>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ATHINA KAROUMPALOU</t>
  </si>
  <si>
    <t>VASILEIOS STAVROPOULOS</t>
  </si>
  <si>
    <t>ANASTASIOS KALESIORIS</t>
  </si>
  <si>
    <t>ORIOL GARCIA</t>
  </si>
  <si>
    <t>06:03</t>
  </si>
  <si>
    <t>03:46</t>
  </si>
  <si>
    <t>08:34</t>
  </si>
  <si>
    <t>02:18</t>
  </si>
  <si>
    <t>00:30</t>
  </si>
  <si>
    <t>Good communication, good helping with IRS, good procedures, good general scouting, review these few asist. Good job!</t>
  </si>
  <si>
    <t>C:\Users\oriol.garcia\OneDrive - EUROLEAGUE\Documents\Season 25-26\Reports\Euroleague\Panathinaikos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</si>
</sst>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34" sqref="L3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19_188_PAN_OLY_E2025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46024.885416666664</v>
      </c>
      <c r="C3" s="157"/>
      <c r="D3" s="39">
        <v>575</v>
      </c>
      <c r="E3" s="29"/>
      <c r="F3" s="26">
        <f>SUBTOTAL(3,I17:I106)</f>
        <v>5</v>
      </c>
      <c r="G3" s="27">
        <f>IF(OR(D3="",D3=0),"",F3/D3)</f>
        <v>8.6956521739130436E-3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8.6956521739130436E-3</v>
      </c>
      <c r="S4" s="61">
        <f>SUM(I13:M13)</f>
        <v>0</v>
      </c>
      <c r="T4" s="78"/>
      <c r="U4" s="61">
        <f>AC18</f>
        <v>5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0.86956521739130432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3.3695652173913042</v>
      </c>
      <c r="N7" s="58"/>
      <c r="O7" s="2"/>
      <c r="P7" s="2"/>
      <c r="Q7" s="86">
        <f>SUM(R5,S5,AC16)</f>
        <v>3.3695652173913042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3.3695652173913042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188</v>
      </c>
      <c r="D17" s="32" t="s">
        <v>754</v>
      </c>
      <c r="E17" s="33">
        <v>1</v>
      </c>
      <c r="F17" s="36">
        <v>5</v>
      </c>
      <c r="G17" s="36">
        <v>14</v>
      </c>
      <c r="H17" s="38" t="str">
        <f>IF(I17="","",$I$14)</f>
        <v>SCOUTING</v>
      </c>
      <c r="I17" s="34">
        <v>45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188</v>
      </c>
      <c r="D18" s="32" t="s">
        <v>755</v>
      </c>
      <c r="E18" s="33">
        <v>1</v>
      </c>
      <c r="F18" s="36">
        <v>7</v>
      </c>
      <c r="G18" s="36">
        <v>22</v>
      </c>
      <c r="H18" s="38" t="str">
        <f t="shared" ref="H18:H81" si="8">IF(I18="","",$I$14)</f>
        <v>SCOUTING</v>
      </c>
      <c r="I18" s="34">
        <v>76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188</v>
      </c>
      <c r="D19" s="32" t="s">
        <v>756</v>
      </c>
      <c r="E19" s="33">
        <v>2</v>
      </c>
      <c r="F19" s="36">
        <v>19</v>
      </c>
      <c r="G19" s="36">
        <v>28</v>
      </c>
      <c r="H19" s="38" t="str">
        <f t="shared" si="8"/>
        <v>SCOUTING</v>
      </c>
      <c r="I19" s="34">
        <v>169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188</v>
      </c>
      <c r="D20" s="32" t="s">
        <v>757</v>
      </c>
      <c r="E20" s="33">
        <v>4</v>
      </c>
      <c r="F20" s="36">
        <v>77</v>
      </c>
      <c r="G20" s="36">
        <v>83</v>
      </c>
      <c r="H20" s="38" t="str">
        <f t="shared" si="8"/>
        <v>SCOUTING</v>
      </c>
      <c r="I20" s="34">
        <v>508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188</v>
      </c>
      <c r="D21" s="32" t="s">
        <v>758</v>
      </c>
      <c r="E21" s="33">
        <v>4</v>
      </c>
      <c r="F21" s="36">
        <v>82</v>
      </c>
      <c r="G21" s="36">
        <v>86</v>
      </c>
      <c r="H21" s="38" t="str">
        <f t="shared" si="8"/>
        <v>SCOUTING</v>
      </c>
      <c r="I21" s="34">
        <v>565</v>
      </c>
      <c r="J21" s="13" t="s">
        <v>4</v>
      </c>
      <c r="K21" s="13" t="s">
        <v>63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"E2025188"</v>
      </c>
      <c r="F3" s="45" t="str">
        <f t="shared" ref="F3:F16" si="0">""""&amp;B3&amp;"""" &amp; " : " &amp;C3&amp;","</f>
        <v>"name" : "E2025188",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"E188"</v>
      </c>
      <c r="F4" s="45" t="str">
        <f t="shared" si="0"/>
        <v>"cod" : "E188",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188</v>
      </c>
      <c r="F6" s="45" t="str">
        <f t="shared" si="0"/>
        <v>"number" : 188,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STAVROPOULOS"</v>
      </c>
      <c r="F14" s="45" t="str">
        <f t="shared" si="0"/>
        <v>"Shotclock" : "VASILEIOS STAVROPOULOS",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"ANASTASIOS KALESIORIS"</v>
      </c>
      <c r="F15" s="45" t="str">
        <f t="shared" si="0"/>
        <v>"IRS" : "ANASTASIOS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575</v>
      </c>
      <c r="F25" s="45" t="str">
        <f t="shared" ref="F25:F48" si="1">""""&amp;C25&amp;"""" &amp; " : " &amp;D25&amp;","</f>
        <v>"total_actions" : 575,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communication, good helping with IRS, good procedures, good general scouting, review these few asist. Good job!"</v>
      </c>
      <c r="F51" s="45" t="str">
        <f>""""&amp;B51&amp;"""" &amp; " : " &amp;C51&amp;","</f>
        <v>"comments" : "Good communication, good helping with IRS, good procedures, good general scouting, review these few asist. Good job!",</v>
      </c>
    </row>
    <row r="52" spans="2:6" x14ac:dyDescent="0.25">
      <c r="B52" s="43" t="s">
        <v>153</v>
      </c>
      <c r="C52" s="43" t="str">
        <f>TEXT('SCOUT &amp; LOGISTICS'!F1,"0,0")</f>
        <v>19_188_PAN_OLY_E2025</v>
      </c>
      <c r="F52" s="45" t="str">
        <f>""""&amp;B52&amp;"""" &amp; " : " &amp;C52</f>
        <v>"result" : 19_188_PAN_OLY_E2025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VASILEIOS STAVROPOULOS</v>
      </c>
      <c r="W8" s="206"/>
      <c r="X8" s="206"/>
      <c r="Y8" s="206"/>
      <c r="Z8" s="206"/>
      <c r="AA8" s="206" t="str">
        <f>IF('SCOUT &amp; LOGISTICS'!D11="","",'SCOUT &amp; LOGISTICS'!D11)</f>
        <v>ANASTASIOS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8.6956521739130436E-3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communication, good helping with IRS, good procedures, good general scouting, review these few asist.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3.3695652173913042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6C0907-3D72-4818-A2A4-BE78BD1DD2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2026-01-07T15:25:21Z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