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8" documentId="8_{A5F2DCB8-3EA7-48BB-AB1D-EA94BE654473}" xr6:coauthVersionLast="47" xr6:coauthVersionMax="47" xr10:uidLastSave="{2AE1881F-774B-4A38-BE4B-59DEC5CA929C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<sst xmlns="http://schemas.openxmlformats.org/spreadsheetml/2006/main" count="3351" uniqueCount="837">
  <si>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</si>
  <si>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</si>
  <si>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</si>
  <si>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</si>
  <si>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</si>
  <si>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</si>
  <si>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</si>
  <si>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</si>
  <si>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</si>
  <si>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</si>
  <si>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</si>
  <si>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</si>
  <si>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</si>
  <si>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</si>
  <si>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</si>
  <si>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</si>
  <si>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</si>
  <si>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</si>
  <si>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</si>
  <si>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</si>
  <si>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</si>
  <si>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</si>
  <si>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</si>
  <si>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</si>
  <si>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</si>
  <si>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</si>
  <si>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</si>
  <si>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</si>
  <si>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</si>
  <si>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</si>
  <si>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</si>
  <si>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</si>
  <si>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</si>
  <si>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</si>
  <si>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</si>
  <si>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</si>
  <si>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</si>
  <si>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</si>
  <si>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</si>
  <si>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</si>
  <si>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</si>
  <si>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</si>
  <si>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</si>
  <si>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</si>
  <si>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</si>
  <si>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</si>
  <si>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</si>
  <si>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</si>
  <si>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</si>
  <si>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</si>
  <si>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</si>
  <si>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</si>
  <si>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</si>
  <si>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</si>
  <si>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</si>
  <si>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</si>
  <si>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</si>
  <si>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</si>
  <si>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</si>
  <si>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</si>
  <si>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</si>
  <si>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</si>
  <si>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</si>
  <si>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</si>
  <si>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</si>
  <si>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</si>
  <si>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</si>
  <si>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</si>
  <si>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</si>
  <si>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</si>
  <si>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</si>
  <si>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</si>
  <si>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</si>
  <si>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</si>
  <si>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</si>
  <si>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</si>
  <si>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</si>
  <si>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</si>
  <si>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</si>
  <si>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</si>
  <si>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</si>
  <si>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</si>
  <si>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</si>
  <si>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</si>
  <si>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</si>
  <si>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</si>
  <si>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</si>
  <si>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</si>
  <si>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</si>
  <si>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</si>
  <si>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</si>
  <si>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</si>
  <si>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</si>
  <si>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</si>
  <si>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</si>
  <si>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</si>
  <si>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</si>
  <si>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</si>
  <si>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</si>
  <si>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</si>
  <si>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</si>
  <si>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</si>
  <si>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</si>
  <si>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</si>
  <si>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</si>
  <si>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</si>
  <si>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</si>
  <si>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</si>
  <si>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</si>
  <si>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</si>
  <si>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</si>
  <si>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</si>
  <si>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</si>
  <si>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</si>
  <si>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</si>
  <si>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</si>
  <si>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</si>
  <si>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</si>
  <si>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</si>
  <si>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</si>
  <si>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</si>
  <si>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</si>
  <si>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</si>
  <si>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</si>
  <si>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</si>
  <si>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</si>
  <si>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</si>
  <si>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</si>
  <si>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</si>
  <si>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</si>
  <si>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</si>
  <si>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</si>
  <si>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</si>
  <si>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</si>
  <si>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</si>
  <si>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</si>
  <si>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</si>
  <si>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</si>
  <si>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</si>
  <si>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</si>
  <si>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</si>
  <si>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</si>
  <si>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</si>
  <si>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</si>
  <si>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</si>
  <si>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</si>
  <si>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</si>
  <si>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</si>
  <si>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</si>
  <si>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</si>
  <si>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</si>
  <si>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</si>
  <si>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</si>
  <si>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</si>
  <si>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</si>
  <si>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</si>
  <si>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</si>
  <si>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</si>
  <si>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</si>
  <si>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</si>
  <si>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</si>
  <si>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</si>
  <si>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</si>
  <si>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</si>
  <si>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</si>
  <si>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</si>
  <si>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</si>
  <si>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</si>
  <si>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</si>
  <si>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</si>
  <si>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</si>
  <si>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</si>
  <si>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</si>
  <si>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</si>
  <si>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</si>
  <si>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</si>
  <si>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</si>
  <si>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</si>
  <si>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</si>
  <si>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</si>
  <si>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</si>
  <si>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</si>
  <si>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</si>
  <si>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</si>
  <si>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</si>
  <si>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</si>
  <si>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</si>
  <si>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</si>
  <si>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</si>
  <si>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</si>
  <si>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</si>
  <si>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</si>
  <si>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</si>
  <si>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</si>
  <si>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</si>
  <si>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</si>
  <si>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</si>
  <si>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</si>
  <si>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</si>
  <si>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</si>
  <si>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</si>
  <si>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</si>
  <si>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</si>
  <si>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</si>
  <si>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</si>
  <si>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</si>
  <si>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</si>
  <si>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</si>
  <si>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</si>
  <si>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</si>
  <si>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</si>
  <si>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</si>
  <si>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</si>
  <si>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</si>
  <si>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</si>
  <si>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</si>
  <si>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</si>
  <si>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</si>
  <si>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</si>
  <si>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</si>
  <si>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</si>
  <si>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</si>
  <si>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</si>
  <si>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</si>
  <si>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</si>
  <si>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</si>
  <si>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</si>
  <si>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</si>
  <si>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</si>
  <si>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</si>
  <si>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</si>
  <si>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</si>
  <si>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</si>
  <si>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</si>
  <si>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</si>
  <si>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</si>
  <si>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</si>
  <si>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</si>
  <si>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</si>
  <si>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</si>
  <si>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</si>
  <si>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</si>
  <si>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</si>
  <si>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</si>
  <si>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</si>
  <si>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</si>
  <si>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</si>
  <si>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</si>
  <si>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</si>
  <si>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</si>
  <si>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</si>
  <si>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</si>
  <si>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</si>
  <si>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</si>
  <si>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</si>
  <si>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</si>
  <si>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</si>
  <si>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</si>
  <si>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</si>
  <si>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</si>
  <si>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</si>
  <si>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</si>
  <si>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</si>
  <si>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</si>
  <si>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</si>
  <si>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</si>
  <si>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</si>
  <si>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</si>
  <si>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</si>
  <si>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</si>
  <si>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</si>
  <si>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</si>
  <si>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</si>
  <si>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</si>
  <si>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</si>
  <si>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</si>
  <si>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</si>
  <si>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</si>
  <si>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</si>
  <si>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</si>
  <si>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</si>
  <si>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</si>
  <si>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</si>
  <si>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</si>
  <si>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</si>
  <si>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</si>
  <si>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</si>
  <si>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</si>
  <si>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</si>
  <si>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</si>
  <si>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</si>
  <si>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</si>
  <si>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</si>
  <si>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</si>
  <si>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</si>
  <si>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</si>
  <si>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</si>
  <si>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</si>
  <si>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</si>
  <si>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</si>
  <si>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</si>
  <si>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</si>
  <si>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</si>
  <si>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</si>
  <si>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</si>
  <si>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</si>
  <si>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</si>
  <si>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</si>
  <si>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</si>
  <si>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</si>
  <si>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</si>
  <si>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</si>
  <si>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</si>
  <si>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</si>
  <si>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</si>
  <si>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</si>
  <si>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</si>
  <si>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</si>
  <si>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</si>
  <si>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</si>
  <si>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</si>
  <si>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</si>
  <si>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</si>
  <si>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</si>
  <si>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</si>
  <si>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</si>
  <si>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</si>
  <si>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</si>
  <si>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</si>
  <si>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</si>
  <si>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</si>
  <si>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</si>
  <si>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</si>
  <si>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</si>
  <si>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</si>
  <si>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</si>
  <si>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</si>
  <si>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</si>
  <si>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</si>
  <si>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</si>
  <si>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</si>
  <si>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</si>
  <si>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</si>
  <si>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</si>
  <si>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</si>
  <si>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</si>
  <si>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</si>
  <si>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</si>
  <si>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</si>
  <si>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</si>
  <si>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</si>
  <si>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</si>
  <si>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</si>
  <si>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</si>
  <si>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</si>
  <si>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</si>
  <si>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</si>
  <si>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</si>
  <si>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</si>
  <si>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</si>
  <si>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</si>
  <si>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</si>
  <si>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</si>
  <si>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</si>
  <si>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</si>
  <si>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</si>
  <si>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</si>
  <si>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</si>
  <si>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</si>
  <si>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</si>
  <si>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</si>
  <si>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</si>
  <si>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</si>
  <si>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</si>
  <si>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</si>
  <si>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</si>
  <si>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</si>
  <si>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</si>
  <si>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</si>
  <si>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</si>
  <si>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</si>
  <si>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</si>
  <si>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</si>
  <si>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</si>
  <si>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</si>
  <si>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</si>
  <si>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</si>
  <si>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</si>
  <si>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</si>
  <si>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</si>
  <si>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</si>
  <si>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</si>
  <si>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</si>
  <si>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</si>
  <si>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</si>
  <si>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</si>
  <si>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</si>
  <si>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</si>
  <si>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</si>
  <si>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</si>
  <si>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</si>
  <si>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</si>
  <si>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</si>
  <si>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</si>
  <si>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</si>
  <si>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</si>
  <si>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</si>
  <si>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</si>
  <si>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</si>
  <si>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</si>
  <si>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</si>
  <si>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</si>
  <si>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</si>
  <si>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</si>
  <si>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</si>
  <si>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</si>
  <si>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</si>
  <si>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</si>
  <si>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</si>
  <si>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</si>
  <si>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</si>
  <si>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</si>
  <si>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</si>
  <si>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</si>
  <si>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</si>
  <si>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</si>
  <si>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</si>
  <si>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</si>
  <si>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</si>
  <si>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</si>
  <si>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</si>
  <si>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</si>
  <si>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</si>
  <si>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</si>
  <si>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</si>
  <si>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</si>
  <si>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</si>
  <si>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</si>
  <si>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</si>
  <si>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</si>
  <si>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</si>
  <si>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</si>
  <si>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</si>
  <si>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</si>
  <si>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</si>
  <si>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</si>
  <si>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</si>
  <si>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</si>
  <si>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</si>
  <si>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</si>
  <si>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</si>
  <si>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</si>
  <si>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</si>
  <si>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</si>
  <si>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</si>
  <si>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</si>
  <si>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</si>
  <si>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</si>
  <si>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</si>
  <si>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</si>
  <si>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</si>
  <si>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</si>
  <si>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</si>
  <si>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</si>
  <si>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</si>
  <si>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</si>
  <si>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</si>
  <si>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</si>
  <si>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</si>
  <si>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</si>
  <si>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</si>
  <si>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</si>
  <si>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</si>
  <si>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</si>
  <si>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</si>
  <si>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</si>
  <si>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</si>
  <si>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</si>
  <si>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</si>
  <si>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</si>
  <si>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</si>
  <si>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</si>
  <si>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</si>
  <si>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</si>
  <si>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</si>
  <si>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</si>
  <si>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</si>
  <si>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</si>
  <si>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</si>
  <si>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</si>
  <si>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</si>
  <si>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</si>
  <si>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</si>
  <si>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</si>
  <si>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</si>
  <si>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</si>
  <si>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</si>
  <si>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</si>
  <si>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</si>
  <si>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</si>
  <si>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</si>
  <si>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</si>
  <si>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</si>
  <si>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</si>
  <si>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</si>
  <si>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</si>
  <si>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</si>
  <si>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</si>
  <si>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</si>
  <si>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</si>
  <si>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</si>
  <si>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</si>
  <si>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</si>
  <si>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</si>
  <si>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</si>
  <si>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</si>
  <si>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</si>
  <si>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</si>
  <si>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</si>
  <si>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</si>
  <si>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</si>
  <si>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</si>
  <si>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</si>
  <si>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</si>
  <si>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</si>
  <si>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</si>
  <si>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</si>
  <si>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</si>
  <si>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</si>
  <si>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</si>
  <si>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</si>
  <si>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</si>
  <si>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</si>
  <si>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</si>
  <si>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</si>
  <si>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</si>
  <si>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</si>
  <si>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</si>
  <si>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</si>
  <si>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</si>
  <si>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</si>
  <si>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</si>
  <si>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</si>
  <si>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</si>
  <si>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</si>
  <si>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</si>
  <si>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</si>
  <si>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</si>
  <si>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</si>
  <si>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</si>
  <si>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</si>
  <si>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</si>
  <si>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</si>
  <si>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</si>
  <si>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</si>
  <si>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</si>
  <si>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</si>
  <si>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</si>
  <si>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</si>
  <si>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</si>
  <si>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</si>
  <si>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</si>
  <si>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</si>
  <si>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</si>
  <si>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</si>
  <si>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</si>
  <si>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</si>
  <si>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</si>
  <si>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</si>
  <si>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</si>
  <si>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</si>
  <si>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</si>
  <si>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</si>
  <si>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</si>
  <si>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</si>
  <si>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</si>
  <si>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</si>
  <si>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</si>
  <si>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</si>
  <si>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</si>
  <si>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</si>
  <si>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</si>
  <si>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</si>
  <si>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</si>
  <si>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</si>
  <si>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</si>
  <si>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</si>
  <si>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</si>
  <si>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</si>
  <si>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</si>
  <si>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</si>
  <si>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</si>
  <si>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</si>
  <si>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</si>
  <si>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</si>
  <si>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</si>
  <si>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</si>
  <si>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</si>
  <si>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</si>
  <si>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</si>
  <si>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</si>
  <si>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</si>
  <si>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</si>
  <si>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</si>
  <si>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</si>
  <si>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</si>
  <si>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</si>
  <si>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</si>
  <si>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</si>
  <si>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</si>
  <si>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</si>
  <si>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</si>
  <si>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</si>
  <si>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</si>
  <si>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</si>
  <si>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</si>
  <si>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</si>
  <si>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</si>
  <si>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</si>
  <si>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</si>
  <si>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</si>
  <si>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</si>
  <si>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</si>
  <si>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</si>
  <si>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</si>
  <si>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</si>
  <si>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</si>
  <si>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</si>
  <si>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</si>
  <si>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</si>
  <si>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</si>
  <si>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</si>
  <si>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</si>
  <si>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</si>
  <si>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</si>
  <si>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</si>
  <si>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</si>
  <si>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</si>
  <si>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</si>
  <si>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</si>
  <si>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</si>
  <si>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</si>
  <si>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</si>
  <si>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</si>
  <si>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</si>
  <si>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</si>
  <si>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</si>
  <si>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</si>
  <si>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</si>
  <si>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</si>
  <si>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</si>
  <si>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</si>
  <si>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</si>
  <si>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</si>
  <si>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</si>
  <si>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</si>
  <si>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</si>
  <si>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</si>
  <si>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</si>
  <si>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</si>
  <si>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</si>
  <si>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</si>
  <si>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</si>
  <si>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</si>
  <si>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</si>
  <si>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</si>
  <si>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</si>
  <si>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</si>
  <si>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</si>
  <si>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</si>
  <si>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</si>
  <si>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</si>
  <si>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</si>
  <si>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</si>
  <si>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</si>
  <si>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</si>
  <si>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</si>
  <si>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</si>
  <si>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</si>
  <si>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</si>
  <si>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</si>
  <si>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</si>
  <si>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</si>
  <si>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</si>
  <si>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</si>
  <si>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</si>
  <si>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</si>
  <si>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</si>
  <si>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</si>
  <si>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</si>
  <si>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</si>
  <si>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</si>
  <si>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</si>
  <si>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</si>
  <si>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</si>
  <si>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</si>
  <si>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</si>
  <si>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</si>
  <si>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</si>
  <si>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</si>
  <si>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</si>
  <si>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</si>
  <si>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</si>
  <si>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</si>
  <si>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</si>
  <si>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</si>
  <si>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</si>
  <si>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</si>
  <si>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</si>
  <si>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</si>
  <si>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</si>
  <si>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</si>
  <si>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</si>
  <si>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</si>
  <si>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</si>
  <si>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</si>
  <si>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</si>
  <si>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</si>
  <si>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</si>
  <si>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</si>
  <si>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</si>
  <si>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</si>
  <si>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</si>
  <si>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</si>
  <si>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</si>
  <si>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</si>
  <si>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</si>
  <si>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</si>
  <si>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</si>
  <si>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</si>
  <si>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</si>
  <si>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</si>
  <si>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</si>
  <si>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</si>
  <si>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</si>
  <si>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</si>
  <si>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</si>
  <si>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</si>
  <si>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</si>
  <si>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</si>
  <si>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</si>
  <si>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</si>
  <si>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</si>
  <si>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</si>
  <si>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</si>
  <si>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</si>
  <si>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</si>
  <si>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</si>
  <si>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</si>
  <si>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</si>
  <si>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</si>
  <si>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</si>
  <si>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</si>
  <si>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</si>
  <si>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</si>
  <si>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</si>
  <si>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</si>
  <si>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</si>
  <si>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</si>
  <si>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</si>
  <si>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</si>
  <si>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</si>
  <si>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</si>
  <si>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</si>
  <si>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</si>
  <si>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</si>
  <si>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</si>
  <si>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</si>
  <si>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</si>
  <si>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</si>
  <si>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</si>
  <si>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</si>
  <si>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</si>
  <si>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</si>
  <si>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</si>
  <si>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</si>
  <si>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</si>
  <si>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</si>
  <si>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</si>
  <si>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</si>
  <si>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</si>
  <si>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</si>
  <si>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</si>
  <si>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</si>
  <si>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</si>
  <si>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</si>
  <si>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</si>
  <si>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</si>
  <si>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</si>
  <si>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</si>
  <si>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</si>
  <si>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</si>
  <si>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</si>
  <si>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</si>
  <si>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</si>
  <si>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</si>
  <si>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</si>
  <si>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</si>
  <si>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</si>
  <si>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</si>
  <si>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</si>
  <si>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</si>
  <si>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</si>
  <si>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</si>
  <si>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</si>
  <si>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</si>
  <si>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</si>
  <si>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</si>
  <si>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</si>
  <si>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</si>
  <si>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</si>
  <si>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</si>
  <si>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</si>
  <si>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</si>
  <si>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</si>
  <si>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</si>
  <si>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</si>
  <si>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</si>
  <si>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</si>
  <si>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</si>
  <si>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</si>
  <si>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</si>
  <si>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</si>
  <si>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</si>
  <si>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</si>
  <si>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</si>
  <si>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BAHCESEHIR COLLEGE ISTANBUL</t>
  </si>
  <si>
    <t>U-BT CLUJ-NAPOCA</t>
  </si>
  <si>
    <t>ORHAN YENIHAYAT</t>
  </si>
  <si>
    <t>ALPKAN HACIYAKUPOGLU</t>
  </si>
  <si>
    <t>TUGCE KAYA</t>
  </si>
  <si>
    <t xml:space="preserve">ORIOL GARCIA </t>
  </si>
  <si>
    <t>03:13</t>
  </si>
  <si>
    <t>09:44</t>
  </si>
  <si>
    <t>04:35</t>
  </si>
  <si>
    <t xml:space="preserve">Very good job in all aspects, good criteria, good scouting and good communication, asking to LGM in difficult plays. </t>
  </si>
  <si>
    <t>C:\Users\oriol.garcia\OneDrive - EUROLEAGUE\Documents\Season 25-26\Reports\Eurocup\Bahcesehir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</si>
</sst>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48" sqref="L48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20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20_188_LOC_VIS_U2025</v>
      </c>
      <c r="G1" s="5"/>
      <c r="H1" s="5"/>
      <c r="I1" s="5"/>
      <c r="J1" s="8" t="s">
        <v>707</v>
      </c>
      <c r="K1" s="121" t="s">
        <v>836</v>
      </c>
      <c r="L1" s="121"/>
      <c r="M1" s="122" t="s">
        <v>239</v>
      </c>
      <c r="N1" s="121" t="s">
        <v>836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188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 t="s">
        <v>825</v>
      </c>
      <c r="C3" s="157"/>
      <c r="D3" s="39">
        <v>641</v>
      </c>
      <c r="E3" s="29"/>
      <c r="F3" s="26">
        <f>SUBTOTAL(3,I17:I106)</f>
        <v>3</v>
      </c>
      <c r="G3" s="27">
        <f>IF(OR(D3="",D3=0),"",F3/D3)</f>
        <v>4.6801872074882997E-3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">
        <v>826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67" t="s">
        <v>835</v>
      </c>
      <c r="N4" s="168"/>
      <c r="O4" s="2"/>
      <c r="P4" s="2"/>
      <c r="Q4" s="84" t="s">
        <v>175</v>
      </c>
      <c r="R4" s="94">
        <f>(IF(G3="",0,G3))</f>
        <v>4.6801872074882997E-3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">
        <v>827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0.46801872074883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771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5.4680187207488302</v>
      </c>
      <c r="N7" s="58"/>
      <c r="O7" s="2"/>
      <c r="P7" s="2"/>
      <c r="Q7" s="86">
        <f>SUM(R5,S5,AC16)</f>
        <v>5.4680187207488302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828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5.4680187207488302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188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188</v>
      </c>
      <c r="D17" s="32" t="s">
        <v>832</v>
      </c>
      <c r="E17" s="33">
        <v>1</v>
      </c>
      <c r="F17" s="36">
        <v>18</v>
      </c>
      <c r="G17" s="36">
        <v>13</v>
      </c>
      <c r="H17" s="38" t="str">
        <f>IF(I17="","",$I$14)</f>
        <v>SCOUTING</v>
      </c>
      <c r="I17" s="34">
        <v>108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188</v>
      </c>
      <c r="D18" s="32" t="s">
        <v>833</v>
      </c>
      <c r="E18" s="33">
        <v>2</v>
      </c>
      <c r="F18" s="36">
        <v>18</v>
      </c>
      <c r="G18" s="36">
        <v>18</v>
      </c>
      <c r="H18" s="38" t="s">
        <v>45</v>
      </c>
      <c r="I18" s="34">
        <v>165</v>
      </c>
      <c r="J18" s="13" t="s">
        <v>4</v>
      </c>
      <c r="K18" s="13" t="s">
        <v>61</v>
      </c>
      <c r="L18" s="13" t="s">
        <v>48</v>
      </c>
      <c r="M18" s="13" t="s">
        <v>26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8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188</v>
      </c>
      <c r="D19" s="32" t="s">
        <v>834</v>
      </c>
      <c r="E19" s="33">
        <v>3</v>
      </c>
      <c r="F19" s="36">
        <v>49</v>
      </c>
      <c r="G19" s="36">
        <v>44</v>
      </c>
      <c r="H19" s="38" t="str">
        <f t="shared" ref="H18:H81" si="9">IF(I19="","",$I$14)</f>
        <v>SCOUTING</v>
      </c>
      <c r="I19" s="34">
        <v>393</v>
      </c>
      <c r="J19" s="13" t="s">
        <v>4</v>
      </c>
      <c r="K19" s="13" t="s">
        <v>62</v>
      </c>
      <c r="L19" s="13" t="s">
        <v>7</v>
      </c>
      <c r="M19" s="13" t="s">
        <v>37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8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9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8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1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9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8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9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8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9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8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9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8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9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9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9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9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9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9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9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9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9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9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9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9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9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9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9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9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9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9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9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9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1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9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9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9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9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9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9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9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9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9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9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9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9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9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9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9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9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9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9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9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9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9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9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9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9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9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9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9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9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9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9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9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9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9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9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9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9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9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REPORT_U2025188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"U2025188"</v>
      </c>
      <c r="F3" s="45" t="str">
        <f t="shared" ref="F3:F16" si="0">""""&amp;B3&amp;"""" &amp; " : " &amp;C3&amp;","</f>
        <v>"name" : "U2025188",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"U188"</v>
      </c>
      <c r="F4" s="45" t="str">
        <f t="shared" si="0"/>
        <v>"cod" : "U188",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188</v>
      </c>
      <c r="F6" s="45" t="str">
        <f t="shared" si="0"/>
        <v>"number" : 188,</v>
      </c>
    </row>
    <row r="7" spans="2:6" x14ac:dyDescent="0.25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5">
      <c r="B8" s="43" t="s">
        <v>125</v>
      </c>
      <c r="C8" s="43" t="str">
        <f>""""&amp;'SCOUT &amp; LOGISTICS'!D4 &amp;""""</f>
        <v>"BAHCESEHIR COLLEGE ISTANBUL"</v>
      </c>
      <c r="F8" s="45" t="str">
        <f t="shared" si="0"/>
        <v>"home_team" : "BAHCESEHIR COLLEGE ISTANBUL",</v>
      </c>
    </row>
    <row r="9" spans="2:6" x14ac:dyDescent="0.25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"ALPKAN HACIYAKUPOGLU"</v>
      </c>
      <c r="F13" s="45" t="str">
        <f t="shared" si="0"/>
        <v>"Timerkeeper" : "ALPKAN HACIYAKUPOGLU",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"TUGCE KAYA"</v>
      </c>
      <c r="F14" s="45" t="str">
        <f t="shared" si="0"/>
        <v>"Shotclock" : "TUGCE KAYA",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 "</v>
      </c>
      <c r="F16" s="45" t="str">
        <f t="shared" si="0"/>
        <v>"Live_Game_Manager" : "ORIOL GARCIA 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641</v>
      </c>
      <c r="F25" s="45" t="str">
        <f t="shared" ref="F25:F48" si="1">""""&amp;C25&amp;"""" &amp; " : " &amp;D25&amp;","</f>
        <v>"total_actions" : 641,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 in all aspects, good criteria, good scouting and good communication, asking to LGM in difficult plays. "</v>
      </c>
      <c r="F51" s="45" t="str">
        <f>""""&amp;B51&amp;"""" &amp; " : " &amp;C51&amp;","</f>
        <v>"comments" : "Very good job in all aspects, good criteria, good scouting and good communication, asking to LGM in difficult plays. ",</v>
      </c>
    </row>
    <row r="52" spans="2:6" x14ac:dyDescent="0.25">
      <c r="B52" s="43" t="s">
        <v>153</v>
      </c>
      <c r="C52" s="43" t="str">
        <f>TEXT('SCOUT &amp; LOGISTICS'!F1,"0,0")</f>
        <v>20_188_LOC_VIS_U2025</v>
      </c>
      <c r="F52" s="45" t="str">
        <f>""""&amp;B52&amp;"""" &amp; " : " &amp;C52</f>
        <v>"result" : 20_188_LOC_VIS_U2025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U188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>"DATE: " &amp; TEXT('SCOUT &amp; LOGISTICS'!B3,"dd/mm")</f>
        <v>DATE: Date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Bahcesehir College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U-Bt Cluj-Napoca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ALPKAN HACIYAKUPOGLU</v>
      </c>
      <c r="R8" s="206"/>
      <c r="S8" s="206"/>
      <c r="T8" s="206"/>
      <c r="U8" s="206"/>
      <c r="V8" s="206" t="str">
        <f>IF('SCOUT &amp; LOGISTICS'!D10="","",'SCOUT &amp; LOGISTICS'!D10)</f>
        <v>TUGCE KAYA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641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4.6801872074882997E-3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Very good job in all aspects, good criteria, good scouting and good communication, asking to LGM in difficult plays.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5.4680187207488302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2026-02-11T20:55:11Z</cp:lastPrinted>
  <dcterms:created xsi:type="dcterms:W3CDTF">2023-09-19T19:50:35Z</dcterms:created>
  <dcterms:modified xsi:type="dcterms:W3CDTF">2026-03-18T15:04:39Z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