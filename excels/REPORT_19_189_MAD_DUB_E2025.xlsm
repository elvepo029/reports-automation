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0" documentId="8_{A193A6B6-8D63-4F2D-BAF2-88F701841EEB}" xr6:coauthVersionLast="47" xr6:coauthVersionMax="47" xr10:uidLastSave="{7A905B8C-558F-4ADC-B1BA-551FF0E703F1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<sst xmlns="http://schemas.openxmlformats.org/spreadsheetml/2006/main" count="3362" uniqueCount="806">
  <si>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</si>
  <si>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</si>
  <si>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</si>
  <si>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</si>
  <si>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</si>
  <si>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</si>
  <si>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</si>
  <si>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</si>
  <si>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</si>
  <si>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</si>
  <si>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</si>
  <si>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</si>
  <si>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</si>
  <si>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</si>
  <si>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</si>
  <si>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</si>
  <si>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</si>
  <si>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</si>
  <si>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</si>
  <si>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</si>
  <si>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</si>
  <si>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</si>
  <si>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</si>
  <si>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</si>
  <si>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</si>
  <si>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</si>
  <si>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</si>
  <si>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</si>
  <si>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</si>
  <si>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</si>
  <si>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</si>
  <si>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</si>
  <si>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</si>
  <si>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</si>
  <si>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</si>
  <si>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</si>
  <si>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</si>
  <si>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</si>
  <si>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</si>
  <si>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</si>
  <si>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</si>
  <si>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</si>
  <si>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</si>
  <si>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</si>
  <si>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</si>
  <si>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</si>
  <si>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</si>
  <si>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</si>
  <si>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</si>
  <si>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</si>
  <si>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</si>
  <si>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</si>
  <si>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</si>
  <si>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</si>
  <si>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</si>
  <si>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</si>
  <si>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</si>
  <si>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</si>
  <si>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</si>
  <si>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</si>
  <si>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</si>
  <si>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</si>
  <si>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</si>
  <si>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</si>
  <si>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</si>
  <si>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</si>
  <si>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</si>
  <si>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</si>
  <si>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</si>
  <si>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</si>
  <si>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</si>
  <si>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</si>
  <si>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</si>
  <si>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</si>
  <si>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</si>
  <si>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</si>
  <si>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</si>
  <si>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</si>
  <si>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</si>
  <si>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</si>
  <si>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</si>
  <si>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</si>
  <si>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</si>
  <si>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</si>
  <si>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</si>
  <si>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</si>
  <si>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</si>
  <si>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</si>
  <si>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</si>
  <si>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</si>
  <si>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</si>
  <si>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</si>
  <si>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</si>
  <si>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</si>
  <si>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</si>
  <si>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</si>
  <si>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</si>
  <si>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</si>
  <si>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</si>
  <si>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</si>
  <si>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</si>
  <si>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</si>
  <si>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</si>
  <si>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</si>
  <si>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</si>
  <si>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</si>
  <si>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</si>
  <si>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</si>
  <si>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</si>
  <si>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</si>
  <si>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</si>
  <si>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</si>
  <si>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</si>
  <si>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</si>
  <si>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</si>
  <si>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</si>
  <si>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</si>
  <si>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</si>
  <si>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</si>
  <si>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</si>
  <si>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</si>
  <si>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</si>
  <si>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</si>
  <si>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</si>
  <si>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</si>
  <si>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</si>
  <si>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</si>
  <si>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</si>
  <si>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</si>
  <si>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</si>
  <si>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</si>
  <si>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</si>
  <si>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</si>
  <si>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</si>
  <si>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</si>
  <si>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</si>
  <si>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</si>
  <si>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</si>
  <si>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</si>
  <si>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</si>
  <si>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</si>
  <si>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</si>
  <si>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</si>
  <si>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</si>
  <si>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</si>
  <si>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</si>
  <si>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</si>
  <si>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</si>
  <si>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</si>
  <si>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</si>
  <si>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</si>
  <si>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</si>
  <si>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</si>
  <si>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</si>
  <si>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</si>
  <si>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</si>
  <si>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</si>
  <si>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</si>
  <si>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</si>
  <si>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</si>
  <si>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</si>
  <si>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</si>
  <si>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</si>
  <si>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</si>
  <si>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</si>
  <si>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</si>
  <si>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</si>
  <si>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</si>
  <si>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</si>
  <si>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</si>
  <si>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</si>
  <si>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</si>
  <si>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</si>
  <si>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</si>
  <si>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</si>
  <si>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</si>
  <si>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</si>
  <si>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</si>
  <si>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</si>
  <si>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</si>
  <si>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</si>
  <si>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</si>
  <si>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</si>
  <si>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</si>
  <si>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</si>
  <si>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</si>
  <si>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</si>
  <si>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</si>
  <si>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</si>
  <si>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</si>
  <si>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</si>
  <si>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</si>
  <si>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</si>
  <si>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</si>
  <si>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</si>
  <si>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</si>
  <si>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</si>
  <si>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</si>
  <si>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</si>
  <si>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</si>
  <si>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</si>
  <si>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</si>
  <si>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</si>
  <si>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</si>
  <si>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</si>
  <si>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</si>
  <si>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</si>
  <si>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</si>
  <si>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</si>
  <si>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</si>
  <si>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</si>
  <si>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</si>
  <si>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</si>
  <si>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</si>
  <si>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</si>
  <si>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</si>
  <si>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</si>
  <si>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</si>
  <si>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</si>
  <si>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</si>
  <si>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</si>
  <si>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</si>
  <si>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</si>
  <si>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</si>
  <si>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</si>
  <si>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</si>
  <si>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</si>
  <si>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</si>
  <si>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</si>
  <si>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</si>
  <si>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</si>
  <si>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</si>
  <si>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</si>
  <si>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</si>
  <si>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</si>
  <si>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</si>
  <si>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</si>
  <si>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</si>
  <si>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</si>
  <si>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</si>
  <si>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</si>
  <si>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</si>
  <si>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</si>
  <si>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</si>
  <si>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</si>
  <si>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</si>
  <si>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</si>
  <si>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</si>
  <si>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</si>
  <si>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</si>
  <si>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</si>
  <si>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</si>
  <si>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</si>
  <si>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</si>
  <si>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</si>
  <si>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</si>
  <si>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</si>
  <si>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</si>
  <si>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</si>
  <si>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</si>
  <si>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</si>
  <si>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</si>
  <si>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</si>
  <si>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</si>
  <si>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</si>
  <si>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</si>
  <si>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</si>
  <si>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</si>
  <si>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</si>
  <si>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</si>
  <si>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</si>
  <si>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</si>
  <si>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</si>
  <si>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</si>
  <si>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</si>
  <si>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</si>
  <si>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</si>
  <si>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</si>
  <si>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</si>
  <si>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</si>
  <si>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</si>
  <si>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</si>
  <si>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</si>
  <si>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</si>
  <si>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</si>
  <si>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</si>
  <si>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</si>
  <si>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</si>
  <si>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</si>
  <si>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</si>
  <si>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</si>
  <si>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</si>
  <si>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</si>
  <si>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</si>
  <si>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</si>
  <si>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</si>
  <si>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</si>
  <si>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</si>
  <si>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</si>
  <si>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</si>
  <si>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</si>
  <si>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</si>
  <si>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</si>
  <si>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</si>
  <si>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</si>
  <si>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</si>
  <si>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</si>
  <si>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</si>
  <si>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</si>
  <si>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</si>
  <si>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</si>
  <si>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</si>
  <si>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</si>
  <si>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</si>
  <si>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</si>
  <si>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</si>
  <si>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</si>
  <si>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</si>
  <si>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</si>
  <si>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</si>
  <si>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</si>
  <si>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</si>
  <si>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</si>
  <si>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</si>
  <si>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</si>
  <si>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</si>
  <si>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</si>
  <si>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</si>
  <si>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</si>
  <si>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</si>
  <si>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</si>
  <si>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</si>
  <si>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</si>
  <si>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</si>
  <si>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</si>
  <si>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</si>
  <si>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</si>
  <si>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</si>
  <si>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</si>
  <si>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</si>
  <si>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</si>
  <si>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</si>
  <si>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</si>
  <si>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</si>
  <si>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</si>
  <si>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</si>
  <si>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</si>
  <si>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</si>
  <si>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</si>
  <si>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</si>
  <si>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</si>
  <si>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</si>
  <si>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</si>
  <si>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</si>
  <si>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</si>
  <si>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</si>
  <si>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</si>
  <si>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</si>
  <si>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</si>
  <si>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</si>
  <si>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</si>
  <si>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</si>
  <si>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</si>
  <si>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</si>
  <si>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</si>
  <si>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</si>
  <si>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</si>
  <si>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</si>
  <si>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</si>
  <si>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</si>
  <si>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</si>
  <si>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</si>
  <si>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</si>
  <si>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</si>
  <si>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</si>
  <si>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</si>
  <si>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</si>
  <si>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</si>
  <si>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</si>
  <si>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</si>
  <si>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</si>
  <si>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</si>
  <si>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</si>
  <si>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</si>
  <si>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</si>
  <si>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</si>
  <si>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</si>
  <si>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</si>
  <si>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</si>
  <si>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</si>
  <si>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</si>
  <si>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</si>
  <si>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</si>
  <si>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</si>
  <si>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</si>
  <si>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</si>
  <si>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</si>
  <si>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</si>
  <si>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</si>
  <si>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</si>
  <si>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</si>
  <si>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</si>
  <si>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</si>
  <si>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</si>
  <si>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</si>
  <si>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</si>
  <si>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</si>
  <si>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</si>
  <si>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</si>
  <si>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</si>
  <si>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</si>
  <si>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</si>
  <si>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</si>
  <si>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</si>
  <si>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</si>
  <si>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</si>
  <si>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</si>
  <si>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</si>
  <si>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</si>
  <si>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</si>
  <si>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</si>
  <si>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</si>
  <si>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</si>
  <si>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</si>
  <si>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</si>
  <si>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</si>
  <si>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</si>
  <si>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</si>
  <si>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</si>
  <si>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</si>
  <si>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</si>
  <si>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</si>
  <si>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</si>
  <si>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</si>
  <si>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</si>
  <si>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</si>
  <si>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</si>
  <si>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</si>
  <si>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</si>
  <si>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</si>
  <si>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</si>
  <si>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</si>
  <si>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</si>
  <si>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</si>
  <si>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</si>
  <si>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</si>
  <si>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</si>
  <si>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</si>
  <si>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</si>
  <si>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</si>
  <si>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</si>
  <si>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</si>
  <si>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</si>
  <si>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</si>
  <si>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</si>
  <si>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</si>
  <si>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</si>
  <si>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</si>
  <si>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</si>
  <si>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</si>
  <si>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</si>
  <si>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</si>
  <si>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</si>
  <si>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</si>
  <si>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</si>
  <si>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</si>
  <si>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</si>
  <si>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</si>
  <si>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</si>
  <si>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</si>
  <si>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</si>
  <si>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</si>
  <si>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</si>
  <si>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</si>
  <si>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</si>
  <si>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</si>
  <si>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</si>
  <si>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</si>
  <si>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</si>
  <si>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</si>
  <si>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</si>
  <si>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</si>
  <si>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</si>
  <si>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</si>
  <si>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</si>
  <si>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</si>
  <si>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</si>
  <si>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</si>
  <si>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</si>
  <si>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</si>
  <si>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</si>
  <si>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</si>
  <si>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</si>
  <si>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</si>
  <si>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</si>
  <si>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</si>
  <si>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</si>
  <si>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</si>
  <si>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</si>
  <si>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</si>
  <si>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</si>
  <si>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</si>
  <si>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</si>
  <si>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</si>
  <si>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</si>
  <si>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</si>
  <si>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</si>
  <si>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</si>
  <si>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</si>
  <si>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</si>
  <si>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</si>
  <si>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</si>
  <si>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</si>
  <si>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</si>
  <si>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</si>
  <si>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</si>
  <si>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</si>
  <si>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</si>
  <si>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</si>
  <si>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</si>
  <si>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</si>
  <si>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</si>
  <si>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</si>
  <si>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</si>
  <si>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</si>
  <si>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</si>
  <si>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</si>
  <si>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</si>
  <si>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</si>
  <si>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</si>
  <si>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</si>
  <si>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</si>
  <si>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</si>
  <si>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</si>
  <si>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</si>
  <si>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</si>
  <si>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</si>
  <si>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</si>
  <si>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</si>
  <si>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</si>
  <si>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</si>
  <si>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</si>
  <si>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</si>
  <si>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</si>
  <si>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</si>
  <si>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</si>
  <si>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</si>
  <si>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</si>
  <si>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</si>
  <si>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</si>
  <si>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</si>
  <si>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</si>
  <si>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</si>
  <si>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</si>
  <si>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</si>
  <si>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</si>
  <si>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</si>
  <si>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</si>
  <si>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</si>
  <si>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</si>
  <si>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</si>
  <si>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</si>
  <si>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</si>
  <si>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</si>
  <si>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</si>
  <si>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</si>
  <si>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</si>
  <si>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</si>
  <si>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</si>
  <si>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</si>
  <si>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</si>
  <si>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</si>
  <si>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</si>
  <si>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</si>
  <si>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</si>
  <si>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</si>
  <si>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</si>
  <si>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</si>
  <si>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</si>
  <si>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</si>
  <si>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</si>
  <si>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</si>
  <si>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</si>
  <si>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</si>
  <si>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</si>
  <si>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</si>
  <si>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</si>
  <si>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</si>
  <si>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</si>
  <si>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</si>
  <si>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</si>
  <si>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</si>
  <si>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</si>
  <si>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</si>
  <si>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</si>
  <si>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</si>
  <si>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</si>
  <si>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</si>
  <si>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</si>
  <si>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</si>
  <si>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</si>
  <si>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</si>
  <si>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</si>
  <si>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</si>
  <si>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</si>
  <si>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</si>
  <si>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</si>
  <si>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</si>
  <si>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</si>
  <si>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</si>
  <si>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</si>
  <si>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</si>
  <si>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</si>
  <si>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</si>
  <si>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</si>
  <si>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</si>
  <si>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</si>
  <si>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</si>
  <si>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</si>
  <si>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</si>
  <si>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</si>
  <si>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</si>
  <si>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</si>
  <si>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</si>
  <si>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</si>
  <si>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</si>
  <si>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</si>
  <si>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</si>
  <si>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</si>
  <si>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</si>
  <si>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</si>
  <si>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</si>
  <si>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</si>
  <si>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</si>
  <si>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</si>
  <si>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</si>
  <si>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</si>
  <si>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</si>
  <si>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</si>
  <si>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</si>
  <si>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</si>
  <si>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</si>
  <si>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</si>
  <si>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</si>
  <si>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</si>
  <si>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</si>
  <si>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</si>
  <si>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</si>
  <si>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</si>
  <si>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</si>
  <si>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</si>
  <si>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</si>
  <si>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</si>
  <si>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</si>
  <si>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</si>
  <si>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</si>
  <si>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</si>
  <si>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</si>
  <si>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</si>
  <si>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</si>
  <si>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</si>
  <si>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</si>
  <si>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</si>
  <si>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</si>
  <si>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</si>
  <si>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</si>
  <si>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</si>
  <si>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</si>
  <si>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</si>
  <si>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</si>
  <si>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</si>
  <si>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</si>
  <si>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</si>
  <si>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</si>
  <si>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</si>
  <si>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</si>
  <si>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</si>
  <si>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</si>
  <si>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</si>
  <si>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</si>
  <si>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</si>
  <si>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</si>
  <si>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</si>
  <si>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</si>
  <si>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</si>
  <si>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</si>
  <si>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</si>
  <si>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</si>
  <si>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</si>
  <si>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</si>
  <si>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</si>
  <si>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</si>
  <si>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</si>
  <si>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</si>
  <si>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</si>
  <si>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</si>
  <si>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</si>
  <si>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</si>
  <si>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</si>
  <si>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</si>
  <si>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</si>
  <si>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</si>
  <si>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</si>
  <si>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</si>
  <si>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</si>
  <si>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</si>
  <si>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</si>
  <si>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</si>
  <si>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</si>
  <si>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</si>
  <si>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</si>
  <si>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</si>
  <si>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</si>
  <si>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</si>
  <si>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</si>
  <si>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</si>
  <si>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</si>
  <si>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</si>
  <si>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</si>
  <si>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</si>
  <si>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</si>
  <si>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</si>
  <si>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</si>
  <si>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</si>
  <si>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</si>
  <si>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</si>
  <si>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</si>
  <si>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</si>
  <si>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</si>
  <si>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</si>
  <si>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</si>
  <si>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</si>
  <si>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</si>
  <si>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</si>
  <si>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</si>
  <si>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</si>
  <si>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</si>
  <si>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</si>
  <si>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</si>
  <si>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</si>
  <si>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</si>
  <si>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</si>
  <si>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</si>
  <si>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</si>
  <si>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</si>
  <si>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</si>
  <si>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</si>
  <si>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</si>
  <si>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</si>
  <si>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00:48</t>
  </si>
  <si>
    <t>4</t>
  </si>
  <si>
    <t>104</t>
  </si>
  <si>
    <t>90</t>
  </si>
  <si>
    <t>01:46</t>
  </si>
  <si>
    <t>102</t>
  </si>
  <si>
    <t>88</t>
  </si>
  <si>
    <t>03:32</t>
  </si>
  <si>
    <t>95</t>
  </si>
  <si>
    <t>05:32</t>
  </si>
  <si>
    <t>80</t>
  </si>
  <si>
    <t>05:53</t>
  </si>
  <si>
    <t>86</t>
  </si>
  <si>
    <t>07:23</t>
  </si>
  <si>
    <t>81</t>
  </si>
  <si>
    <t>06:56</t>
  </si>
  <si>
    <t>3</t>
  </si>
  <si>
    <t>53</t>
  </si>
  <si>
    <t>58</t>
  </si>
  <si>
    <t>00:20</t>
  </si>
  <si>
    <t>2</t>
  </si>
  <si>
    <t>44</t>
  </si>
  <si>
    <t>55</t>
  </si>
  <si>
    <t>03:31</t>
  </si>
  <si>
    <t>39</t>
  </si>
  <si>
    <t>48</t>
  </si>
  <si>
    <t>30</t>
  </si>
  <si>
    <t>29</t>
  </si>
  <si>
    <t>03:57</t>
  </si>
  <si>
    <t>1</t>
  </si>
  <si>
    <t>13</t>
  </si>
  <si>
    <t>15</t>
  </si>
  <si>
    <t>03:01</t>
  </si>
  <si>
    <t>19</t>
  </si>
  <si>
    <t>08:52</t>
  </si>
  <si>
    <t>553</t>
  </si>
  <si>
    <t>537</t>
  </si>
  <si>
    <t>517</t>
  </si>
  <si>
    <t>479</t>
  </si>
  <si>
    <t>474</t>
  </si>
  <si>
    <t>450</t>
  </si>
  <si>
    <t>308</t>
  </si>
  <si>
    <t>253</t>
  </si>
  <si>
    <t>249</t>
  </si>
  <si>
    <t>207</t>
  </si>
  <si>
    <t>132</t>
  </si>
  <si>
    <t>49</t>
  </si>
  <si>
    <t>63</t>
  </si>
  <si>
    <t>JAIME LAQUIDAIN</t>
  </si>
  <si>
    <t>ALEX CORNET</t>
  </si>
  <si>
    <t>MARIA LUZ DEL PINO</t>
  </si>
  <si>
    <t>MARIA RUTH TARREGA DE LA RUA</t>
  </si>
  <si>
    <t>DANIEL MARTIN</t>
  </si>
  <si>
    <t>ALBERTO GONZALEZ</t>
  </si>
  <si>
    <t>ELOI VERGE</t>
  </si>
  <si>
    <t>C:\Users\eloi.verge\OneDrive - EUROLEAGUE\Desktop\GAME REPORTS\25-26</t>
  </si>
  <si>
    <t>Your performanced varied too much during the game, almost perfect 1st and 3rd quarter with just 3 criteria mistakes combined, however the number of mistakes of the importance of them was higher in the other 2 quarters (specially on the 2nd with the missing of a tech foul).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</si>
</sst>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19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19_189_MAD_DUB_E2025</v>
      </c>
      <c r="G1" s="5"/>
      <c r="H1" s="5"/>
      <c r="I1" s="5"/>
      <c r="J1" s="8" t="s">
        <v>707</v>
      </c>
      <c r="K1" s="121" t="s">
        <v>804</v>
      </c>
      <c r="L1" s="121"/>
      <c r="M1" s="122" t="s">
        <v>239</v>
      </c>
      <c r="N1" s="121" t="s">
        <v>804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189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46024.864583333336</v>
      </c>
      <c r="C3" s="157"/>
      <c r="D3" s="39">
        <v>566</v>
      </c>
      <c r="E3" s="29"/>
      <c r="F3" s="26">
        <f>SUBTOTAL(3,I17:I106)</f>
        <v>13</v>
      </c>
      <c r="G3" s="27">
        <f>IF(OR(D3="",D3=0),"",F3/D3)</f>
        <v>2.2968197879858657E-2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Real Madrid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MAD</v>
      </c>
      <c r="I4" s="5"/>
      <c r="J4" s="119" t="s">
        <v>714</v>
      </c>
      <c r="K4" s="54" t="s">
        <v>742</v>
      </c>
      <c r="L4" s="5"/>
      <c r="M4" s="167" t="s">
        <v>805</v>
      </c>
      <c r="N4" s="168"/>
      <c r="O4" s="2"/>
      <c r="P4" s="2"/>
      <c r="Q4" s="84" t="s">
        <v>175</v>
      </c>
      <c r="R4" s="94">
        <f>(IF(G3="",0,G3))</f>
        <v>2.2968197879858657E-2</v>
      </c>
      <c r="S4" s="61">
        <f>SUM(I13:M13)</f>
        <v>0</v>
      </c>
      <c r="T4" s="78"/>
      <c r="U4" s="61">
        <f>AC18</f>
        <v>8</v>
      </c>
      <c r="V4" s="61">
        <f>+AC22</f>
        <v>1</v>
      </c>
      <c r="W4" s="61">
        <f>AC24</f>
        <v>0</v>
      </c>
      <c r="X4" s="61">
        <f>AC29</f>
        <v>1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1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Dubai Basketball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DUB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2.2968197879858656</v>
      </c>
      <c r="S5" s="70">
        <f t="shared" ref="S5" si="0">S4*S3</f>
        <v>0</v>
      </c>
      <c r="T5" s="92"/>
      <c r="U5" s="70">
        <f t="shared" ref="U5:AG5" si="1">U4*U3</f>
        <v>4</v>
      </c>
      <c r="V5" s="70">
        <f t="shared" si="1"/>
        <v>1</v>
      </c>
      <c r="W5" s="70">
        <f t="shared" si="1"/>
        <v>0</v>
      </c>
      <c r="X5" s="70">
        <f t="shared" si="1"/>
        <v>1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15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797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798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28.296819787985864</v>
      </c>
      <c r="N7" s="58"/>
      <c r="O7" s="2"/>
      <c r="P7" s="2"/>
      <c r="Q7" s="86">
        <f>SUM(R5,S5,AC16)</f>
        <v>28.296819787985864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799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28.296819787985868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800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801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802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189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803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13</v>
      </c>
      <c r="J15" s="24">
        <f>SUBTOTAL(3,J17:J106)</f>
        <v>13</v>
      </c>
      <c r="K15" s="24">
        <f>SUBTOTAL(3,K17:K106)</f>
        <v>13</v>
      </c>
      <c r="L15" s="24">
        <f>SUBTOTAL(3,L17:L106)</f>
        <v>13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2</v>
      </c>
      <c r="X16" s="67" t="s">
        <v>58</v>
      </c>
      <c r="Y16" s="75">
        <f>SUM(Y17:Y24)</f>
        <v>13</v>
      </c>
      <c r="Z16" s="90" t="s">
        <v>110</v>
      </c>
      <c r="AA16" s="75">
        <f>SUM(AA17:AA24)</f>
        <v>13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26</v>
      </c>
      <c r="AD16" s="75">
        <f>SUM(AD17:AD24)</f>
        <v>45</v>
      </c>
      <c r="AE16" s="76" t="s">
        <v>42</v>
      </c>
      <c r="AF16" s="75">
        <f>SUM(AF17:AF24)</f>
        <v>7</v>
      </c>
      <c r="AG16" s="75">
        <f>SUM(AG17:AG21)</f>
        <v>13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189</v>
      </c>
      <c r="D17" s="32" t="s">
        <v>749</v>
      </c>
      <c r="E17" s="33" t="s">
        <v>750</v>
      </c>
      <c r="F17" s="36" t="s">
        <v>751</v>
      </c>
      <c r="G17" s="36" t="s">
        <v>752</v>
      </c>
      <c r="H17" s="38" t="str">
        <f>IF(I17="","",$I$14)</f>
        <v>SCOUTING</v>
      </c>
      <c r="I17" s="34" t="s">
        <v>784</v>
      </c>
      <c r="J17" s="13" t="s">
        <v>4</v>
      </c>
      <c r="K17" s="13" t="s">
        <v>62</v>
      </c>
      <c r="L17" s="13" t="s">
        <v>6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12</v>
      </c>
      <c r="Z17" s="105" t="s">
        <v>63</v>
      </c>
      <c r="AA17" s="62">
        <f>COUNTIF($K$17:$K$106,Z17)</f>
        <v>9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189</v>
      </c>
      <c r="D18" s="32" t="s">
        <v>753</v>
      </c>
      <c r="E18" s="33" t="s">
        <v>750</v>
      </c>
      <c r="F18" s="36" t="s">
        <v>754</v>
      </c>
      <c r="G18" s="36" t="s">
        <v>755</v>
      </c>
      <c r="H18" s="38" t="str">
        <f t="shared" ref="H18:H81" si="8">IF(I18="","",$I$14)</f>
        <v>SCOUTING</v>
      </c>
      <c r="I18" s="34" t="s">
        <v>785</v>
      </c>
      <c r="J18" s="13" t="s">
        <v>4</v>
      </c>
      <c r="K18" s="13" t="s">
        <v>63</v>
      </c>
      <c r="L18" s="13" t="s">
        <v>5</v>
      </c>
      <c r="M18" s="13" t="s">
        <v>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8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4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189</v>
      </c>
      <c r="D19" s="32" t="s">
        <v>756</v>
      </c>
      <c r="E19" s="33" t="s">
        <v>750</v>
      </c>
      <c r="F19" s="36" t="s">
        <v>757</v>
      </c>
      <c r="G19" s="36" t="s">
        <v>755</v>
      </c>
      <c r="H19" s="38" t="str">
        <f t="shared" si="8"/>
        <v>SCOUTING</v>
      </c>
      <c r="I19" s="34" t="s">
        <v>786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1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189</v>
      </c>
      <c r="D20" s="32" t="s">
        <v>758</v>
      </c>
      <c r="E20" s="33" t="s">
        <v>750</v>
      </c>
      <c r="F20" s="36" t="s">
        <v>755</v>
      </c>
      <c r="G20" s="36" t="s">
        <v>759</v>
      </c>
      <c r="H20" s="38" t="str">
        <f t="shared" si="8"/>
        <v>SCOUTING</v>
      </c>
      <c r="I20" s="34" t="s">
        <v>787</v>
      </c>
      <c r="J20" s="13" t="s">
        <v>4</v>
      </c>
      <c r="K20" s="13" t="s">
        <v>63</v>
      </c>
      <c r="L20" s="13" t="s">
        <v>5</v>
      </c>
      <c r="M20" s="13" t="s">
        <v>9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6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189</v>
      </c>
      <c r="D21" s="32" t="s">
        <v>760</v>
      </c>
      <c r="E21" s="33" t="s">
        <v>750</v>
      </c>
      <c r="F21" s="36" t="s">
        <v>761</v>
      </c>
      <c r="G21" s="36" t="s">
        <v>759</v>
      </c>
      <c r="H21" s="38" t="str">
        <f t="shared" si="8"/>
        <v>SCOUTING</v>
      </c>
      <c r="I21" s="34" t="s">
        <v>788</v>
      </c>
      <c r="J21" s="13" t="s">
        <v>4</v>
      </c>
      <c r="K21" s="13" t="s">
        <v>62</v>
      </c>
      <c r="L21" s="13" t="s">
        <v>5</v>
      </c>
      <c r="M21" s="13" t="s">
        <v>28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1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189</v>
      </c>
      <c r="D22" s="32" t="s">
        <v>762</v>
      </c>
      <c r="E22" s="33" t="s">
        <v>750</v>
      </c>
      <c r="F22" s="36" t="s">
        <v>763</v>
      </c>
      <c r="G22" s="36" t="s">
        <v>759</v>
      </c>
      <c r="H22" s="38" t="str">
        <f t="shared" si="8"/>
        <v>SCOUTING</v>
      </c>
      <c r="I22" s="34" t="s">
        <v>789</v>
      </c>
      <c r="J22" s="13" t="s">
        <v>4</v>
      </c>
      <c r="K22" s="13" t="s">
        <v>62</v>
      </c>
      <c r="L22" s="13" t="s">
        <v>7</v>
      </c>
      <c r="M22" s="13" t="s">
        <v>12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189</v>
      </c>
      <c r="D23" s="32" t="s">
        <v>764</v>
      </c>
      <c r="E23" s="33" t="s">
        <v>765</v>
      </c>
      <c r="F23" s="36" t="s">
        <v>766</v>
      </c>
      <c r="G23" s="36" t="s">
        <v>767</v>
      </c>
      <c r="H23" s="38" t="str">
        <f t="shared" si="8"/>
        <v>SCOUTING</v>
      </c>
      <c r="I23" s="34" t="s">
        <v>790</v>
      </c>
      <c r="J23" s="13" t="s">
        <v>4</v>
      </c>
      <c r="K23" s="13" t="s">
        <v>63</v>
      </c>
      <c r="L23" s="13" t="s">
        <v>5</v>
      </c>
      <c r="M23" s="13" t="s">
        <v>9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189</v>
      </c>
      <c r="D24" s="32" t="s">
        <v>768</v>
      </c>
      <c r="E24" s="33" t="s">
        <v>769</v>
      </c>
      <c r="F24" s="36" t="s">
        <v>770</v>
      </c>
      <c r="G24" s="36" t="s">
        <v>771</v>
      </c>
      <c r="H24" s="38" t="str">
        <f t="shared" si="8"/>
        <v>SCOUTING</v>
      </c>
      <c r="I24" s="34" t="s">
        <v>791</v>
      </c>
      <c r="J24" s="13" t="s">
        <v>3</v>
      </c>
      <c r="K24" s="13" t="s">
        <v>62</v>
      </c>
      <c r="L24" s="13" t="s">
        <v>76</v>
      </c>
      <c r="M24" s="13" t="s">
        <v>31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E2025</v>
      </c>
      <c r="C25" s="31">
        <f t="shared" si="3"/>
        <v>189</v>
      </c>
      <c r="D25" s="32" t="s">
        <v>768</v>
      </c>
      <c r="E25" s="33" t="s">
        <v>769</v>
      </c>
      <c r="F25" s="36" t="s">
        <v>770</v>
      </c>
      <c r="G25" s="36" t="s">
        <v>771</v>
      </c>
      <c r="H25" s="38" t="str">
        <f t="shared" si="8"/>
        <v>SCOUTING</v>
      </c>
      <c r="I25" s="34" t="s">
        <v>792</v>
      </c>
      <c r="J25" s="13" t="s">
        <v>4</v>
      </c>
      <c r="K25" s="13" t="s">
        <v>63</v>
      </c>
      <c r="L25" s="13" t="s">
        <v>7</v>
      </c>
      <c r="M25" s="13" t="s">
        <v>168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E2025</v>
      </c>
      <c r="C26" s="31">
        <f t="shared" si="3"/>
        <v>189</v>
      </c>
      <c r="D26" s="32" t="s">
        <v>772</v>
      </c>
      <c r="E26" s="33" t="s">
        <v>769</v>
      </c>
      <c r="F26" s="36" t="s">
        <v>773</v>
      </c>
      <c r="G26" s="36" t="s">
        <v>774</v>
      </c>
      <c r="H26" s="38" t="str">
        <f t="shared" si="8"/>
        <v>SCOUTING</v>
      </c>
      <c r="I26" s="34" t="s">
        <v>793</v>
      </c>
      <c r="J26" s="13" t="s">
        <v>4</v>
      </c>
      <c r="K26" s="13" t="s">
        <v>63</v>
      </c>
      <c r="L26" s="13" t="s">
        <v>5</v>
      </c>
      <c r="M26" s="13" t="s">
        <v>11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E2025</v>
      </c>
      <c r="C27" s="31">
        <f t="shared" si="3"/>
        <v>189</v>
      </c>
      <c r="D27" s="32" t="s">
        <v>783</v>
      </c>
      <c r="E27" s="33" t="s">
        <v>769</v>
      </c>
      <c r="F27" s="36" t="s">
        <v>775</v>
      </c>
      <c r="G27" s="36" t="s">
        <v>776</v>
      </c>
      <c r="H27" s="38" t="str">
        <f t="shared" si="8"/>
        <v>SCOUTING</v>
      </c>
      <c r="I27" s="34" t="s">
        <v>794</v>
      </c>
      <c r="J27" s="13" t="s">
        <v>4</v>
      </c>
      <c r="K27" s="13" t="s">
        <v>63</v>
      </c>
      <c r="L27" s="13" t="s">
        <v>75</v>
      </c>
      <c r="M27" s="13" t="s">
        <v>8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E2025</v>
      </c>
      <c r="C28" s="31">
        <f t="shared" si="3"/>
        <v>189</v>
      </c>
      <c r="D28" s="32" t="s">
        <v>777</v>
      </c>
      <c r="E28" s="33" t="s">
        <v>778</v>
      </c>
      <c r="F28" s="36" t="s">
        <v>779</v>
      </c>
      <c r="G28" s="36" t="s">
        <v>780</v>
      </c>
      <c r="H28" s="38" t="str">
        <f t="shared" si="8"/>
        <v>SCOUTING</v>
      </c>
      <c r="I28" s="34" t="s">
        <v>795</v>
      </c>
      <c r="J28" s="13" t="s">
        <v>4</v>
      </c>
      <c r="K28" s="13" t="s">
        <v>63</v>
      </c>
      <c r="L28" s="13" t="s">
        <v>5</v>
      </c>
      <c r="M28" s="13" t="s">
        <v>28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>E2025</v>
      </c>
      <c r="C29" s="31">
        <f t="shared" si="3"/>
        <v>189</v>
      </c>
      <c r="D29" s="32" t="s">
        <v>781</v>
      </c>
      <c r="E29" s="33" t="s">
        <v>778</v>
      </c>
      <c r="F29" s="36" t="s">
        <v>780</v>
      </c>
      <c r="G29" s="36" t="s">
        <v>782</v>
      </c>
      <c r="H29" s="38" t="str">
        <f t="shared" si="8"/>
        <v>SCOUTING</v>
      </c>
      <c r="I29" s="34" t="s">
        <v>796</v>
      </c>
      <c r="J29" s="13" t="s">
        <v>4</v>
      </c>
      <c r="K29" s="13" t="s">
        <v>63</v>
      </c>
      <c r="L29" s="13" t="s">
        <v>5</v>
      </c>
      <c r="M29" s="13" t="s">
        <v>11</v>
      </c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2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1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3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REPORT_E2025189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"E2025189"</v>
      </c>
      <c r="F3" s="45" t="str">
        <f t="shared" ref="F3:F16" si="0">""""&amp;B3&amp;"""" &amp; " : " &amp;C3&amp;","</f>
        <v>"name" : "E2025189",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"E189"</v>
      </c>
      <c r="F4" s="45" t="str">
        <f t="shared" si="0"/>
        <v>"cod" : "E189",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189</v>
      </c>
      <c r="F6" s="45" t="str">
        <f t="shared" si="0"/>
        <v>"number" : 189,</v>
      </c>
    </row>
    <row r="7" spans="2:6" x14ac:dyDescent="0.25">
      <c r="B7" s="43" t="s">
        <v>116</v>
      </c>
      <c r="C7" s="43" t="str">
        <f ca="1">""""&amp;TEXT('SCOUT &amp; LOGISTICS'!B3,"dd/mm/aaaa")&amp;""""</f>
        <v>"02/01/2026"</v>
      </c>
      <c r="F7" s="45" t="str">
        <f t="shared" ca="1" si="0"/>
        <v>"date" : "02/01/2026",</v>
      </c>
    </row>
    <row r="8" spans="2:6" x14ac:dyDescent="0.25">
      <c r="B8" s="43" t="s">
        <v>125</v>
      </c>
      <c r="C8" s="43" t="str">
        <f>""""&amp;'SCOUT &amp; LOGISTICS'!D4 &amp;""""</f>
        <v>"Real Madrid"</v>
      </c>
      <c r="F8" s="45" t="str">
        <f t="shared" si="0"/>
        <v>"home_team" : "Real Madrid",</v>
      </c>
    </row>
    <row r="9" spans="2:6" x14ac:dyDescent="0.25">
      <c r="B9" s="43" t="s">
        <v>126</v>
      </c>
      <c r="C9" s="43" t="str">
        <f>""""&amp;'SCOUT &amp; LOGISTICS'!D5&amp;""""</f>
        <v>"Dubai Basketball"</v>
      </c>
      <c r="F9" s="45" t="str">
        <f t="shared" si="0"/>
        <v>"away_team" : "Dubai Basketball",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"JAIME LAQUIDAIN"</v>
      </c>
      <c r="F10" s="45" t="str">
        <f t="shared" si="0"/>
        <v>"Data_entry" : "JAIME LAQUIDAIN",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"ALEX CORNET"</v>
      </c>
      <c r="F11" s="45" t="str">
        <f t="shared" si="0"/>
        <v>"Caller_1" : "ALEX CORNET",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"MARIA LUZ DEL PINO"</v>
      </c>
      <c r="F12" s="45" t="str">
        <f t="shared" si="0"/>
        <v>"Caller_2" : "MARIA LUZ DEL PINO",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"MARIA RUTH TARREGA DE LA RUA"</v>
      </c>
      <c r="F13" s="45" t="str">
        <f t="shared" si="0"/>
        <v>"Timerkeeper" : "MARIA RUTH TARREGA DE LA RUA",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"DANIEL MARTIN"</v>
      </c>
      <c r="F14" s="45" t="str">
        <f t="shared" si="0"/>
        <v>"Shotclock" : "DANIEL MARTIN",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"ALBERTO GONZALEZ"</v>
      </c>
      <c r="F15" s="45" t="str">
        <f t="shared" si="0"/>
        <v>"IRS" : "ALBERTO GONZALEZ",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VERGE"</v>
      </c>
      <c r="F16" s="45" t="str">
        <f t="shared" si="0"/>
        <v>"Live_Game_Manager" : "ELOI VERGE",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566</v>
      </c>
      <c r="F25" s="45" t="str">
        <f t="shared" ref="F25:F48" si="1">""""&amp;C25&amp;"""" &amp; " : " &amp;D25&amp;","</f>
        <v>"total_actions" : 566,</v>
      </c>
    </row>
    <row r="26" spans="2:6" x14ac:dyDescent="0.25">
      <c r="C26" s="43" t="s">
        <v>132</v>
      </c>
      <c r="D26" s="43">
        <f>'SCOUT &amp; LOGISTICS'!F3</f>
        <v>13</v>
      </c>
      <c r="F26" s="45" t="str">
        <f t="shared" si="1"/>
        <v>"total_correcions" : 13,</v>
      </c>
    </row>
    <row r="27" spans="2:6" x14ac:dyDescent="0.25">
      <c r="C27" s="43" t="s">
        <v>133</v>
      </c>
      <c r="D27" s="43" t="str">
        <f>""""&amp;IF(OR(D25="",D25=0),"",TEXT(D26/D25,"0,0%"))&amp;""""</f>
        <v>"2,3%"</v>
      </c>
      <c r="F27" s="45" t="str">
        <f t="shared" si="1"/>
        <v>"%_corrections" : "2,3%",</v>
      </c>
    </row>
    <row r="28" spans="2:6" x14ac:dyDescent="0.25">
      <c r="C28" s="43" t="s">
        <v>125</v>
      </c>
      <c r="D28" s="43">
        <f>IF('SCOUT &amp; LOGISTICS'!AA17="","",'SCOUT &amp; LOGISTICS'!AA17)</f>
        <v>9</v>
      </c>
      <c r="F28" s="45" t="str">
        <f t="shared" si="1"/>
        <v>"home_team" : 9,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4</v>
      </c>
      <c r="F32" s="45" t="str">
        <f t="shared" si="1"/>
        <v>"q2" : 4,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6</v>
      </c>
      <c r="F34" s="45" t="str">
        <f t="shared" si="1"/>
        <v>"q4" : 6,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13</v>
      </c>
      <c r="F37" s="45" t="str">
        <f t="shared" si="1"/>
        <v>"scoresheet_corrections" : 13,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8</v>
      </c>
      <c r="F39" s="45" t="str">
        <f t="shared" si="1"/>
        <v>"missidentity" : 8,</v>
      </c>
    </row>
    <row r="40" spans="3:6" x14ac:dyDescent="0.25">
      <c r="C40" s="43" t="s">
        <v>143</v>
      </c>
      <c r="D40" s="43">
        <f>'SCOUT &amp; LOGISTICS'!AC19</f>
        <v>1</v>
      </c>
      <c r="F40" s="45" t="str">
        <f t="shared" si="1"/>
        <v>"missing" : 1,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2</v>
      </c>
      <c r="F48" s="45" t="str">
        <f t="shared" si="1"/>
        <v>"fouls" : 2,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"Your performanced varied too much during the game, almost perfect 1st and 3rd quarter with just 3 criteria mistakes combined, however the number of mistakes of the importance of them was higher in the other 2 quarters (specially on the 2nd with the missing of a tech foul)."</v>
      </c>
      <c r="F51" s="45" t="str">
        <f>""""&amp;B51&amp;"""" &amp; " : " &amp;C51&amp;","</f>
        <v>"comments" : "Your performanced varied too much during the game, almost perfect 1st and 3rd quarter with just 3 criteria mistakes combined, however the number of mistakes of the importance of them was higher in the other 2 quarters (specially on the 2nd with the missing of a tech foul).",</v>
      </c>
    </row>
    <row r="52" spans="2:6" x14ac:dyDescent="0.25">
      <c r="B52" s="43" t="s">
        <v>153</v>
      </c>
      <c r="C52" s="43" t="str">
        <f>TEXT('SCOUT &amp; LOGISTICS'!F1,"0,0")</f>
        <v>19_189_MAD_DUB_E2025</v>
      </c>
      <c r="F52" s="45" t="str">
        <f>""""&amp;B52&amp;"""" &amp; " : " &amp;C52</f>
        <v>"result" : 19_189_MAD_DUB_E2025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E189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02/01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Real Madrid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Dubai Basketball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JAIME LAQUIDAIN</v>
      </c>
      <c r="C8" s="206"/>
      <c r="D8" s="206"/>
      <c r="E8" s="206"/>
      <c r="F8" s="206"/>
      <c r="G8" s="206" t="str">
        <f>IF('SCOUT &amp; LOGISTICS'!D7="","",'SCOUT &amp; LOGISTICS'!D7)</f>
        <v>ALEX CORNET</v>
      </c>
      <c r="H8" s="206"/>
      <c r="I8" s="206"/>
      <c r="J8" s="206"/>
      <c r="K8" s="206"/>
      <c r="L8" s="206" t="str">
        <f>IF('SCOUT &amp; LOGISTICS'!D8="","",'SCOUT &amp; LOGISTICS'!D8)</f>
        <v>MARIA LUZ DEL PINO</v>
      </c>
      <c r="M8" s="206"/>
      <c r="N8" s="206"/>
      <c r="O8" s="206"/>
      <c r="P8" s="206"/>
      <c r="Q8" s="206" t="str">
        <f>IF('SCOUT &amp; LOGISTICS'!D9="","",'SCOUT &amp; LOGISTICS'!D9)</f>
        <v>MARIA RUTH TARREGA DE LA RUA</v>
      </c>
      <c r="R8" s="206"/>
      <c r="S8" s="206"/>
      <c r="T8" s="206"/>
      <c r="U8" s="206"/>
      <c r="V8" s="206" t="str">
        <f>IF('SCOUT &amp; LOGISTICS'!D10="","",'SCOUT &amp; LOGISTICS'!D10)</f>
        <v>DANIEL MARTIN</v>
      </c>
      <c r="W8" s="206"/>
      <c r="X8" s="206"/>
      <c r="Y8" s="206"/>
      <c r="Z8" s="206"/>
      <c r="AA8" s="206" t="str">
        <f>IF('SCOUT &amp; LOGISTICS'!D11="","",'SCOUT &amp; LOGISTICS'!D11)</f>
        <v>ALBERTO GONZALEZ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566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2.2968197879858657E-2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9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4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4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6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12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1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8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2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1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1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Your performanced varied too much during the game, almost perfect 1st and 3rd quarter with just 3 criteria mistakes combined, however the number of mistakes of the importance of them was higher in the other 2 quarters (specially on the 2nd with the missing of a tech foul).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28.296819787985864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5AFC3A-EDA6-4667-94DF-7E4C75743CA0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2026-01-02T22:21:28Z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