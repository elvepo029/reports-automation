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96" documentId="8_{E3D5762B-CBD0-4C03-84BF-19BBECE56BA0}" xr6:coauthVersionLast="47" xr6:coauthVersionMax="47" xr10:uidLastSave="{17CDF93D-DE75-4F1B-A6AE-A78398FCFBEB}"/>
  <bookViews>
    <workbookView xWindow="28680" yWindow="-1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<sst xmlns="http://schemas.openxmlformats.org/spreadsheetml/2006/main" count="3275" uniqueCount="765">
  <si>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</si>
  <si>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</si>
  <si>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</si>
  <si>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</si>
  <si>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</si>
  <si>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</si>
  <si>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</si>
  <si>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</si>
  <si>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</si>
  <si>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</si>
  <si>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</si>
  <si>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</si>
  <si>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</si>
  <si>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</si>
  <si>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</si>
  <si>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</si>
  <si>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</si>
  <si>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</si>
  <si>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</si>
  <si>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</si>
  <si>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</si>
  <si>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</si>
  <si>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</si>
  <si>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</si>
  <si>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</si>
  <si>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</si>
  <si>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</si>
  <si>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</si>
  <si>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</si>
  <si>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</si>
  <si>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</si>
  <si>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</si>
  <si>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</si>
  <si>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</si>
  <si>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</si>
  <si>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</si>
  <si>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</si>
  <si>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</si>
  <si>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</si>
  <si>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</si>
  <si>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</si>
  <si>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</si>
  <si>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</si>
  <si>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</si>
  <si>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</si>
  <si>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</si>
  <si>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</si>
  <si>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</si>
  <si>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</si>
  <si>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</si>
  <si>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</si>
  <si>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</si>
  <si>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</si>
  <si>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</si>
  <si>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</si>
  <si>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</si>
  <si>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</si>
  <si>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</si>
  <si>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</si>
  <si>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</si>
  <si>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</si>
  <si>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</si>
  <si>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</si>
  <si>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</si>
  <si>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</si>
  <si>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</si>
  <si>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</si>
  <si>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</si>
  <si>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</si>
  <si>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</si>
  <si>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</si>
  <si>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</si>
  <si>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</si>
  <si>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</si>
  <si>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</si>
  <si>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</si>
  <si>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</si>
  <si>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</si>
  <si>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</si>
  <si>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</si>
  <si>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</si>
  <si>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</si>
  <si>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</si>
  <si>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</si>
  <si>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</si>
  <si>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</si>
  <si>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</si>
  <si>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</si>
  <si>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</si>
  <si>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</si>
  <si>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</si>
  <si>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</si>
  <si>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</si>
  <si>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</si>
  <si>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</si>
  <si>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</si>
  <si>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</si>
  <si>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</si>
  <si>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</si>
  <si>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</si>
  <si>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</si>
  <si>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</si>
  <si>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</si>
  <si>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</si>
  <si>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</si>
  <si>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</si>
  <si>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</si>
  <si>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</si>
  <si>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</si>
  <si>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</si>
  <si>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</si>
  <si>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</si>
  <si>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</si>
  <si>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</si>
  <si>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</si>
  <si>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</si>
  <si>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</si>
  <si>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</si>
  <si>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</si>
  <si>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</si>
  <si>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</si>
  <si>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</si>
  <si>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</si>
  <si>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</si>
  <si>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</si>
  <si>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</si>
  <si>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</si>
  <si>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</si>
  <si>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</si>
  <si>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</si>
  <si>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</si>
  <si>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</si>
  <si>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</si>
  <si>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</si>
  <si>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</si>
  <si>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</si>
  <si>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</si>
  <si>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</si>
  <si>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</si>
  <si>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</si>
  <si>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</si>
  <si>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</si>
  <si>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</si>
  <si>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</si>
  <si>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</si>
  <si>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</si>
  <si>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</si>
  <si>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</si>
  <si>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</si>
  <si>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</si>
  <si>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</si>
  <si>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</si>
  <si>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</si>
  <si>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</si>
  <si>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</si>
  <si>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</si>
  <si>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</si>
  <si>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</si>
  <si>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</si>
  <si>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</si>
  <si>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</si>
  <si>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</si>
  <si>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</si>
  <si>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</si>
  <si>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</si>
  <si>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</si>
  <si>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</si>
  <si>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</si>
  <si>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</si>
  <si>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</si>
  <si>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</si>
  <si>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</si>
  <si>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</si>
  <si>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</si>
  <si>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</si>
  <si>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</si>
  <si>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</si>
  <si>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</si>
  <si>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</si>
  <si>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</si>
  <si>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</si>
  <si>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</si>
  <si>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</si>
  <si>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</si>
  <si>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</si>
  <si>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</si>
  <si>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</si>
  <si>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</si>
  <si>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</si>
  <si>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</si>
  <si>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</si>
  <si>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</si>
  <si>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</si>
  <si>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</si>
  <si>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</si>
  <si>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</si>
  <si>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</si>
  <si>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</si>
  <si>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</si>
  <si>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</si>
  <si>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</si>
  <si>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</si>
  <si>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</si>
  <si>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</si>
  <si>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</si>
  <si>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</si>
  <si>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</si>
  <si>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</si>
  <si>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</si>
  <si>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</si>
  <si>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</si>
  <si>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</si>
  <si>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</si>
  <si>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</si>
  <si>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</si>
  <si>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</si>
  <si>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</si>
  <si>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</si>
  <si>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</si>
  <si>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</si>
  <si>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</si>
  <si>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</si>
  <si>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</si>
  <si>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</si>
  <si>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</si>
  <si>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</si>
  <si>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</si>
  <si>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</si>
  <si>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</si>
  <si>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</si>
  <si>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</si>
  <si>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</si>
  <si>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</si>
  <si>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</si>
  <si>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</si>
  <si>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</si>
  <si>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</si>
  <si>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</si>
  <si>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</si>
  <si>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</si>
  <si>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</si>
  <si>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</si>
  <si>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</si>
  <si>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</si>
  <si>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</si>
  <si>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</si>
  <si>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</si>
  <si>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</si>
  <si>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</si>
  <si>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</si>
  <si>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</si>
  <si>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</si>
  <si>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</si>
  <si>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</si>
  <si>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</si>
  <si>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</si>
  <si>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</si>
  <si>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</si>
  <si>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</si>
  <si>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</si>
  <si>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</si>
  <si>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</si>
  <si>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</si>
  <si>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</si>
  <si>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</si>
  <si>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</si>
  <si>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</si>
  <si>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</si>
  <si>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</si>
  <si>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</si>
  <si>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</si>
  <si>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</si>
  <si>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</si>
  <si>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</si>
  <si>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</si>
  <si>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</si>
  <si>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</si>
  <si>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</si>
  <si>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</si>
  <si>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</si>
  <si>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</si>
  <si>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</si>
  <si>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</si>
  <si>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</si>
  <si>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</si>
  <si>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</si>
  <si>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</si>
  <si>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</si>
  <si>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</si>
  <si>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</si>
  <si>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</si>
  <si>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</si>
  <si>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</si>
  <si>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</si>
  <si>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</si>
  <si>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</si>
  <si>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</si>
  <si>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</si>
  <si>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</si>
  <si>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</si>
  <si>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</si>
  <si>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</si>
  <si>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</si>
  <si>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</si>
  <si>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</si>
  <si>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</si>
  <si>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</si>
  <si>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</si>
  <si>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</si>
  <si>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</si>
  <si>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</si>
  <si>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</si>
  <si>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</si>
  <si>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</si>
  <si>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</si>
  <si>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</si>
  <si>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</si>
  <si>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</si>
  <si>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</si>
  <si>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</si>
  <si>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</si>
  <si>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</si>
  <si>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</si>
  <si>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</si>
  <si>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</si>
  <si>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</si>
  <si>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</si>
  <si>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</si>
  <si>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</si>
  <si>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</si>
  <si>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</si>
  <si>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</si>
  <si>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</si>
  <si>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</si>
  <si>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</si>
  <si>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</si>
  <si>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</si>
  <si>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</si>
  <si>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</si>
  <si>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</si>
  <si>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</si>
  <si>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</si>
  <si>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</si>
  <si>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</si>
  <si>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</si>
  <si>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</si>
  <si>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</si>
  <si>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</si>
  <si>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</si>
  <si>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</si>
  <si>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</si>
  <si>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</si>
  <si>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</si>
  <si>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</si>
  <si>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</si>
  <si>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</si>
  <si>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</si>
  <si>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</si>
  <si>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</si>
  <si>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</si>
  <si>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</si>
  <si>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</si>
  <si>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</si>
  <si>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</si>
  <si>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</si>
  <si>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</si>
  <si>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</si>
  <si>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</si>
  <si>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</si>
  <si>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</si>
  <si>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</si>
  <si>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</si>
  <si>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</si>
  <si>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</si>
  <si>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</si>
  <si>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</si>
  <si>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</si>
  <si>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</si>
  <si>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</si>
  <si>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</si>
  <si>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</si>
  <si>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</si>
  <si>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</si>
  <si>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</si>
  <si>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</si>
  <si>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</si>
  <si>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</si>
  <si>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</si>
  <si>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</si>
  <si>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</si>
  <si>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</si>
  <si>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</si>
  <si>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</si>
  <si>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</si>
  <si>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</si>
  <si>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</si>
  <si>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</si>
  <si>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</si>
  <si>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</si>
  <si>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</si>
  <si>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</si>
  <si>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</si>
  <si>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</si>
  <si>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</si>
  <si>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</si>
  <si>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</si>
  <si>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</si>
  <si>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</si>
  <si>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</si>
  <si>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</si>
  <si>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</si>
  <si>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</si>
  <si>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</si>
  <si>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</si>
  <si>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</si>
  <si>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</si>
  <si>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</si>
  <si>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</si>
  <si>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</si>
  <si>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</si>
  <si>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</si>
  <si>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</si>
  <si>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</si>
  <si>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</si>
  <si>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</si>
  <si>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</si>
  <si>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</si>
  <si>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</si>
  <si>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</si>
  <si>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</si>
  <si>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</si>
  <si>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</si>
  <si>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</si>
  <si>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</si>
  <si>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</si>
  <si>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</si>
  <si>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</si>
  <si>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</si>
  <si>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</si>
  <si>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</si>
  <si>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</si>
  <si>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</si>
  <si>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</si>
  <si>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</si>
  <si>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</si>
  <si>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</si>
  <si>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</si>
  <si>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</si>
  <si>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</si>
  <si>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</si>
  <si>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</si>
  <si>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</si>
  <si>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</si>
  <si>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</si>
  <si>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</si>
  <si>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</si>
  <si>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</si>
  <si>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</si>
  <si>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</si>
  <si>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</si>
  <si>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</si>
  <si>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</si>
  <si>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</si>
  <si>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</si>
  <si>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</si>
  <si>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</si>
  <si>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</si>
  <si>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</si>
  <si>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</si>
  <si>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</si>
  <si>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</si>
  <si>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</si>
  <si>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</si>
  <si>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</si>
  <si>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</si>
  <si>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</si>
  <si>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</si>
  <si>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</si>
  <si>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</si>
  <si>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</si>
  <si>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</si>
  <si>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</si>
  <si>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</si>
  <si>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</si>
  <si>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</si>
  <si>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</si>
  <si>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</si>
  <si>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</si>
  <si>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</si>
  <si>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</si>
  <si>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</si>
  <si>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</si>
  <si>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</si>
  <si>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</si>
  <si>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</si>
  <si>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</si>
  <si>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</si>
  <si>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</si>
  <si>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</si>
  <si>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</si>
  <si>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</si>
  <si>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</si>
  <si>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</si>
  <si>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</si>
  <si>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</si>
  <si>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</si>
  <si>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</si>
  <si>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</si>
  <si>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</si>
  <si>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</si>
  <si>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</si>
  <si>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</si>
  <si>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</si>
  <si>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</si>
  <si>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</si>
  <si>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</si>
  <si>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</si>
  <si>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</si>
  <si>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</si>
  <si>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</si>
  <si>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</si>
  <si>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</si>
  <si>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</si>
  <si>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</si>
  <si>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</si>
  <si>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</si>
  <si>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</si>
  <si>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</si>
  <si>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</si>
  <si>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</si>
  <si>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</si>
  <si>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</si>
  <si>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</si>
  <si>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</si>
  <si>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</si>
  <si>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</si>
  <si>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</si>
  <si>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</si>
  <si>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</si>
  <si>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</si>
  <si>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</si>
  <si>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</si>
  <si>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</si>
  <si>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</si>
  <si>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</si>
  <si>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</si>
  <si>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</si>
  <si>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</si>
  <si>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</si>
  <si>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</si>
  <si>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</si>
  <si>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</si>
  <si>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</si>
  <si>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</si>
  <si>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</si>
  <si>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</si>
  <si>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</si>
  <si>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</si>
  <si>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</si>
  <si>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</si>
  <si>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</si>
  <si>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</si>
  <si>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</si>
  <si>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</si>
  <si>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</si>
  <si>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</si>
  <si>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</si>
  <si>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</si>
  <si>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</si>
  <si>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</si>
  <si>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</si>
  <si>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</si>
  <si>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</si>
  <si>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</si>
  <si>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</si>
  <si>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</si>
  <si>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</si>
  <si>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</si>
  <si>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</si>
  <si>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</si>
  <si>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</si>
  <si>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</si>
  <si>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</si>
  <si>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</si>
  <si>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</si>
  <si>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</si>
  <si>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</si>
  <si>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</si>
  <si>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</si>
  <si>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</si>
  <si>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</si>
  <si>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</si>
  <si>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</si>
  <si>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</si>
  <si>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</si>
  <si>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</si>
  <si>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</si>
  <si>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</si>
  <si>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</si>
  <si>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</si>
  <si>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</si>
  <si>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</si>
  <si>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</si>
  <si>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</si>
  <si>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</si>
  <si>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</si>
  <si>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</si>
  <si>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</si>
  <si>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</si>
  <si>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</si>
  <si>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</si>
  <si>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</si>
  <si>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</si>
  <si>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</si>
  <si>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</si>
  <si>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</si>
  <si>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</si>
  <si>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</si>
  <si>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</si>
  <si>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</si>
  <si>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</si>
  <si>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</si>
  <si>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</si>
  <si>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</si>
  <si>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</si>
  <si>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</si>
  <si>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</si>
  <si>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</si>
  <si>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</si>
  <si>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</si>
  <si>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</si>
  <si>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</si>
  <si>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</si>
  <si>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</si>
  <si>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</si>
  <si>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</si>
  <si>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</si>
  <si>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</si>
  <si>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</si>
  <si>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</si>
  <si>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</si>
  <si>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</si>
  <si>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</si>
  <si>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</si>
  <si>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</si>
  <si>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</si>
  <si>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</si>
  <si>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</si>
  <si>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</si>
  <si>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</si>
  <si>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</si>
  <si>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</si>
  <si>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</si>
  <si>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</si>
  <si>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</si>
  <si>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</si>
  <si>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</si>
  <si>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</si>
  <si>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</si>
  <si>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</si>
  <si>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</si>
  <si>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</si>
  <si>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</si>
  <si>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</si>
  <si>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</si>
  <si>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</si>
  <si>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</si>
  <si>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</si>
  <si>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</si>
  <si>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</si>
  <si>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</si>
  <si>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</si>
  <si>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</si>
  <si>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</si>
  <si>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</si>
  <si>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</si>
  <si>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</si>
  <si>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</si>
  <si>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</si>
  <si>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</si>
  <si>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</si>
  <si>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</si>
  <si>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</si>
  <si>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</si>
  <si>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</si>
  <si>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</si>
  <si>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</si>
  <si>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</si>
  <si>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</si>
  <si>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</si>
  <si>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</si>
  <si>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</si>
  <si>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</si>
  <si>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</si>
  <si>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</si>
  <si>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</si>
  <si>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</si>
  <si>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</si>
  <si>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</si>
  <si>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</si>
  <si>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</si>
  <si>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</si>
  <si>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</si>
  <si>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</si>
  <si>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</si>
  <si>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</si>
  <si>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</si>
  <si>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</si>
  <si>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</si>
  <si>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</si>
  <si>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</si>
  <si>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</si>
  <si>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</si>
  <si>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</si>
  <si>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</si>
  <si>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</si>
  <si>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</si>
  <si>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</si>
  <si>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</si>
  <si>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</si>
  <si>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</si>
  <si>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</si>
  <si>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</si>
  <si>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</si>
  <si>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</si>
  <si>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</si>
  <si>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</si>
  <si>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</si>
  <si>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</si>
  <si>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</si>
  <si>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</si>
  <si>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</si>
  <si>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</si>
  <si>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</si>
  <si>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</si>
  <si>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</si>
  <si>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</si>
  <si>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</si>
  <si>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</si>
  <si>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</si>
  <si>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</si>
  <si>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</si>
  <si>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</si>
  <si>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</si>
  <si>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</si>
  <si>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</si>
  <si>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</si>
  <si>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</si>
  <si>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</si>
  <si>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C:\Users\hector.guillen\EUROLEAGUE\EB STATS - Documents\General\SEASON 2025-26\Reports\Euroleague</t>
  </si>
  <si>
    <t>C:\Users\hector.guillen\EUROLEAGUE\EB STATS - Documents\General\SEASON 2025-26\Reports\Euroleague\PDF</t>
  </si>
  <si>
    <t>GIACOMO CAMPANELLA</t>
  </si>
  <si>
    <t>SIMONE LICEN</t>
  </si>
  <si>
    <t>MATTEO PAGLIARA</t>
  </si>
  <si>
    <t>LAURA PIOMBONI</t>
  </si>
  <si>
    <t>FRANCESCA DONNICI</t>
  </si>
  <si>
    <t>FEDERICO GRAZI</t>
  </si>
  <si>
    <t>HECTOR GUILLEN</t>
  </si>
  <si>
    <t>5:08</t>
  </si>
  <si>
    <t>0:57</t>
  </si>
  <si>
    <t>8:07</t>
  </si>
  <si>
    <t>7:40</t>
  </si>
  <si>
    <t>4:58</t>
  </si>
  <si>
    <t>3:21</t>
  </si>
  <si>
    <t>Good game overall, just be a bit more attentive to the deflections. Keep it up!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</si>
</sst>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19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19_190_VIR_MIL_E2025</v>
      </c>
      <c r="G1" s="5"/>
      <c r="H1" s="5"/>
      <c r="I1" s="5"/>
      <c r="J1" s="8" t="s">
        <v>707</v>
      </c>
      <c r="K1" s="121" t="s">
        <v>749</v>
      </c>
      <c r="L1" s="121"/>
      <c r="M1" s="122" t="s">
        <v>239</v>
      </c>
      <c r="N1" s="121" t="s">
        <v>750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190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46024.854166666664</v>
      </c>
      <c r="C3" s="157"/>
      <c r="D3" s="39">
        <v>574</v>
      </c>
      <c r="E3" s="29"/>
      <c r="F3" s="26">
        <f>SUBTOTAL(3,I17:I106)</f>
        <v>6</v>
      </c>
      <c r="G3" s="27">
        <f>IF(OR(D3="",D3=0),"",F3/D3)</f>
        <v>1.0452961672473868E-2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Virtus Bologna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VIR</v>
      </c>
      <c r="I4" s="5"/>
      <c r="J4" s="119" t="s">
        <v>714</v>
      </c>
      <c r="K4" s="54" t="s">
        <v>742</v>
      </c>
      <c r="L4" s="5"/>
      <c r="M4" s="167" t="s">
        <v>764</v>
      </c>
      <c r="N4" s="168"/>
      <c r="O4" s="2"/>
      <c r="P4" s="2"/>
      <c r="Q4" s="84" t="s">
        <v>175</v>
      </c>
      <c r="R4" s="94">
        <f>(IF(G3="",0,G3))</f>
        <v>1.0452961672473868E-2</v>
      </c>
      <c r="S4" s="61">
        <f>SUM(I13:M13)</f>
        <v>0</v>
      </c>
      <c r="T4" s="78"/>
      <c r="U4" s="61">
        <f>AC18</f>
        <v>6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EA7 Emporio Armani Milan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MIL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1.0452961672473868</v>
      </c>
      <c r="S5" s="70">
        <f t="shared" ref="S5" si="0">S4*S3</f>
        <v>0</v>
      </c>
      <c r="T5" s="92"/>
      <c r="U5" s="70">
        <f t="shared" ref="U5:AG5" si="1">U4*U3</f>
        <v>3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751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752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4.0452961672473871</v>
      </c>
      <c r="N7" s="58"/>
      <c r="O7" s="2"/>
      <c r="P7" s="2"/>
      <c r="Q7" s="86">
        <f>SUM(R5,S5,AC16)</f>
        <v>4.0452961672473871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753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4.0452961672473871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754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755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756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190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757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6</v>
      </c>
      <c r="J15" s="24">
        <f>SUBTOTAL(3,J17:J106)</f>
        <v>6</v>
      </c>
      <c r="K15" s="24">
        <f>SUBTOTAL(3,K17:K106)</f>
        <v>6</v>
      </c>
      <c r="L15" s="24">
        <f>SUBTOTAL(3,L17:L106)</f>
        <v>6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6</v>
      </c>
      <c r="Z16" s="90" t="s">
        <v>110</v>
      </c>
      <c r="AA16" s="75">
        <f>SUM(AA17:AA24)</f>
        <v>6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3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6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190</v>
      </c>
      <c r="D17" s="32" t="s">
        <v>758</v>
      </c>
      <c r="E17" s="33">
        <v>1</v>
      </c>
      <c r="F17" s="36">
        <v>10</v>
      </c>
      <c r="G17" s="36">
        <v>15</v>
      </c>
      <c r="H17" s="38" t="str">
        <f>IF(I17="","",$I$14)</f>
        <v>SCOUTING</v>
      </c>
      <c r="I17" s="34">
        <v>51</v>
      </c>
      <c r="J17" s="13" t="s">
        <v>4</v>
      </c>
      <c r="K17" s="13" t="s">
        <v>63</v>
      </c>
      <c r="L17" s="13" t="s">
        <v>5</v>
      </c>
      <c r="M17" s="13" t="s">
        <v>10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6</v>
      </c>
      <c r="Z17" s="105" t="s">
        <v>63</v>
      </c>
      <c r="AA17" s="62">
        <f>COUNTIF($K$17:$K$106,Z17)</f>
        <v>6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2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190</v>
      </c>
      <c r="D18" s="32" t="s">
        <v>759</v>
      </c>
      <c r="E18" s="33">
        <v>2</v>
      </c>
      <c r="F18" s="36">
        <v>42</v>
      </c>
      <c r="G18" s="36">
        <v>45</v>
      </c>
      <c r="H18" s="38" t="str">
        <f t="shared" ref="H18:H81" si="8">IF(I18="","",$I$14)</f>
        <v>SCOUTING</v>
      </c>
      <c r="I18" s="34">
        <v>281</v>
      </c>
      <c r="J18" s="13" t="s">
        <v>4</v>
      </c>
      <c r="K18" s="13" t="s">
        <v>63</v>
      </c>
      <c r="L18" s="13" t="s">
        <v>5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0</v>
      </c>
      <c r="AB18" s="66" t="s">
        <v>5</v>
      </c>
      <c r="AC18" s="61">
        <f t="shared" si="5"/>
        <v>6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190</v>
      </c>
      <c r="D19" s="32" t="s">
        <v>760</v>
      </c>
      <c r="E19" s="33">
        <v>3</v>
      </c>
      <c r="F19" s="36">
        <v>54</v>
      </c>
      <c r="G19" s="36">
        <v>47</v>
      </c>
      <c r="H19" s="38" t="str">
        <f t="shared" si="8"/>
        <v>SCOUTING</v>
      </c>
      <c r="I19" s="34">
        <v>317</v>
      </c>
      <c r="J19" s="13" t="s">
        <v>4</v>
      </c>
      <c r="K19" s="13" t="s">
        <v>63</v>
      </c>
      <c r="L19" s="13" t="s">
        <v>5</v>
      </c>
      <c r="M19" s="13" t="s">
        <v>10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190</v>
      </c>
      <c r="D20" s="32" t="s">
        <v>761</v>
      </c>
      <c r="E20" s="33">
        <v>4</v>
      </c>
      <c r="F20" s="36">
        <v>54</v>
      </c>
      <c r="G20" s="36">
        <v>47</v>
      </c>
      <c r="H20" s="38" t="str">
        <f t="shared" si="8"/>
        <v>SCOUTING</v>
      </c>
      <c r="I20" s="34">
        <v>232</v>
      </c>
      <c r="J20" s="13" t="s">
        <v>4</v>
      </c>
      <c r="K20" s="13" t="s">
        <v>63</v>
      </c>
      <c r="L20" s="13" t="s">
        <v>5</v>
      </c>
      <c r="M20" s="13" t="s">
        <v>28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3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E2025</v>
      </c>
      <c r="C21" s="31">
        <f t="shared" si="3"/>
        <v>190</v>
      </c>
      <c r="D21" s="32" t="s">
        <v>762</v>
      </c>
      <c r="E21" s="33">
        <v>4</v>
      </c>
      <c r="F21" s="36">
        <v>89</v>
      </c>
      <c r="G21" s="36">
        <v>76</v>
      </c>
      <c r="H21" s="38" t="str">
        <f t="shared" si="8"/>
        <v>SCOUTING</v>
      </c>
      <c r="I21" s="34">
        <v>506</v>
      </c>
      <c r="J21" s="13" t="s">
        <v>4</v>
      </c>
      <c r="K21" s="13" t="s">
        <v>63</v>
      </c>
      <c r="L21" s="13" t="s">
        <v>5</v>
      </c>
      <c r="M21" s="13" t="s">
        <v>11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E2025</v>
      </c>
      <c r="C22" s="31">
        <f t="shared" si="3"/>
        <v>190</v>
      </c>
      <c r="D22" s="32" t="s">
        <v>763</v>
      </c>
      <c r="E22" s="33">
        <v>4</v>
      </c>
      <c r="F22" s="36">
        <v>91</v>
      </c>
      <c r="G22" s="36">
        <v>79</v>
      </c>
      <c r="H22" s="38" t="str">
        <f t="shared" si="8"/>
        <v>SCOUTING</v>
      </c>
      <c r="I22" s="34">
        <v>535</v>
      </c>
      <c r="J22" s="13" t="s">
        <v>4</v>
      </c>
      <c r="K22" s="13" t="s">
        <v>63</v>
      </c>
      <c r="L22" s="13" t="s">
        <v>5</v>
      </c>
      <c r="M22" s="13" t="s">
        <v>10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3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baseColWidth="10" defaultColWidth="8.7265625"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7265625"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REPORT_E2025190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"E2025190"</v>
      </c>
      <c r="F3" s="45" t="str">
        <f t="shared" ref="F3:F16" si="0">""""&amp;B3&amp;"""" &amp; " : " &amp;C3&amp;","</f>
        <v>"name" : "E2025190",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"E190"</v>
      </c>
      <c r="F4" s="45" t="str">
        <f t="shared" si="0"/>
        <v>"cod" : "E190",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190</v>
      </c>
      <c r="F6" s="45" t="str">
        <f t="shared" si="0"/>
        <v>"number" : 190,</v>
      </c>
    </row>
    <row r="7" spans="2:6" x14ac:dyDescent="0.25">
      <c r="B7" s="43" t="s">
        <v>116</v>
      </c>
      <c r="C7" s="43" t="str">
        <f ca="1">""""&amp;TEXT('SCOUT &amp; LOGISTICS'!B3,"dd/mm/aaaa")&amp;""""</f>
        <v>"02/01/Friday"</v>
      </c>
      <c r="F7" s="45" t="str">
        <f t="shared" ca="1" si="0"/>
        <v>"date" : "02/01/Friday",</v>
      </c>
    </row>
    <row r="8" spans="2:6" x14ac:dyDescent="0.25">
      <c r="B8" s="43" t="s">
        <v>125</v>
      </c>
      <c r="C8" s="43" t="str">
        <f>""""&amp;'SCOUT &amp; LOGISTICS'!D4 &amp;""""</f>
        <v>"Virtus Bologna"</v>
      </c>
      <c r="F8" s="45" t="str">
        <f t="shared" si="0"/>
        <v>"home_team" : "Virtus Bologna",</v>
      </c>
    </row>
    <row r="9" spans="2:6" x14ac:dyDescent="0.25">
      <c r="B9" s="43" t="s">
        <v>126</v>
      </c>
      <c r="C9" s="43" t="str">
        <f>""""&amp;'SCOUT &amp; LOGISTICS'!D5&amp;""""</f>
        <v>"EA7 Emporio Armani Milan"</v>
      </c>
      <c r="F9" s="45" t="str">
        <f t="shared" si="0"/>
        <v>"away_team" : "EA7 Emporio Armani Milan",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"GIACOMO CAMPANELLA"</v>
      </c>
      <c r="F10" s="45" t="str">
        <f t="shared" si="0"/>
        <v>"Data_entry" : "GIACOMO CAMPANELLA",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"SIMONE LICEN"</v>
      </c>
      <c r="F11" s="45" t="str">
        <f t="shared" si="0"/>
        <v>"Caller_1" : "SIMONE LICEN",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"MATTEO PAGLIARA"</v>
      </c>
      <c r="F12" s="45" t="str">
        <f t="shared" si="0"/>
        <v>"Caller_2" : "MATTEO PAGLIARA",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"LAURA PIOMBONI"</v>
      </c>
      <c r="F13" s="45" t="str">
        <f t="shared" si="0"/>
        <v>"Timerkeeper" : "LAURA PIOMBONI",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"FRANCESCA DONNICI"</v>
      </c>
      <c r="F14" s="45" t="str">
        <f t="shared" si="0"/>
        <v>"Shotclock" : "FRANCESCA DONNICI",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"FEDERICO GRAZI"</v>
      </c>
      <c r="F15" s="45" t="str">
        <f t="shared" si="0"/>
        <v>"IRS" : "FEDERICO GRAZI",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"HECTOR GUILLEN"</v>
      </c>
      <c r="F16" s="45" t="str">
        <f t="shared" si="0"/>
        <v>"Live_Game_Manager" : "HECTOR GUILLEN",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574</v>
      </c>
      <c r="F25" s="45" t="str">
        <f t="shared" ref="F25:F48" si="1">""""&amp;C25&amp;"""" &amp; " : " &amp;D25&amp;","</f>
        <v>"total_actions" : 574,</v>
      </c>
    </row>
    <row r="26" spans="2:6" x14ac:dyDescent="0.25">
      <c r="C26" s="43" t="s">
        <v>132</v>
      </c>
      <c r="D26" s="43">
        <f>'SCOUT &amp; LOGISTICS'!F3</f>
        <v>6</v>
      </c>
      <c r="F26" s="45" t="str">
        <f t="shared" si="1"/>
        <v>"total_correcions" : 6,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6</v>
      </c>
      <c r="F28" s="45" t="str">
        <f t="shared" si="1"/>
        <v>"home_team" : 6,</v>
      </c>
    </row>
    <row r="29" spans="2:6" x14ac:dyDescent="0.25">
      <c r="C29" s="43" t="s">
        <v>134</v>
      </c>
      <c r="D29" s="43">
        <f>IF('SCOUT &amp; LOGISTICS'!AA18="","",'SCOUT &amp; LOGISTICS'!AA18)</f>
        <v>0</v>
      </c>
      <c r="F29" s="45" t="str">
        <f t="shared" si="1"/>
        <v>"no_team" : 0,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3</v>
      </c>
      <c r="F34" s="45" t="str">
        <f t="shared" si="1"/>
        <v>"q4" : 3,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6</v>
      </c>
      <c r="F37" s="45" t="str">
        <f t="shared" si="1"/>
        <v>"scoresheet_corrections" : 6,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6</v>
      </c>
      <c r="F39" s="45" t="str">
        <f t="shared" si="1"/>
        <v>"missidentity" : 6,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"Good game overall, just be a bit more attentive to the deflections. Keep it up!"</v>
      </c>
      <c r="F51" s="45" t="str">
        <f>""""&amp;B51&amp;"""" &amp; " : " &amp;C51&amp;","</f>
        <v>"comments" : "Good game overall, just be a bit more attentive to the deflections. Keep it up!",</v>
      </c>
    </row>
    <row r="52" spans="2:6" x14ac:dyDescent="0.25">
      <c r="B52" s="43" t="s">
        <v>153</v>
      </c>
      <c r="C52" s="43" t="str">
        <f>TEXT('SCOUT &amp; LOGISTICS'!F1,"0,0")</f>
        <v>19_190_VIR_MIL_E2025</v>
      </c>
      <c r="F52" s="45" t="str">
        <f>""""&amp;B52&amp;"""" &amp; " : " &amp;C52</f>
        <v>"result" : 19_190_VIR_MIL_E2025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E190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02/01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Virtus Bologna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Ea7 Emporio Armani Milan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GIACOMO CAMPANELLA</v>
      </c>
      <c r="C8" s="206"/>
      <c r="D8" s="206"/>
      <c r="E8" s="206"/>
      <c r="F8" s="206"/>
      <c r="G8" s="206" t="str">
        <f>IF('SCOUT &amp; LOGISTICS'!D7="","",'SCOUT &amp; LOGISTICS'!D7)</f>
        <v>SIMONE LICEN</v>
      </c>
      <c r="H8" s="206"/>
      <c r="I8" s="206"/>
      <c r="J8" s="206"/>
      <c r="K8" s="206"/>
      <c r="L8" s="206" t="str">
        <f>IF('SCOUT &amp; LOGISTICS'!D8="","",'SCOUT &amp; LOGISTICS'!D8)</f>
        <v>MATTEO PAGLIARA</v>
      </c>
      <c r="M8" s="206"/>
      <c r="N8" s="206"/>
      <c r="O8" s="206"/>
      <c r="P8" s="206"/>
      <c r="Q8" s="206" t="str">
        <f>IF('SCOUT &amp; LOGISTICS'!D9="","",'SCOUT &amp; LOGISTICS'!D9)</f>
        <v>LAURA PIOMBONI</v>
      </c>
      <c r="R8" s="206"/>
      <c r="S8" s="206"/>
      <c r="T8" s="206"/>
      <c r="U8" s="206"/>
      <c r="V8" s="206" t="str">
        <f>IF('SCOUT &amp; LOGISTICS'!D10="","",'SCOUT &amp; LOGISTICS'!D10)</f>
        <v>FRANCESCA DONNICI</v>
      </c>
      <c r="W8" s="206"/>
      <c r="X8" s="206"/>
      <c r="Y8" s="206"/>
      <c r="Z8" s="206"/>
      <c r="AA8" s="206" t="str">
        <f>IF('SCOUT &amp; LOGISTICS'!D11="","",'SCOUT &amp; LOGISTICS'!D11)</f>
        <v>FEDERICO GRAZI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HECTOR GUILLEN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574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6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1.0452961672473868E-2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6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0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1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1</v>
      </c>
      <c r="O22" s="197"/>
      <c r="P22" s="197"/>
      <c r="Q22" s="197"/>
      <c r="R22" s="197"/>
      <c r="S22" s="197"/>
      <c r="T22" s="197">
        <f>'SCOUT &amp; LOGISTICS'!AG20</f>
        <v>3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6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6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Good game overall, just be a bit more attentive to the deflections. Keep it up!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4.0452961672473871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42bf520a6c79a132633bfe8aa6a60681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e9351a8714db6f5e1df78f011817a27e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79B741CC-9813-4F29-B433-E1B2520BB748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Hector Guillen</cp:lastModifiedBy>
  <cp:lastPrinted>2026-01-02T21:51:23Z</cp:lastPrinted>
  <dcterms:created xsi:type="dcterms:W3CDTF">2023-09-19T19:50:35Z</dcterms:created>
  <dcterms:modified xsi:type="dcterms:W3CDTF">2026-01-02T21:51:29Z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