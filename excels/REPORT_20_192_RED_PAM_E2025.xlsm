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5D987F2D-7CC7-49E9-AF0D-6E594832AE42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<sst xmlns="http://schemas.openxmlformats.org/spreadsheetml/2006/main" count="3275" uniqueCount="764">
  <si>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</si>
  <si>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</si>
  <si>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</si>
  <si>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</si>
  <si>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</si>
  <si>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</si>
  <si>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</si>
  <si>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</si>
  <si>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</si>
  <si>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</si>
  <si>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</si>
  <si>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</si>
  <si>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</si>
  <si>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</si>
  <si>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</si>
  <si>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</si>
  <si>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</si>
  <si>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</si>
  <si>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</si>
  <si>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</si>
  <si>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</si>
  <si>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</si>
  <si>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</si>
  <si>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</si>
  <si>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</si>
  <si>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</si>
  <si>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</si>
  <si>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</si>
  <si>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</si>
  <si>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</si>
  <si>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</si>
  <si>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</si>
  <si>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</si>
  <si>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</si>
  <si>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</si>
  <si>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</si>
  <si>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</si>
  <si>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</si>
  <si>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</si>
  <si>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</si>
  <si>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</si>
  <si>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</si>
  <si>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</si>
  <si>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</si>
  <si>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</si>
  <si>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</si>
  <si>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</si>
  <si>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</si>
  <si>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</si>
  <si>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</si>
  <si>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</si>
  <si>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</si>
  <si>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</si>
  <si>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</si>
  <si>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</si>
  <si>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</si>
  <si>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</si>
  <si>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</si>
  <si>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</si>
  <si>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</si>
  <si>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</si>
  <si>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</si>
  <si>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</si>
  <si>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</si>
  <si>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</si>
  <si>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</si>
  <si>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</si>
  <si>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</si>
  <si>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</si>
  <si>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</si>
  <si>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</si>
  <si>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</si>
  <si>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</si>
  <si>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</si>
  <si>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</si>
  <si>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</si>
  <si>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</si>
  <si>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</si>
  <si>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</si>
  <si>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</si>
  <si>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</si>
  <si>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</si>
  <si>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</si>
  <si>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</si>
  <si>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</si>
  <si>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</si>
  <si>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</si>
  <si>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</si>
  <si>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</si>
  <si>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</si>
  <si>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</si>
  <si>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</si>
  <si>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</si>
  <si>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</si>
  <si>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</si>
  <si>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</si>
  <si>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</si>
  <si>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</si>
  <si>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</si>
  <si>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</si>
  <si>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</si>
  <si>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</si>
  <si>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</si>
  <si>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</si>
  <si>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</si>
  <si>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</si>
  <si>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</si>
  <si>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</si>
  <si>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</si>
  <si>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</si>
  <si>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</si>
  <si>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</si>
  <si>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</si>
  <si>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</si>
  <si>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</si>
  <si>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</si>
  <si>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</si>
  <si>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</si>
  <si>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</si>
  <si>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</si>
  <si>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</si>
  <si>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</si>
  <si>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</si>
  <si>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</si>
  <si>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</si>
  <si>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</si>
  <si>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</si>
  <si>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</si>
  <si>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</si>
  <si>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</si>
  <si>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</si>
  <si>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</si>
  <si>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</si>
  <si>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</si>
  <si>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</si>
  <si>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</si>
  <si>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</si>
  <si>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</si>
  <si>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</si>
  <si>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</si>
  <si>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</si>
  <si>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</si>
  <si>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</si>
  <si>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</si>
  <si>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</si>
  <si>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</si>
  <si>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</si>
  <si>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</si>
  <si>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</si>
  <si>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</si>
  <si>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</si>
  <si>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</si>
  <si>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</si>
  <si>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</si>
  <si>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</si>
  <si>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</si>
  <si>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</si>
  <si>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</si>
  <si>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</si>
  <si>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</si>
  <si>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</si>
  <si>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</si>
  <si>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</si>
  <si>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</si>
  <si>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</si>
  <si>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</si>
  <si>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</si>
  <si>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</si>
  <si>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</si>
  <si>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</si>
  <si>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</si>
  <si>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</si>
  <si>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</si>
  <si>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</si>
  <si>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</si>
  <si>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</si>
  <si>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</si>
  <si>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</si>
  <si>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</si>
  <si>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</si>
  <si>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</si>
  <si>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</si>
  <si>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</si>
  <si>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</si>
  <si>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</si>
  <si>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</si>
  <si>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</si>
  <si>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</si>
  <si>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</si>
  <si>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</si>
  <si>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</si>
  <si>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</si>
  <si>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</si>
  <si>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</si>
  <si>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</si>
  <si>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</si>
  <si>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</si>
  <si>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</si>
  <si>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</si>
  <si>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</si>
  <si>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</si>
  <si>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</si>
  <si>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</si>
  <si>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</si>
  <si>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</si>
  <si>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</si>
  <si>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</si>
  <si>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</si>
  <si>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</si>
  <si>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</si>
  <si>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</si>
  <si>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</si>
  <si>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</si>
  <si>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</si>
  <si>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</si>
  <si>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</si>
  <si>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</si>
  <si>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</si>
  <si>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</si>
  <si>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</si>
  <si>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</si>
  <si>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</si>
  <si>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</si>
  <si>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</si>
  <si>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</si>
  <si>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</si>
  <si>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</si>
  <si>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</si>
  <si>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</si>
  <si>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</si>
  <si>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</si>
  <si>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</si>
  <si>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</si>
  <si>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</si>
  <si>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</si>
  <si>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</si>
  <si>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</si>
  <si>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</si>
  <si>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</si>
  <si>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</si>
  <si>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</si>
  <si>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</si>
  <si>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</si>
  <si>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</si>
  <si>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</si>
  <si>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</si>
  <si>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</si>
  <si>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</si>
  <si>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</si>
  <si>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</si>
  <si>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</si>
  <si>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</si>
  <si>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</si>
  <si>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</si>
  <si>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</si>
  <si>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</si>
  <si>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</si>
  <si>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</si>
  <si>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</si>
  <si>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</si>
  <si>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</si>
  <si>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</si>
  <si>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</si>
  <si>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</si>
  <si>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</si>
  <si>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</si>
  <si>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</si>
  <si>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</si>
  <si>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</si>
  <si>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</si>
  <si>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</si>
  <si>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</si>
  <si>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</si>
  <si>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</si>
  <si>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</si>
  <si>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</si>
  <si>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</si>
  <si>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</si>
  <si>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</si>
  <si>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</si>
  <si>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</si>
  <si>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</si>
  <si>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</si>
  <si>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</si>
  <si>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</si>
  <si>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</si>
  <si>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</si>
  <si>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</si>
  <si>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</si>
  <si>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</si>
  <si>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</si>
  <si>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</si>
  <si>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</si>
  <si>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</si>
  <si>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</si>
  <si>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</si>
  <si>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</si>
  <si>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</si>
  <si>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</si>
  <si>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</si>
  <si>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</si>
  <si>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</si>
  <si>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</si>
  <si>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</si>
  <si>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</si>
  <si>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</si>
  <si>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</si>
  <si>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</si>
  <si>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</si>
  <si>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</si>
  <si>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</si>
  <si>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</si>
  <si>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</si>
  <si>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</si>
  <si>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</si>
  <si>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</si>
  <si>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</si>
  <si>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</si>
  <si>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</si>
  <si>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</si>
  <si>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</si>
  <si>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</si>
  <si>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</si>
  <si>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</si>
  <si>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</si>
  <si>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</si>
  <si>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</si>
  <si>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</si>
  <si>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</si>
  <si>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</si>
  <si>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</si>
  <si>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</si>
  <si>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</si>
  <si>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</si>
  <si>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</si>
  <si>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</si>
  <si>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</si>
  <si>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</si>
  <si>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</si>
  <si>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</si>
  <si>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</si>
  <si>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</si>
  <si>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</si>
  <si>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</si>
  <si>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</si>
  <si>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</si>
  <si>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</si>
  <si>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</si>
  <si>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</si>
  <si>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</si>
  <si>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</si>
  <si>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</si>
  <si>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</si>
  <si>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</si>
  <si>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</si>
  <si>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</si>
  <si>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</si>
  <si>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</si>
  <si>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</si>
  <si>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</si>
  <si>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</si>
  <si>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</si>
  <si>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</si>
  <si>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</si>
  <si>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</si>
  <si>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</si>
  <si>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</si>
  <si>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</si>
  <si>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</si>
  <si>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</si>
  <si>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</si>
  <si>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</si>
  <si>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</si>
  <si>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</si>
  <si>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</si>
  <si>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</si>
  <si>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</si>
  <si>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</si>
  <si>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</si>
  <si>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</si>
  <si>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</si>
  <si>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</si>
  <si>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</si>
  <si>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</si>
  <si>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</si>
  <si>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</si>
  <si>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</si>
  <si>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</si>
  <si>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</si>
  <si>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</si>
  <si>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</si>
  <si>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</si>
  <si>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</si>
  <si>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</si>
  <si>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</si>
  <si>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</si>
  <si>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</si>
  <si>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</si>
  <si>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</si>
  <si>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</si>
  <si>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</si>
  <si>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</si>
  <si>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</si>
  <si>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</si>
  <si>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</si>
  <si>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</si>
  <si>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</si>
  <si>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</si>
  <si>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</si>
  <si>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</si>
  <si>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</si>
  <si>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</si>
  <si>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</si>
  <si>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</si>
  <si>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</si>
  <si>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</si>
  <si>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</si>
  <si>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</si>
  <si>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</si>
  <si>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</si>
  <si>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</si>
  <si>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</si>
  <si>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</si>
  <si>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</si>
  <si>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</si>
  <si>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</si>
  <si>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</si>
  <si>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</si>
  <si>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</si>
  <si>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</si>
  <si>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</si>
  <si>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</si>
  <si>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</si>
  <si>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</si>
  <si>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</si>
  <si>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</si>
  <si>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</si>
  <si>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</si>
  <si>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</si>
  <si>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</si>
  <si>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</si>
  <si>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</si>
  <si>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</si>
  <si>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</si>
  <si>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</si>
  <si>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</si>
  <si>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</si>
  <si>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</si>
  <si>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</si>
  <si>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</si>
  <si>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</si>
  <si>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</si>
  <si>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</si>
  <si>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</si>
  <si>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</si>
  <si>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</si>
  <si>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</si>
  <si>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</si>
  <si>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</si>
  <si>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</si>
  <si>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</si>
  <si>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</si>
  <si>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</si>
  <si>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</si>
  <si>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</si>
  <si>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</si>
  <si>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</si>
  <si>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</si>
  <si>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</si>
  <si>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</si>
  <si>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</si>
  <si>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</si>
  <si>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</si>
  <si>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</si>
  <si>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</si>
  <si>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</si>
  <si>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</si>
  <si>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</si>
  <si>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</si>
  <si>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</si>
  <si>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</si>
  <si>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</si>
  <si>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</si>
  <si>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</si>
  <si>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</si>
  <si>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</si>
  <si>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</si>
  <si>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</si>
  <si>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</si>
  <si>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</si>
  <si>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</si>
  <si>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</si>
  <si>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</si>
  <si>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</si>
  <si>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</si>
  <si>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</si>
  <si>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</si>
  <si>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</si>
  <si>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</si>
  <si>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</si>
  <si>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</si>
  <si>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</si>
  <si>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</si>
  <si>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</si>
  <si>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</si>
  <si>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</si>
  <si>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</si>
  <si>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</si>
  <si>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</si>
  <si>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</si>
  <si>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</si>
  <si>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</si>
  <si>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</si>
  <si>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</si>
  <si>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</si>
  <si>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</si>
  <si>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</si>
  <si>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</si>
  <si>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</si>
  <si>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</si>
  <si>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</si>
  <si>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</si>
  <si>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</si>
  <si>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</si>
  <si>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</si>
  <si>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</si>
  <si>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</si>
  <si>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</si>
  <si>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</si>
  <si>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</si>
  <si>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</si>
  <si>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</si>
  <si>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</si>
  <si>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</si>
  <si>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</si>
  <si>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</si>
  <si>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</si>
  <si>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</si>
  <si>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</si>
  <si>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</si>
  <si>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</si>
  <si>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</si>
  <si>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</si>
  <si>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</si>
  <si>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</si>
  <si>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</si>
  <si>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</si>
  <si>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</si>
  <si>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</si>
  <si>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</si>
  <si>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</si>
  <si>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</si>
  <si>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</si>
  <si>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</si>
  <si>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</si>
  <si>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</si>
  <si>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</si>
  <si>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</si>
  <si>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</si>
  <si>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</si>
  <si>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</si>
  <si>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</si>
  <si>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</si>
  <si>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</si>
  <si>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</si>
  <si>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</si>
  <si>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</si>
  <si>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</si>
  <si>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</si>
  <si>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</si>
  <si>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</si>
  <si>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</si>
  <si>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</si>
  <si>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</si>
  <si>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</si>
  <si>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</si>
  <si>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</si>
  <si>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</si>
  <si>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</si>
  <si>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</si>
  <si>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</si>
  <si>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</si>
  <si>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</si>
  <si>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</si>
  <si>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</si>
  <si>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</si>
  <si>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</si>
  <si>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</si>
  <si>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</si>
  <si>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</si>
  <si>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</si>
  <si>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</si>
  <si>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</si>
  <si>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</si>
  <si>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</si>
  <si>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</si>
  <si>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</si>
  <si>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</si>
  <si>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</si>
  <si>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</si>
  <si>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</si>
  <si>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</si>
  <si>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</si>
  <si>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</si>
  <si>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</si>
  <si>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</si>
  <si>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</si>
  <si>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</si>
  <si>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</si>
  <si>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</si>
  <si>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</si>
  <si>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</si>
  <si>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</si>
  <si>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</si>
  <si>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</si>
  <si>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</si>
  <si>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</si>
  <si>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</si>
  <si>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</si>
  <si>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</si>
  <si>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</si>
  <si>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</si>
  <si>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</si>
  <si>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</si>
  <si>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</si>
  <si>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</si>
  <si>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</si>
  <si>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</si>
  <si>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</si>
  <si>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</si>
  <si>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</si>
  <si>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</si>
  <si>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</si>
  <si>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</si>
  <si>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</si>
  <si>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</si>
  <si>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</si>
  <si>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</si>
  <si>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</si>
  <si>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</si>
  <si>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</si>
  <si>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</si>
  <si>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</si>
  <si>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</si>
  <si>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</si>
  <si>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</si>
  <si>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</si>
  <si>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</si>
  <si>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</si>
  <si>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</si>
  <si>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</si>
  <si>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</si>
  <si>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</si>
  <si>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</si>
  <si>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</si>
  <si>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</si>
  <si>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</si>
  <si>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</si>
  <si>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</si>
  <si>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</si>
  <si>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</si>
  <si>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</si>
  <si>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</si>
  <si>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</si>
  <si>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</si>
  <si>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</si>
  <si>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</si>
  <si>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</si>
  <si>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</si>
  <si>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</si>
  <si>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</si>
  <si>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</si>
  <si>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</si>
  <si>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</si>
  <si>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</si>
  <si>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</si>
  <si>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</si>
  <si>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</si>
  <si>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</si>
  <si>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</si>
  <si>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</si>
  <si>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</si>
  <si>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</si>
  <si>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</si>
  <si>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</si>
  <si>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</si>
  <si>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</si>
  <si>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</si>
  <si>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</si>
  <si>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</si>
  <si>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</si>
  <si>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</si>
  <si>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</si>
  <si>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</si>
  <si>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</si>
  <si>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</si>
  <si>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</si>
  <si>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</si>
  <si>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</si>
  <si>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</si>
  <si>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</si>
  <si>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</si>
  <si>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</si>
  <si>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</si>
  <si>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</si>
  <si>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</si>
  <si>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</si>
  <si>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</si>
  <si>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</si>
  <si>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</si>
  <si>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</si>
  <si>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</si>
  <si>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</si>
  <si>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</si>
  <si>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</si>
  <si>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</si>
  <si>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</si>
  <si>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</si>
  <si>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</si>
  <si>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</si>
  <si>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</si>
  <si>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</si>
  <si>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</si>
  <si>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</si>
  <si>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</si>
  <si>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</si>
  <si>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</si>
  <si>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</si>
  <si>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</si>
  <si>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</si>
  <si>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</si>
  <si>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</si>
  <si>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</si>
  <si>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</si>
  <si>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</si>
  <si>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</si>
  <si>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</si>
  <si>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</si>
  <si>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</si>
  <si>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</si>
  <si>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</si>
  <si>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</si>
  <si>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</si>
  <si>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</si>
  <si>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</si>
  <si>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</si>
  <si>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</si>
  <si>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</si>
  <si>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</si>
  <si>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</si>
  <si>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Ivan Mosic</t>
  </si>
  <si>
    <t>Miodrag Stojanovic</t>
  </si>
  <si>
    <t>Marijana Golubovic</t>
  </si>
  <si>
    <t>Teodora Dimic</t>
  </si>
  <si>
    <t>Liupka Vukojevic</t>
  </si>
  <si>
    <t>Jovana Dojcinovic</t>
  </si>
  <si>
    <t>7:30</t>
  </si>
  <si>
    <t>6:05</t>
  </si>
  <si>
    <t>6:01</t>
  </si>
  <si>
    <t>7:04</t>
  </si>
  <si>
    <t>6:06</t>
  </si>
  <si>
    <t>6:48</t>
  </si>
  <si>
    <t>Oscar Cuesta</t>
  </si>
  <si>
    <t>Great second half. A lot of thanks for making this work so easy 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</si>
</sst>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20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20_192_RED_PAM_E2025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192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77">
        <f ca="1">IF(ISERROR(VLOOKUP($B$2&amp;TEXT($C$2,"000"),GAMES!$A$3:$I$562,8,FALSE)),NOW(),VLOOKUP($B$2&amp;TEXT($C$2,"000"),GAMES!$A$3:$I$562,8,FALSE))</f>
        <v>46028.833333333336</v>
      </c>
      <c r="C3" s="178"/>
      <c r="D3" s="39">
        <v>617</v>
      </c>
      <c r="E3" s="29"/>
      <c r="F3" s="26">
        <f>SUBTOTAL(3,I17:I106)</f>
        <v>6</v>
      </c>
      <c r="G3" s="27">
        <f>IF(OR(D3="",D3=0),"",F3/D3)</f>
        <v>9.7244732576985422E-3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85" t="s">
        <v>763</v>
      </c>
      <c r="N4" s="186"/>
      <c r="O4" s="2"/>
      <c r="P4" s="2"/>
      <c r="Q4" s="84" t="s">
        <v>175</v>
      </c>
      <c r="R4" s="94">
        <f>(IF(G3="",0,G3))</f>
        <v>9.7244732576985422E-3</v>
      </c>
      <c r="S4" s="61">
        <f>SUM(I13:M13)</f>
        <v>0</v>
      </c>
      <c r="T4" s="78"/>
      <c r="U4" s="61">
        <f>AC18</f>
        <v>1</v>
      </c>
      <c r="V4" s="61">
        <f>+AC22</f>
        <v>4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71" t="s">
        <v>87</v>
      </c>
      <c r="C5" s="184"/>
      <c r="D5" s="191" t="str">
        <f>IF(ISERROR(VLOOKUP(H5,Teams!$B$2:$C$44,2,FALSE)),"Visitor Team",VLOOKUP(H5,Teams!$B$2:$C$44,2,FALSE))</f>
        <v>Valencia Basket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0.97244732576985426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4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7.9724473257698545</v>
      </c>
      <c r="N7" s="58"/>
      <c r="O7" s="2"/>
      <c r="P7" s="2"/>
      <c r="Q7" s="86">
        <f>SUM(R5,S5,AC16)</f>
        <v>7.9724473257698545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7.9724473257698545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192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56" t="s">
        <v>162</v>
      </c>
      <c r="C14" s="157"/>
      <c r="D14" s="164" t="s">
        <v>762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7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192</v>
      </c>
      <c r="D17" s="32" t="s">
        <v>756</v>
      </c>
      <c r="E17" s="33">
        <v>1</v>
      </c>
      <c r="F17" s="36">
        <v>8</v>
      </c>
      <c r="G17" s="36">
        <v>10</v>
      </c>
      <c r="H17" s="38" t="str">
        <f>IF(I17="","",$I$14)</f>
        <v>SCOUTING</v>
      </c>
      <c r="I17" s="34">
        <v>37</v>
      </c>
      <c r="J17" s="13" t="s">
        <v>4</v>
      </c>
      <c r="K17" s="13" t="s">
        <v>62</v>
      </c>
      <c r="L17" s="13" t="s">
        <v>6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5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192</v>
      </c>
      <c r="D18" s="32" t="s">
        <v>757</v>
      </c>
      <c r="E18" s="33">
        <v>1</v>
      </c>
      <c r="F18" s="36">
        <v>11</v>
      </c>
      <c r="G18" s="36">
        <v>12</v>
      </c>
      <c r="H18" s="38" t="str">
        <f t="shared" ref="H18:H81" si="8">IF(I18="","",$I$14)</f>
        <v>SCOUTING</v>
      </c>
      <c r="I18" s="34">
        <v>48</v>
      </c>
      <c r="J18" s="13" t="s">
        <v>4</v>
      </c>
      <c r="K18" s="13" t="s">
        <v>63</v>
      </c>
      <c r="L18" s="13" t="s">
        <v>6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192</v>
      </c>
      <c r="D19" s="32" t="s">
        <v>758</v>
      </c>
      <c r="E19" s="33">
        <v>1</v>
      </c>
      <c r="F19" s="36">
        <v>11</v>
      </c>
      <c r="G19" s="36">
        <v>13</v>
      </c>
      <c r="H19" s="38" t="str">
        <f t="shared" si="8"/>
        <v>SCOUTING</v>
      </c>
      <c r="I19" s="34">
        <v>57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192</v>
      </c>
      <c r="D20" s="32" t="s">
        <v>759</v>
      </c>
      <c r="E20" s="33">
        <v>2</v>
      </c>
      <c r="F20" s="36">
        <v>26</v>
      </c>
      <c r="G20" s="36">
        <v>36</v>
      </c>
      <c r="H20" s="38" t="str">
        <f t="shared" si="8"/>
        <v>SCOUTING</v>
      </c>
      <c r="I20" s="34">
        <v>211</v>
      </c>
      <c r="J20" s="13" t="s">
        <v>4</v>
      </c>
      <c r="K20" s="13" t="s">
        <v>63</v>
      </c>
      <c r="L20" s="13" t="s">
        <v>6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192</v>
      </c>
      <c r="D21" s="32" t="s">
        <v>760</v>
      </c>
      <c r="E21" s="33">
        <v>2</v>
      </c>
      <c r="F21" s="36">
        <v>26</v>
      </c>
      <c r="G21" s="36">
        <v>36</v>
      </c>
      <c r="H21" s="38" t="str">
        <f t="shared" si="8"/>
        <v>SCOUTING</v>
      </c>
      <c r="I21" s="34">
        <v>220</v>
      </c>
      <c r="J21" s="13" t="s">
        <v>4</v>
      </c>
      <c r="K21" s="13" t="s">
        <v>63</v>
      </c>
      <c r="L21" s="13" t="s">
        <v>6</v>
      </c>
      <c r="M21" s="13" t="s">
        <v>22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E2025</v>
      </c>
      <c r="C22" s="31">
        <f t="shared" si="3"/>
        <v>192</v>
      </c>
      <c r="D22" s="32" t="s">
        <v>761</v>
      </c>
      <c r="E22" s="33">
        <v>4</v>
      </c>
      <c r="F22" s="36">
        <v>87</v>
      </c>
      <c r="G22" s="36">
        <v>106</v>
      </c>
      <c r="H22" s="38" t="str">
        <f t="shared" si="8"/>
        <v>SCOUTING</v>
      </c>
      <c r="I22" s="34">
        <v>611</v>
      </c>
      <c r="J22" s="13" t="s">
        <v>4</v>
      </c>
      <c r="K22" s="13" t="s">
        <v>63</v>
      </c>
      <c r="L22" s="13" t="s">
        <v>7</v>
      </c>
      <c r="M22" s="13" t="s">
        <v>12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REPORT_E2025192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"E2025192"</v>
      </c>
      <c r="F3" s="45" t="str">
        <f t="shared" ref="F3:F16" si="0">""""&amp;B3&amp;"""" &amp; " : " &amp;C3&amp;","</f>
        <v>"name" : "E2025192",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"E192"</v>
      </c>
      <c r="F4" s="45" t="str">
        <f t="shared" si="0"/>
        <v>"cod" : "E192",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192</v>
      </c>
      <c r="F6" s="45" t="str">
        <f t="shared" si="0"/>
        <v>"number" : 192,</v>
      </c>
    </row>
    <row r="7" spans="2:6" x14ac:dyDescent="0.25">
      <c r="B7" s="43" t="s">
        <v>116</v>
      </c>
      <c r="C7" s="43" t="str">
        <f ca="1">""""&amp;TEXT('SCOUT &amp; LOGISTICS'!B3,"dd/mm/aaaa")&amp;""""</f>
        <v>"06/01/2026"</v>
      </c>
      <c r="F7" s="45" t="str">
        <f t="shared" ca="1" si="0"/>
        <v>"date" : "06/01/2026",</v>
      </c>
    </row>
    <row r="8" spans="2:6" x14ac:dyDescent="0.25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5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"Marijana Golubovic"</v>
      </c>
      <c r="F12" s="45" t="str">
        <f t="shared" si="0"/>
        <v>"Caller_2" : "Marijana Golubovic",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"Teodora Dimic"</v>
      </c>
      <c r="F13" s="45" t="str">
        <f t="shared" si="0"/>
        <v>"Timerkeeper" : "Teodora Dimic",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"Liupka Vukojevic"</v>
      </c>
      <c r="F14" s="45" t="str">
        <f t="shared" si="0"/>
        <v>"Shotclock" : "Liupka Vukojevic",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Dojcinovic"</v>
      </c>
      <c r="F15" s="45" t="str">
        <f t="shared" si="0"/>
        <v>"IRS" : "Jovana Dojcinovic",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617</v>
      </c>
      <c r="F25" s="45" t="str">
        <f t="shared" ref="F25:F48" si="1">""""&amp;C25&amp;"""" &amp; " : " &amp;D25&amp;","</f>
        <v>"total_actions" : 617,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"1,0%"</v>
      </c>
      <c r="F27" s="45" t="str">
        <f t="shared" si="1"/>
        <v>"%_corrections" : "1,0%",</v>
      </c>
    </row>
    <row r="28" spans="2:6" x14ac:dyDescent="0.25">
      <c r="C28" s="43" t="s">
        <v>125</v>
      </c>
      <c r="D28" s="43">
        <f>IF('SCOUT &amp; LOGISTICS'!AA17="","",'SCOUT &amp; LOGISTICS'!AA17)</f>
        <v>5</v>
      </c>
      <c r="F28" s="45" t="str">
        <f t="shared" si="1"/>
        <v>"home_team" : 5,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"Great second half. A lot of thanks for making this work so easy ;)"</v>
      </c>
      <c r="F51" s="45" t="str">
        <f>""""&amp;B51&amp;"""" &amp; " : " &amp;C51&amp;","</f>
        <v>"comments" : "Great second half. A lot of thanks for making this work so easy ;)",</v>
      </c>
    </row>
    <row r="52" spans="2:6" x14ac:dyDescent="0.25">
      <c r="B52" s="43" t="s">
        <v>153</v>
      </c>
      <c r="C52" s="43" t="str">
        <f>TEXT('SCOUT &amp; LOGISTICS'!F1,"0,0")</f>
        <v>20_192_RED_PAM_E2025</v>
      </c>
      <c r="F52" s="45" t="str">
        <f>""""&amp;B52&amp;"""" &amp; " : " &amp;C52</f>
        <v>"result" : 20_192_RED_PAM_E2025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E192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06/01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Valencia Basket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Ivan Mosic</v>
      </c>
      <c r="C8" s="201"/>
      <c r="D8" s="201"/>
      <c r="E8" s="201"/>
      <c r="F8" s="201"/>
      <c r="G8" s="201" t="str">
        <f>IF('SCOUT &amp; LOGISTICS'!D7="","",'SCOUT &amp; LOGISTICS'!D7)</f>
        <v>Miodrag Stojanovic</v>
      </c>
      <c r="H8" s="201"/>
      <c r="I8" s="201"/>
      <c r="J8" s="201"/>
      <c r="K8" s="201"/>
      <c r="L8" s="201" t="str">
        <f>IF('SCOUT &amp; LOGISTICS'!D8="","",'SCOUT &amp; LOGISTICS'!D8)</f>
        <v>Marijana Golubovic</v>
      </c>
      <c r="M8" s="201"/>
      <c r="N8" s="201"/>
      <c r="O8" s="201"/>
      <c r="P8" s="201"/>
      <c r="Q8" s="201" t="str">
        <f>IF('SCOUT &amp; LOGISTICS'!D9="","",'SCOUT &amp; LOGISTICS'!D9)</f>
        <v>Teodora Dimic</v>
      </c>
      <c r="R8" s="201"/>
      <c r="S8" s="201"/>
      <c r="T8" s="201"/>
      <c r="U8" s="201"/>
      <c r="V8" s="201" t="str">
        <f>IF('SCOUT &amp; LOGISTICS'!D10="","",'SCOUT &amp; LOGISTICS'!D10)</f>
        <v>Liupka Vukojevic</v>
      </c>
      <c r="W8" s="201"/>
      <c r="X8" s="201"/>
      <c r="Y8" s="201"/>
      <c r="Z8" s="201"/>
      <c r="AA8" s="201" t="str">
        <f>IF('SCOUT &amp; LOGISTICS'!D11="","",'SCOUT &amp; LOGISTICS'!D11)</f>
        <v>Jovana Dojcinovic</v>
      </c>
      <c r="AB8" s="201"/>
      <c r="AC8" s="201"/>
      <c r="AD8" s="201"/>
      <c r="AE8" s="201"/>
      <c r="AF8" s="48"/>
    </row>
    <row r="9" spans="1:33" ht="13.2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2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2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617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6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9.7244732576985422E-3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2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5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3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2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6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4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2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Great second half. A lot of thanks for making this work so easy ;)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7.9724473257698545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BD9E28A-3675-43C9-AB42-DB0A9AB8973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2026-01-06T21:45:27Z</cp:lastPrinted>
  <dcterms:created xsi:type="dcterms:W3CDTF">2023-09-19T19:50:35Z</dcterms:created>
  <dcterms:modified xsi:type="dcterms:W3CDTF">2026-01-06T21:46:35Z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