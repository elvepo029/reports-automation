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2" documentId="8_{7ED78E97-9916-49A2-B114-58030C2FCB83}" xr6:coauthVersionLast="47" xr6:coauthVersionMax="47" xr10:uidLastSave="{2CBCFE90-D015-41A3-938B-DC5B248FCC7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<sst xmlns="http://schemas.openxmlformats.org/spreadsheetml/2006/main" count="3270" uniqueCount="764">
  <si>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</si>
  <si>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</si>
  <si>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</si>
  <si>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</si>
  <si>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</si>
  <si>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</si>
  <si>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</si>
  <si>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</si>
  <si>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</si>
  <si>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</si>
  <si>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</si>
  <si>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</si>
  <si>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</si>
  <si>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</si>
  <si>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</si>
  <si>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</si>
  <si>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</si>
  <si>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</si>
  <si>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</si>
  <si>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</si>
  <si>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</si>
  <si>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</si>
  <si>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</si>
  <si>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</si>
  <si>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</si>
  <si>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</si>
  <si>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</si>
  <si>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</si>
  <si>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</si>
  <si>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</si>
  <si>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</si>
  <si>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</si>
  <si>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</si>
  <si>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</si>
  <si>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</si>
  <si>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</si>
  <si>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</si>
  <si>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</si>
  <si>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</si>
  <si>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</si>
  <si>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</si>
  <si>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</si>
  <si>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</si>
  <si>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</si>
  <si>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</si>
  <si>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</si>
  <si>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</si>
  <si>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</si>
  <si>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</si>
  <si>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</si>
  <si>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</si>
  <si>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</si>
  <si>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</si>
  <si>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</si>
  <si>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</si>
  <si>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</si>
  <si>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</si>
  <si>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</si>
  <si>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</si>
  <si>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</si>
  <si>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</si>
  <si>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</si>
  <si>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</si>
  <si>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</si>
  <si>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</si>
  <si>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</si>
  <si>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</si>
  <si>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</si>
  <si>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</si>
  <si>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</si>
  <si>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</si>
  <si>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</si>
  <si>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</si>
  <si>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</si>
  <si>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</si>
  <si>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</si>
  <si>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</si>
  <si>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</si>
  <si>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</si>
  <si>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</si>
  <si>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</si>
  <si>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</si>
  <si>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</si>
  <si>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</si>
  <si>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</si>
  <si>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</si>
  <si>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</si>
  <si>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</si>
  <si>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</si>
  <si>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</si>
  <si>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</si>
  <si>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</si>
  <si>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</si>
  <si>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</si>
  <si>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</si>
  <si>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</si>
  <si>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</si>
  <si>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</si>
  <si>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</si>
  <si>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</si>
  <si>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</si>
  <si>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</si>
  <si>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</si>
  <si>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</si>
  <si>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</si>
  <si>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</si>
  <si>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</si>
  <si>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</si>
  <si>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</si>
  <si>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</si>
  <si>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</si>
  <si>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</si>
  <si>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</si>
  <si>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</si>
  <si>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</si>
  <si>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</si>
  <si>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</si>
  <si>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</si>
  <si>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</si>
  <si>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</si>
  <si>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</si>
  <si>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</si>
  <si>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</si>
  <si>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</si>
  <si>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</si>
  <si>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</si>
  <si>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</si>
  <si>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</si>
  <si>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</si>
  <si>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</si>
  <si>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</si>
  <si>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</si>
  <si>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</si>
  <si>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</si>
  <si>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</si>
  <si>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</si>
  <si>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</si>
  <si>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</si>
  <si>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</si>
  <si>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</si>
  <si>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</si>
  <si>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</si>
  <si>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</si>
  <si>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</si>
  <si>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</si>
  <si>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</si>
  <si>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</si>
  <si>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</si>
  <si>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</si>
  <si>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</si>
  <si>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</si>
  <si>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</si>
  <si>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</si>
  <si>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</si>
  <si>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</si>
  <si>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</si>
  <si>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</si>
  <si>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</si>
  <si>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</si>
  <si>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</si>
  <si>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</si>
  <si>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</si>
  <si>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</si>
  <si>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</si>
  <si>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</si>
  <si>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</si>
  <si>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</si>
  <si>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</si>
  <si>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</si>
  <si>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</si>
  <si>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</si>
  <si>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</si>
  <si>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</si>
  <si>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</si>
  <si>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</si>
  <si>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</si>
  <si>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</si>
  <si>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</si>
  <si>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</si>
  <si>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</si>
  <si>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</si>
  <si>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</si>
  <si>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</si>
  <si>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</si>
  <si>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</si>
  <si>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</si>
  <si>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</si>
  <si>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</si>
  <si>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</si>
  <si>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</si>
  <si>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</si>
  <si>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</si>
  <si>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</si>
  <si>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</si>
  <si>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</si>
  <si>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</si>
  <si>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</si>
  <si>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</si>
  <si>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</si>
  <si>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</si>
  <si>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</si>
  <si>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</si>
  <si>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</si>
  <si>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</si>
  <si>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</si>
  <si>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</si>
  <si>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</si>
  <si>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</si>
  <si>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</si>
  <si>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</si>
  <si>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</si>
  <si>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</si>
  <si>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</si>
  <si>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</si>
  <si>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</si>
  <si>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</si>
  <si>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</si>
  <si>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</si>
  <si>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</si>
  <si>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</si>
  <si>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</si>
  <si>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</si>
  <si>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</si>
  <si>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</si>
  <si>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</si>
  <si>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</si>
  <si>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</si>
  <si>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</si>
  <si>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</si>
  <si>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</si>
  <si>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</si>
  <si>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</si>
  <si>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</si>
  <si>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</si>
  <si>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</si>
  <si>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</si>
  <si>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</si>
  <si>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</si>
  <si>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</si>
  <si>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</si>
  <si>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</si>
  <si>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</si>
  <si>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</si>
  <si>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</si>
  <si>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</si>
  <si>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</si>
  <si>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</si>
  <si>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</si>
  <si>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</si>
  <si>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</si>
  <si>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</si>
  <si>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</si>
  <si>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</si>
  <si>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</si>
  <si>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</si>
  <si>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</si>
  <si>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</si>
  <si>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</si>
  <si>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</si>
  <si>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</si>
  <si>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</si>
  <si>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</si>
  <si>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</si>
  <si>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</si>
  <si>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</si>
  <si>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</si>
  <si>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</si>
  <si>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</si>
  <si>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</si>
  <si>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</si>
  <si>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</si>
  <si>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</si>
  <si>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</si>
  <si>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</si>
  <si>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</si>
  <si>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</si>
  <si>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</si>
  <si>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</si>
  <si>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</si>
  <si>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</si>
  <si>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</si>
  <si>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</si>
  <si>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</si>
  <si>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</si>
  <si>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</si>
  <si>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</si>
  <si>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</si>
  <si>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</si>
  <si>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</si>
  <si>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</si>
  <si>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</si>
  <si>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</si>
  <si>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</si>
  <si>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</si>
  <si>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</si>
  <si>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</si>
  <si>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</si>
  <si>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</si>
  <si>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</si>
  <si>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</si>
  <si>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</si>
  <si>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</si>
  <si>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</si>
  <si>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</si>
  <si>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</si>
  <si>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</si>
  <si>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</si>
  <si>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</si>
  <si>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</si>
  <si>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</si>
  <si>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</si>
  <si>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</si>
  <si>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</si>
  <si>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</si>
  <si>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</si>
  <si>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</si>
  <si>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</si>
  <si>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</si>
  <si>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</si>
  <si>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</si>
  <si>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</si>
  <si>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</si>
  <si>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</si>
  <si>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</si>
  <si>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</si>
  <si>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</si>
  <si>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</si>
  <si>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</si>
  <si>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</si>
  <si>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</si>
  <si>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</si>
  <si>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</si>
  <si>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</si>
  <si>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</si>
  <si>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</si>
  <si>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</si>
  <si>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</si>
  <si>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</si>
  <si>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</si>
  <si>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</si>
  <si>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</si>
  <si>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</si>
  <si>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</si>
  <si>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</si>
  <si>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</si>
  <si>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</si>
  <si>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</si>
  <si>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</si>
  <si>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</si>
  <si>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</si>
  <si>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</si>
  <si>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</si>
  <si>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</si>
  <si>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</si>
  <si>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</si>
  <si>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</si>
  <si>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</si>
  <si>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</si>
  <si>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</si>
  <si>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</si>
  <si>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</si>
  <si>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</si>
  <si>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</si>
  <si>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</si>
  <si>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</si>
  <si>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</si>
  <si>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</si>
  <si>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</si>
  <si>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</si>
  <si>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</si>
  <si>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</si>
  <si>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</si>
  <si>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</si>
  <si>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</si>
  <si>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</si>
  <si>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</si>
  <si>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</si>
  <si>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</si>
  <si>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</si>
  <si>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</si>
  <si>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</si>
  <si>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</si>
  <si>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</si>
  <si>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</si>
  <si>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</si>
  <si>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</si>
  <si>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</si>
  <si>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</si>
  <si>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</si>
  <si>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</si>
  <si>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</si>
  <si>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</si>
  <si>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</si>
  <si>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</si>
  <si>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</si>
  <si>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</si>
  <si>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</si>
  <si>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</si>
  <si>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</si>
  <si>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</si>
  <si>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</si>
  <si>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</si>
  <si>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</si>
  <si>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</si>
  <si>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</si>
  <si>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</si>
  <si>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</si>
  <si>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</si>
  <si>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</si>
  <si>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</si>
  <si>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</si>
  <si>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</si>
  <si>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</si>
  <si>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</si>
  <si>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</si>
  <si>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</si>
  <si>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</si>
  <si>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</si>
  <si>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</si>
  <si>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</si>
  <si>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</si>
  <si>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</si>
  <si>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</si>
  <si>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</si>
  <si>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</si>
  <si>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</si>
  <si>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</si>
  <si>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</si>
  <si>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</si>
  <si>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</si>
  <si>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</si>
  <si>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</si>
  <si>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</si>
  <si>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</si>
  <si>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</si>
  <si>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</si>
  <si>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</si>
  <si>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</si>
  <si>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</si>
  <si>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</si>
  <si>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</si>
  <si>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</si>
  <si>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</si>
  <si>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</si>
  <si>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</si>
  <si>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</si>
  <si>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</si>
  <si>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</si>
  <si>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</si>
  <si>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</si>
  <si>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</si>
  <si>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</si>
  <si>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</si>
  <si>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</si>
  <si>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</si>
  <si>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</si>
  <si>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</si>
  <si>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</si>
  <si>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</si>
  <si>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</si>
  <si>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</si>
  <si>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</si>
  <si>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</si>
  <si>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</si>
  <si>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</si>
  <si>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</si>
  <si>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</si>
  <si>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</si>
  <si>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</si>
  <si>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</si>
  <si>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</si>
  <si>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</si>
  <si>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</si>
  <si>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</si>
  <si>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</si>
  <si>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</si>
  <si>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</si>
  <si>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</si>
  <si>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</si>
  <si>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</si>
  <si>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</si>
  <si>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</si>
  <si>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</si>
  <si>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</si>
  <si>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</si>
  <si>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</si>
  <si>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</si>
  <si>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</si>
  <si>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</si>
  <si>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</si>
  <si>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</si>
  <si>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</si>
  <si>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</si>
  <si>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</si>
  <si>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</si>
  <si>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</si>
  <si>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</si>
  <si>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</si>
  <si>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</si>
  <si>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</si>
  <si>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</si>
  <si>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</si>
  <si>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</si>
  <si>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</si>
  <si>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</si>
  <si>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</si>
  <si>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</si>
  <si>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</si>
  <si>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</si>
  <si>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</si>
  <si>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</si>
  <si>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</si>
  <si>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</si>
  <si>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</si>
  <si>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</si>
  <si>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</si>
  <si>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</si>
  <si>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</si>
  <si>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</si>
  <si>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</si>
  <si>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</si>
  <si>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</si>
  <si>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</si>
  <si>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</si>
  <si>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</si>
  <si>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</si>
  <si>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</si>
  <si>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</si>
  <si>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</si>
  <si>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</si>
  <si>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</si>
  <si>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</si>
  <si>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</si>
  <si>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</si>
  <si>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</si>
  <si>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</si>
  <si>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</si>
  <si>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</si>
  <si>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</si>
  <si>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</si>
  <si>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</si>
  <si>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</si>
  <si>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</si>
  <si>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</si>
  <si>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</si>
  <si>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</si>
  <si>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</si>
  <si>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</si>
  <si>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</si>
  <si>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</si>
  <si>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</si>
  <si>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</si>
  <si>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</si>
  <si>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</si>
  <si>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</si>
  <si>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</si>
  <si>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</si>
  <si>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</si>
  <si>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</si>
  <si>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</si>
  <si>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</si>
  <si>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</si>
  <si>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</si>
  <si>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</si>
  <si>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</si>
  <si>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</si>
  <si>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</si>
  <si>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</si>
  <si>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</si>
  <si>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</si>
  <si>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</si>
  <si>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</si>
  <si>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</si>
  <si>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</si>
  <si>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</si>
  <si>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</si>
  <si>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</si>
  <si>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</si>
  <si>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</si>
  <si>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</si>
  <si>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</si>
  <si>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</si>
  <si>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</si>
  <si>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</si>
  <si>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</si>
  <si>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</si>
  <si>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</si>
  <si>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</si>
  <si>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</si>
  <si>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</si>
  <si>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</si>
  <si>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</si>
  <si>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</si>
  <si>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</si>
  <si>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</si>
  <si>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</si>
  <si>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</si>
  <si>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</si>
  <si>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</si>
  <si>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</si>
  <si>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</si>
  <si>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</si>
  <si>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</si>
  <si>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</si>
  <si>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</si>
  <si>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</si>
  <si>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</si>
  <si>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</si>
  <si>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</si>
  <si>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</si>
  <si>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</si>
  <si>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</si>
  <si>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</si>
  <si>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</si>
  <si>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</si>
  <si>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</si>
  <si>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</si>
  <si>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</si>
  <si>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</si>
  <si>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</si>
  <si>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</si>
  <si>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</si>
  <si>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</si>
  <si>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</si>
  <si>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</si>
  <si>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</si>
  <si>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</si>
  <si>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</si>
  <si>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</si>
  <si>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</si>
  <si>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</si>
  <si>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</si>
  <si>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</si>
  <si>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</si>
  <si>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</si>
  <si>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</si>
  <si>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</si>
  <si>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</si>
  <si>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</si>
  <si>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</si>
  <si>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</si>
  <si>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</si>
  <si>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</si>
  <si>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</si>
  <si>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</si>
  <si>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</si>
  <si>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</si>
  <si>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</si>
  <si>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</si>
  <si>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</si>
  <si>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</si>
  <si>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</si>
  <si>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</si>
  <si>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</si>
  <si>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</si>
  <si>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</si>
  <si>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</si>
  <si>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</si>
  <si>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</si>
  <si>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</si>
  <si>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</si>
  <si>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</si>
  <si>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</si>
  <si>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</si>
  <si>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</si>
  <si>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</si>
  <si>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</si>
  <si>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</si>
  <si>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</si>
  <si>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</si>
  <si>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</si>
  <si>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</si>
  <si>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</si>
  <si>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</si>
  <si>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</si>
  <si>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</si>
  <si>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</si>
  <si>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</si>
  <si>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</si>
  <si>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</si>
  <si>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</si>
  <si>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</si>
  <si>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</si>
  <si>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</si>
  <si>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</si>
  <si>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</si>
  <si>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</si>
  <si>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</si>
  <si>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</si>
  <si>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</si>
  <si>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</si>
  <si>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</si>
  <si>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</si>
  <si>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</si>
  <si>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</si>
  <si>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</si>
  <si>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</si>
  <si>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</si>
  <si>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</si>
  <si>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</si>
  <si>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</si>
  <si>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</si>
  <si>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</si>
  <si>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</si>
  <si>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</si>
  <si>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</si>
  <si>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</si>
  <si>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</si>
  <si>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</si>
  <si>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</si>
  <si>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</si>
  <si>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</si>
  <si>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</si>
  <si>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</si>
  <si>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</si>
  <si>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</si>
  <si>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</si>
  <si>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</si>
  <si>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</si>
  <si>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</si>
  <si>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</si>
  <si>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</si>
  <si>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</si>
  <si>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</si>
  <si>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</si>
  <si>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</si>
  <si>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</si>
  <si>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</si>
  <si>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</si>
  <si>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</si>
  <si>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</si>
  <si>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</si>
  <si>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</si>
  <si>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</si>
  <si>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</si>
  <si>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</si>
  <si>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</si>
  <si>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</si>
  <si>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</si>
  <si>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</si>
  <si>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</si>
  <si>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</si>
  <si>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</si>
  <si>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</si>
  <si>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</si>
  <si>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</si>
  <si>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</si>
  <si>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</si>
  <si>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</si>
  <si>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</si>
  <si>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</si>
  <si>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FRANCIS RUIZ</t>
  </si>
  <si>
    <t>RICARD MONGE</t>
  </si>
  <si>
    <t>MARIA JOSE SERRANO</t>
  </si>
  <si>
    <t>LLUIS ESPINOSA</t>
  </si>
  <si>
    <t>ROBERTO BAÑOS</t>
  </si>
  <si>
    <t>POL FRANQUESA</t>
  </si>
  <si>
    <t>HECTOR GUILLEN</t>
  </si>
  <si>
    <t>9:01</t>
  </si>
  <si>
    <t>7:05</t>
  </si>
  <si>
    <t>5:27</t>
  </si>
  <si>
    <t>5:21</t>
  </si>
  <si>
    <t>9:38</t>
  </si>
  <si>
    <t>You have been able to do a very good job despite starting a bit unsure. You did a very good game. Keep it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</si>
</sst>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20_193_BAR_TEL_E2025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46028.854166666664</v>
      </c>
      <c r="C3" s="157"/>
      <c r="D3" s="39">
        <v>563</v>
      </c>
      <c r="E3" s="29"/>
      <c r="F3" s="26">
        <f>SUBTOTAL(3,I17:I106)</f>
        <v>5</v>
      </c>
      <c r="G3" s="27">
        <f>IF(OR(D3="",D3=0),"",F3/D3)</f>
        <v>8.8809946714031966E-3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8.8809946714031966E-3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0.88809946714031962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4.3880994671403197</v>
      </c>
      <c r="N7" s="58"/>
      <c r="O7" s="2"/>
      <c r="P7" s="2"/>
      <c r="Q7" s="86">
        <f>SUM(R5,S5,AC16)</f>
        <v>4.3880994671403197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4.3880994671403197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193</v>
      </c>
      <c r="D17" s="32" t="s">
        <v>758</v>
      </c>
      <c r="E17" s="33">
        <v>1</v>
      </c>
      <c r="F17" s="36">
        <v>2</v>
      </c>
      <c r="G17" s="36">
        <v>3</v>
      </c>
      <c r="H17" s="38" t="str">
        <f>IF(I17="","",$I$14)</f>
        <v>SCOUTING</v>
      </c>
      <c r="I17" s="34">
        <v>9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193</v>
      </c>
      <c r="D18" s="32" t="s">
        <v>759</v>
      </c>
      <c r="E18" s="33">
        <v>1</v>
      </c>
      <c r="F18" s="36">
        <v>7</v>
      </c>
      <c r="G18" s="36">
        <v>6</v>
      </c>
      <c r="H18" s="38" t="str">
        <f t="shared" ref="H18:H81" si="8">IF(I18="","",$I$14)</f>
        <v>SCOUTING</v>
      </c>
      <c r="I18" s="34">
        <v>35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193</v>
      </c>
      <c r="D19" s="32" t="s">
        <v>760</v>
      </c>
      <c r="E19" s="33">
        <v>1</v>
      </c>
      <c r="F19" s="36">
        <v>13</v>
      </c>
      <c r="G19" s="36">
        <v>9</v>
      </c>
      <c r="H19" s="38" t="str">
        <f t="shared" si="8"/>
        <v>SCOUTING</v>
      </c>
      <c r="I19" s="34">
        <v>53</v>
      </c>
      <c r="J19" s="13" t="s">
        <v>4</v>
      </c>
      <c r="K19" s="13" t="s">
        <v>62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193</v>
      </c>
      <c r="D20" s="32" t="s">
        <v>761</v>
      </c>
      <c r="E20" s="33">
        <v>1</v>
      </c>
      <c r="F20" s="36">
        <v>15</v>
      </c>
      <c r="G20" s="36">
        <v>9</v>
      </c>
      <c r="H20" s="38" t="str">
        <f t="shared" si="8"/>
        <v>SCOUTING</v>
      </c>
      <c r="I20" s="34">
        <v>55</v>
      </c>
      <c r="J20" s="13" t="s">
        <v>4</v>
      </c>
      <c r="K20" s="13" t="s">
        <v>62</v>
      </c>
      <c r="L20" s="13" t="s">
        <v>6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193</v>
      </c>
      <c r="D21" s="32" t="s">
        <v>762</v>
      </c>
      <c r="E21" s="33">
        <v>4</v>
      </c>
      <c r="F21" s="36">
        <v>77</v>
      </c>
      <c r="G21" s="36">
        <v>63</v>
      </c>
      <c r="H21" s="38" t="str">
        <f t="shared" si="8"/>
        <v>SCOUTING</v>
      </c>
      <c r="I21" s="34">
        <v>419</v>
      </c>
      <c r="J21" s="13" t="s">
        <v>4</v>
      </c>
      <c r="K21" s="13" t="s">
        <v>62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"E2025193"</v>
      </c>
      <c r="F3" s="45" t="str">
        <f t="shared" ref="F3:F16" si="0">""""&amp;B3&amp;"""" &amp; " : " &amp;C3&amp;","</f>
        <v>"name" : "E2025193",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"E193"</v>
      </c>
      <c r="F4" s="45" t="str">
        <f t="shared" si="0"/>
        <v>"cod" : "E193",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193</v>
      </c>
      <c r="F6" s="45" t="str">
        <f t="shared" si="0"/>
        <v>"number" : 193,</v>
      </c>
    </row>
    <row r="7" spans="2:6" x14ac:dyDescent="0.25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"FRANCIS RUIZ"</v>
      </c>
      <c r="F10" s="45" t="str">
        <f t="shared" si="0"/>
        <v>"Data_entry" : "FRANCIS RUIZ",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"MARIA JOSE SERRANO"</v>
      </c>
      <c r="F12" s="45" t="str">
        <f t="shared" si="0"/>
        <v>"Caller_2" : "MARIA JOSE SERRANO",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"LLUIS ESPINOSA"</v>
      </c>
      <c r="F13" s="45" t="str">
        <f t="shared" si="0"/>
        <v>"Timerkeeper" : "LLUIS ESPINOSA",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"ROBERTO BAÑOS"</v>
      </c>
      <c r="F14" s="45" t="str">
        <f t="shared" si="0"/>
        <v>"Shotclock" : "ROBERTO BAÑOS",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"POL FRANQUESA"</v>
      </c>
      <c r="F15" s="45" t="str">
        <f t="shared" si="0"/>
        <v>"IRS" : "POL FRANQUESA",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563</v>
      </c>
      <c r="F25" s="45" t="str">
        <f t="shared" ref="F25:F48" si="1">""""&amp;C25&amp;"""" &amp; " : " &amp;D25&amp;","</f>
        <v>"total_actions" : 563,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have been able to do a very good job despite starting a bit unsure. You did a very good game. Keep it up"</v>
      </c>
      <c r="F51" s="45" t="str">
        <f>""""&amp;B51&amp;"""" &amp; " : " &amp;C51&amp;","</f>
        <v>"comments" : "You have been able to do a very good job despite starting a bit unsure. You did a very good game. Keep it up",</v>
      </c>
    </row>
    <row r="52" spans="2:6" x14ac:dyDescent="0.25">
      <c r="B52" s="43" t="s">
        <v>153</v>
      </c>
      <c r="C52" s="43" t="str">
        <f>TEXT('SCOUT &amp; LOGISTICS'!F1,"0,0")</f>
        <v>20_193_BAR_TEL_E2025</v>
      </c>
      <c r="F52" s="45" t="str">
        <f>""""&amp;B52&amp;"""" &amp; " : " &amp;C52</f>
        <v>"result" : 20_193_BAR_TEL_E2025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E193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FRANCIS RUIZ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MARIA JOSE SERRANO</v>
      </c>
      <c r="M8" s="206"/>
      <c r="N8" s="206"/>
      <c r="O8" s="206"/>
      <c r="P8" s="206"/>
      <c r="Q8" s="206" t="str">
        <f>IF('SCOUT &amp; LOGISTICS'!D9="","",'SCOUT &amp; LOGISTICS'!D9)</f>
        <v>LLUIS ESPINOSA</v>
      </c>
      <c r="R8" s="206"/>
      <c r="S8" s="206"/>
      <c r="T8" s="206"/>
      <c r="U8" s="206"/>
      <c r="V8" s="206" t="str">
        <f>IF('SCOUT &amp; LOGISTICS'!D10="","",'SCOUT &amp; LOGISTICS'!D10)</f>
        <v>ROBERTO BAÑOS</v>
      </c>
      <c r="W8" s="206"/>
      <c r="X8" s="206"/>
      <c r="Y8" s="206"/>
      <c r="Z8" s="206"/>
      <c r="AA8" s="206" t="str">
        <f>IF('SCOUT &amp; LOGISTICS'!D11="","",'SCOUT &amp; LOGISTICS'!D11)</f>
        <v>POL FRANQUESA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8.8809946714031966E-3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 have been able to do a very good job despite starting a bit unsure. You did a very good game. Keep it up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4.3880994671403197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1EEEDA-0361-49B3-AE6B-592EF18F58F6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2026-01-06T21:33:49Z</cp:lastPrinted>
  <dcterms:created xsi:type="dcterms:W3CDTF">2023-09-19T19:50:35Z</dcterms:created>
  <dcterms:modified xsi:type="dcterms:W3CDTF">2026-01-06T21:33:50Z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