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9" documentId="8_{34A02108-D3D4-4670-9F8D-EB95D9193582}" xr6:coauthVersionLast="47" xr6:coauthVersionMax="47" xr10:uidLastSave="{E37F9FCE-505F-427D-9E81-5DD5AEC5596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<sst xmlns="http://schemas.openxmlformats.org/spreadsheetml/2006/main" count="3255" uniqueCount="758">
  <si>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</si>
  <si>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</si>
  <si>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</si>
  <si>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</si>
  <si>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</si>
  <si>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</si>
  <si>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</si>
  <si>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</si>
  <si>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</si>
  <si>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</si>
  <si>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</si>
  <si>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</si>
  <si>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</si>
  <si>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</si>
  <si>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</si>
  <si>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</si>
  <si>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</si>
  <si>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</si>
  <si>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</si>
  <si>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</si>
  <si>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</si>
  <si>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</si>
  <si>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</si>
  <si>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</si>
  <si>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</si>
  <si>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</si>
  <si>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</si>
  <si>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</si>
  <si>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</si>
  <si>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</si>
  <si>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</si>
  <si>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</si>
  <si>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</si>
  <si>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</si>
  <si>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</si>
  <si>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</si>
  <si>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</si>
  <si>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</si>
  <si>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</si>
  <si>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</si>
  <si>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</si>
  <si>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</si>
  <si>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</si>
  <si>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</si>
  <si>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</si>
  <si>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</si>
  <si>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</si>
  <si>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</si>
  <si>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</si>
  <si>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</si>
  <si>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</si>
  <si>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</si>
  <si>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</si>
  <si>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</si>
  <si>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</si>
  <si>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</si>
  <si>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</si>
  <si>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</si>
  <si>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</si>
  <si>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</si>
  <si>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</si>
  <si>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</si>
  <si>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</si>
  <si>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</si>
  <si>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</si>
  <si>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</si>
  <si>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</si>
  <si>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</si>
  <si>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</si>
  <si>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</si>
  <si>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</si>
  <si>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</si>
  <si>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</si>
  <si>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</si>
  <si>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</si>
  <si>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</si>
  <si>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</si>
  <si>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</si>
  <si>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</si>
  <si>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</si>
  <si>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</si>
  <si>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</si>
  <si>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</si>
  <si>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</si>
  <si>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</si>
  <si>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</si>
  <si>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</si>
  <si>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</si>
  <si>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</si>
  <si>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</si>
  <si>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</si>
  <si>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</si>
  <si>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</si>
  <si>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</si>
  <si>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</si>
  <si>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</si>
  <si>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</si>
  <si>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</si>
  <si>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</si>
  <si>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</si>
  <si>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</si>
  <si>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</si>
  <si>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</si>
  <si>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</si>
  <si>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</si>
  <si>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</si>
  <si>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</si>
  <si>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</si>
  <si>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</si>
  <si>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</si>
  <si>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</si>
  <si>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</si>
  <si>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</si>
  <si>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</si>
  <si>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</si>
  <si>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</si>
  <si>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</si>
  <si>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</si>
  <si>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</si>
  <si>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</si>
  <si>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</si>
  <si>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</si>
  <si>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</si>
  <si>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</si>
  <si>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</si>
  <si>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</si>
  <si>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</si>
  <si>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</si>
  <si>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</si>
  <si>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</si>
  <si>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</si>
  <si>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</si>
  <si>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</si>
  <si>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</si>
  <si>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</si>
  <si>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</si>
  <si>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</si>
  <si>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</si>
  <si>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</si>
  <si>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</si>
  <si>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</si>
  <si>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</si>
  <si>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</si>
  <si>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</si>
  <si>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</si>
  <si>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</si>
  <si>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</si>
  <si>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</si>
  <si>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</si>
  <si>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</si>
  <si>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</si>
  <si>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</si>
  <si>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</si>
  <si>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</si>
  <si>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</si>
  <si>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</si>
  <si>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</si>
  <si>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</si>
  <si>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</si>
  <si>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</si>
  <si>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</si>
  <si>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</si>
  <si>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</si>
  <si>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</si>
  <si>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</si>
  <si>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</si>
  <si>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</si>
  <si>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</si>
  <si>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</si>
  <si>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</si>
  <si>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</si>
  <si>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</si>
  <si>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</si>
  <si>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</si>
  <si>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</si>
  <si>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</si>
  <si>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</si>
  <si>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</si>
  <si>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</si>
  <si>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</si>
  <si>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</si>
  <si>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</si>
  <si>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</si>
  <si>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</si>
  <si>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</si>
  <si>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</si>
  <si>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</si>
  <si>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</si>
  <si>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</si>
  <si>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</si>
  <si>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</si>
  <si>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</si>
  <si>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</si>
  <si>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</si>
  <si>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</si>
  <si>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</si>
  <si>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</si>
  <si>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</si>
  <si>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</si>
  <si>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</si>
  <si>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</si>
  <si>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</si>
  <si>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</si>
  <si>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</si>
  <si>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</si>
  <si>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</si>
  <si>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</si>
  <si>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</si>
  <si>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</si>
  <si>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</si>
  <si>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</si>
  <si>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</si>
  <si>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</si>
  <si>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</si>
  <si>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</si>
  <si>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</si>
  <si>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</si>
  <si>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</si>
  <si>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</si>
  <si>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</si>
  <si>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</si>
  <si>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</si>
  <si>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</si>
  <si>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</si>
  <si>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</si>
  <si>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</si>
  <si>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</si>
  <si>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</si>
  <si>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</si>
  <si>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</si>
  <si>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</si>
  <si>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</si>
  <si>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</si>
  <si>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</si>
  <si>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</si>
  <si>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</si>
  <si>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</si>
  <si>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</si>
  <si>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</si>
  <si>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</si>
  <si>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</si>
  <si>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</si>
  <si>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</si>
  <si>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</si>
  <si>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</si>
  <si>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</si>
  <si>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</si>
  <si>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</si>
  <si>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</si>
  <si>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</si>
  <si>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</si>
  <si>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</si>
  <si>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</si>
  <si>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</si>
  <si>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</si>
  <si>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</si>
  <si>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</si>
  <si>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</si>
  <si>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</si>
  <si>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</si>
  <si>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</si>
  <si>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</si>
  <si>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</si>
  <si>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</si>
  <si>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</si>
  <si>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</si>
  <si>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</si>
  <si>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</si>
  <si>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</si>
  <si>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</si>
  <si>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</si>
  <si>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</si>
  <si>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</si>
  <si>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</si>
  <si>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</si>
  <si>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</si>
  <si>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</si>
  <si>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</si>
  <si>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</si>
  <si>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</si>
  <si>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</si>
  <si>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</si>
  <si>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</si>
  <si>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</si>
  <si>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</si>
  <si>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</si>
  <si>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</si>
  <si>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</si>
  <si>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</si>
  <si>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</si>
  <si>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</si>
  <si>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</si>
  <si>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</si>
  <si>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</si>
  <si>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</si>
  <si>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</si>
  <si>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</si>
  <si>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</si>
  <si>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</si>
  <si>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</si>
  <si>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</si>
  <si>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</si>
  <si>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</si>
  <si>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</si>
  <si>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</si>
  <si>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</si>
  <si>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</si>
  <si>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</si>
  <si>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</si>
  <si>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</si>
  <si>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</si>
  <si>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</si>
  <si>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</si>
  <si>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</si>
  <si>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</si>
  <si>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</si>
  <si>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</si>
  <si>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</si>
  <si>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</si>
  <si>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</si>
  <si>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</si>
  <si>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</si>
  <si>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</si>
  <si>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</si>
  <si>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</si>
  <si>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</si>
  <si>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</si>
  <si>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</si>
  <si>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</si>
  <si>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</si>
  <si>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</si>
  <si>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</si>
  <si>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</si>
  <si>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</si>
  <si>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</si>
  <si>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</si>
  <si>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</si>
  <si>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</si>
  <si>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</si>
  <si>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</si>
  <si>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</si>
  <si>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</si>
  <si>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</si>
  <si>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</si>
  <si>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</si>
  <si>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</si>
  <si>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</si>
  <si>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</si>
  <si>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</si>
  <si>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</si>
  <si>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</si>
  <si>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</si>
  <si>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</si>
  <si>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</si>
  <si>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</si>
  <si>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</si>
  <si>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</si>
  <si>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</si>
  <si>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</si>
  <si>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</si>
  <si>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</si>
  <si>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</si>
  <si>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</si>
  <si>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</si>
  <si>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</si>
  <si>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</si>
  <si>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</si>
  <si>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</si>
  <si>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</si>
  <si>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</si>
  <si>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</si>
  <si>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</si>
  <si>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</si>
  <si>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</si>
  <si>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</si>
  <si>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</si>
  <si>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</si>
  <si>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</si>
  <si>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</si>
  <si>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</si>
  <si>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</si>
  <si>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</si>
  <si>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</si>
  <si>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</si>
  <si>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</si>
  <si>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</si>
  <si>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</si>
  <si>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</si>
  <si>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</si>
  <si>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</si>
  <si>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</si>
  <si>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</si>
  <si>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</si>
  <si>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</si>
  <si>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</si>
  <si>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</si>
  <si>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</si>
  <si>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</si>
  <si>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</si>
  <si>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</si>
  <si>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</si>
  <si>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</si>
  <si>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</si>
  <si>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</si>
  <si>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</si>
  <si>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</si>
  <si>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</si>
  <si>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</si>
  <si>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</si>
  <si>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</si>
  <si>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</si>
  <si>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</si>
  <si>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</si>
  <si>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</si>
  <si>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</si>
  <si>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</si>
  <si>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</si>
  <si>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</si>
  <si>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</si>
  <si>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</si>
  <si>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</si>
  <si>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</si>
  <si>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</si>
  <si>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</si>
  <si>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</si>
  <si>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</si>
  <si>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</si>
  <si>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</si>
  <si>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</si>
  <si>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</si>
  <si>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</si>
  <si>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</si>
  <si>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</si>
  <si>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</si>
  <si>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</si>
  <si>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</si>
  <si>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</si>
  <si>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</si>
  <si>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</si>
  <si>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</si>
  <si>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</si>
  <si>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</si>
  <si>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</si>
  <si>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</si>
  <si>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</si>
  <si>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</si>
  <si>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</si>
  <si>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</si>
  <si>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</si>
  <si>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</si>
  <si>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</si>
  <si>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</si>
  <si>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</si>
  <si>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</si>
  <si>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</si>
  <si>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</si>
  <si>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</si>
  <si>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</si>
  <si>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</si>
  <si>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</si>
  <si>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</si>
  <si>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</si>
  <si>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</si>
  <si>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</si>
  <si>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</si>
  <si>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</si>
  <si>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</si>
  <si>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</si>
  <si>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</si>
  <si>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</si>
  <si>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</si>
  <si>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</si>
  <si>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</si>
  <si>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</si>
  <si>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</si>
  <si>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</si>
  <si>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</si>
  <si>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</si>
  <si>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</si>
  <si>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</si>
  <si>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</si>
  <si>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</si>
  <si>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</si>
  <si>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</si>
  <si>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</si>
  <si>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</si>
  <si>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</si>
  <si>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</si>
  <si>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</si>
  <si>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</si>
  <si>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</si>
  <si>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</si>
  <si>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</si>
  <si>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</si>
  <si>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</si>
  <si>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</si>
  <si>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</si>
  <si>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</si>
  <si>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</si>
  <si>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</si>
  <si>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</si>
  <si>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</si>
  <si>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</si>
  <si>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</si>
  <si>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</si>
  <si>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</si>
  <si>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</si>
  <si>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</si>
  <si>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</si>
  <si>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</si>
  <si>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</si>
  <si>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</si>
  <si>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</si>
  <si>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</si>
  <si>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</si>
  <si>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</si>
  <si>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</si>
  <si>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</si>
  <si>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</si>
  <si>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</si>
  <si>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</si>
  <si>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</si>
  <si>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</si>
  <si>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</si>
  <si>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</si>
  <si>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</si>
  <si>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</si>
  <si>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</si>
  <si>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</si>
  <si>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</si>
  <si>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</si>
  <si>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</si>
  <si>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</si>
  <si>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</si>
  <si>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</si>
  <si>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</si>
  <si>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</si>
  <si>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</si>
  <si>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</si>
  <si>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</si>
  <si>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</si>
  <si>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</si>
  <si>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</si>
  <si>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</si>
  <si>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</si>
  <si>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</si>
  <si>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</si>
  <si>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</si>
  <si>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</si>
  <si>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</si>
  <si>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</si>
  <si>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</si>
  <si>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</si>
  <si>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</si>
  <si>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</si>
  <si>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</si>
  <si>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</si>
  <si>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</si>
  <si>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</si>
  <si>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</si>
  <si>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</si>
  <si>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</si>
  <si>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</si>
  <si>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</si>
  <si>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</si>
  <si>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</si>
  <si>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</si>
  <si>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</si>
  <si>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</si>
  <si>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</si>
  <si>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</si>
  <si>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</si>
  <si>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</si>
  <si>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</si>
  <si>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</si>
  <si>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</si>
  <si>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</si>
  <si>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</si>
  <si>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</si>
  <si>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</si>
  <si>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</si>
  <si>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</si>
  <si>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</si>
  <si>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</si>
  <si>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</si>
  <si>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</si>
  <si>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</si>
  <si>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</si>
  <si>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</si>
  <si>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</si>
  <si>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</si>
  <si>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</si>
  <si>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</si>
  <si>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</si>
  <si>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</si>
  <si>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</si>
  <si>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</si>
  <si>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</si>
  <si>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</si>
  <si>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</si>
  <si>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</si>
  <si>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</si>
  <si>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</si>
  <si>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</si>
  <si>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</si>
  <si>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</si>
  <si>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</si>
  <si>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</si>
  <si>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</si>
  <si>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</si>
  <si>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</si>
  <si>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</si>
  <si>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</si>
  <si>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</si>
  <si>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</si>
  <si>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</si>
  <si>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</si>
  <si>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</si>
  <si>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</si>
  <si>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</si>
  <si>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</si>
  <si>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</si>
  <si>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</si>
  <si>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</si>
  <si>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</si>
  <si>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</si>
  <si>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</si>
  <si>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</si>
  <si>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</si>
  <si>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</si>
  <si>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</si>
  <si>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</si>
  <si>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</si>
  <si>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</si>
  <si>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</si>
  <si>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</si>
  <si>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</si>
  <si>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</si>
  <si>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</si>
  <si>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</si>
  <si>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</si>
  <si>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</si>
  <si>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</si>
  <si>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</si>
  <si>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</si>
  <si>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</si>
  <si>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</si>
  <si>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</si>
  <si>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</si>
  <si>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</si>
  <si>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</si>
  <si>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</si>
  <si>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</si>
  <si>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</si>
  <si>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</si>
  <si>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</si>
  <si>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</si>
  <si>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</si>
  <si>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</si>
  <si>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</si>
  <si>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</si>
  <si>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</si>
  <si>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</si>
  <si>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</si>
  <si>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</si>
  <si>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</si>
  <si>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</si>
  <si>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</si>
  <si>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</si>
  <si>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</si>
  <si>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</si>
  <si>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</si>
  <si>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</si>
  <si>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</si>
  <si>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</si>
  <si>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</si>
  <si>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</si>
  <si>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</si>
  <si>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</si>
  <si>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</si>
  <si>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</si>
  <si>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</si>
  <si>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</si>
  <si>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</si>
  <si>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</si>
  <si>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</si>
  <si>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</si>
  <si>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</si>
  <si>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</si>
  <si>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</si>
  <si>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</si>
  <si>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</si>
  <si>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</si>
  <si>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</si>
  <si>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</si>
  <si>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</si>
  <si>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</si>
  <si>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</si>
  <si>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</si>
  <si>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</si>
  <si>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</si>
  <si>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</si>
  <si>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</si>
  <si>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</si>
  <si>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</si>
  <si>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</si>
  <si>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</si>
  <si>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</si>
  <si>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</si>
  <si>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</si>
  <si>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</si>
  <si>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</si>
  <si>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</si>
  <si>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</si>
  <si>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</si>
  <si>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</si>
  <si>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</si>
  <si>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</si>
  <si>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</si>
  <si>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</si>
  <si>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</si>
  <si>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</si>
  <si>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</si>
  <si>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</si>
  <si>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</si>
  <si>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</si>
  <si>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</si>
  <si>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</si>
  <si>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</si>
  <si>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</si>
  <si>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</si>
  <si>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</si>
  <si>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</si>
  <si>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</si>
  <si>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</si>
  <si>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</si>
  <si>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</si>
  <si>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</si>
  <si>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</si>
  <si>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</si>
  <si>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</si>
  <si>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</si>
  <si>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</si>
  <si>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</si>
  <si>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</si>
  <si>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</si>
  <si>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</si>
  <si>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</si>
  <si>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</si>
  <si>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</si>
  <si>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</si>
  <si>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GIZEM UNSAL</t>
  </si>
  <si>
    <t>HECTOR GUILLEN</t>
  </si>
  <si>
    <t>1:24</t>
  </si>
  <si>
    <t>2:42</t>
  </si>
  <si>
    <t>C:\Users\hector.guillen\EUROLEAGUE\EB STATS - Documents\General\SEASON 2025-26\Reports\Euroleague</t>
  </si>
  <si>
    <t>C:\Users\hector.guillen\EUROLEAGUE\EB STATS - Documents\General\SEASON 2025-26\Reports\Euroleague\PDF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</si>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</sst>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20_194_ULK_OLY_E2025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46028.864583333336</v>
      </c>
      <c r="C3" s="157"/>
      <c r="D3" s="39">
        <v>550</v>
      </c>
      <c r="E3" s="29"/>
      <c r="F3" s="26">
        <f>SUBTOTAL(3,I17:I106)</f>
        <v>2</v>
      </c>
      <c r="G3" s="27">
        <f>IF(OR(D3="",D3=0),"",F3/D3)</f>
        <v>3.6363636363636364E-3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3.6363636363636364E-3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0.36363636363636365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5.3636363636363633</v>
      </c>
      <c r="N7" s="58"/>
      <c r="O7" s="2"/>
      <c r="P7" s="2"/>
      <c r="Q7" s="86">
        <f>SUM(R5,S5,AC16)</f>
        <v>5.3636363636363633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5.3636363636363633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738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194</v>
      </c>
      <c r="D17" s="32" t="s">
        <v>753</v>
      </c>
      <c r="E17" s="33">
        <v>1</v>
      </c>
      <c r="F17" s="36">
        <v>16</v>
      </c>
      <c r="G17" s="36">
        <v>17</v>
      </c>
      <c r="H17" s="38" t="str">
        <f>IF(I17="","",$I$14)</f>
        <v>SCOUTING</v>
      </c>
      <c r="I17" s="34">
        <v>98</v>
      </c>
      <c r="J17" s="13" t="s">
        <v>4</v>
      </c>
      <c r="K17" s="13" t="s">
        <v>62</v>
      </c>
      <c r="L17" s="13" t="s">
        <v>7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1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194</v>
      </c>
      <c r="D18" s="32" t="s">
        <v>754</v>
      </c>
      <c r="E18" s="33">
        <v>4</v>
      </c>
      <c r="F18" s="36">
        <v>80</v>
      </c>
      <c r="G18" s="36">
        <v>73</v>
      </c>
      <c r="H18" s="38" t="str">
        <f t="shared" ref="H18:H81" si="8">IF(I18="","",$I$14)</f>
        <v>SCOUTING</v>
      </c>
      <c r="I18" s="34">
        <v>499</v>
      </c>
      <c r="J18" s="13" t="s">
        <v>4</v>
      </c>
      <c r="K18" s="13" t="s">
        <v>63</v>
      </c>
      <c r="L18" s="13" t="s">
        <v>7</v>
      </c>
      <c r="M18" s="13" t="s">
        <v>30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"E2025194"</v>
      </c>
      <c r="F3" s="45" t="str">
        <f t="shared" ref="F3:F16" si="0">""""&amp;B3&amp;"""" &amp; " : " &amp;C3&amp;","</f>
        <v>"name" : "E2025194",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"E194"</v>
      </c>
      <c r="F4" s="45" t="str">
        <f t="shared" si="0"/>
        <v>"cod" : "E194",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194</v>
      </c>
      <c r="F6" s="45" t="str">
        <f t="shared" si="0"/>
        <v>"number" : 194,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"SERHAT LEVENT"</v>
      </c>
      <c r="F13" s="45" t="str">
        <f t="shared" si="0"/>
        <v>"Timerkeeper" : "SERHAT LEVENT",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"GIZEM UNSAL"</v>
      </c>
      <c r="F14" s="45" t="str">
        <f t="shared" si="0"/>
        <v>"Shotclock" : "GIZEM UNSAL",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20_194_ULK_OLY_E2025</v>
      </c>
      <c r="F52" s="45" t="str">
        <f>""""&amp;B52&amp;"""" &amp; " : " &amp;C52</f>
        <v>"result" : 20_194_ULK_OLY_E2025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SERHAT LEVENT</v>
      </c>
      <c r="R8" s="206"/>
      <c r="S8" s="206"/>
      <c r="T8" s="206"/>
      <c r="U8" s="206"/>
      <c r="V8" s="206" t="str">
        <f>IF('SCOUT &amp; LOGISTICS'!D10="","",'SCOUT &amp; LOGISTICS'!D10)</f>
        <v>GIZEM UNSAL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3.6363636363636364E-3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5.3636363636363633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AB23D1-F5D1-4936-81CF-4A2509F31B9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2026-01-06T21:34:17Z</cp:lastPrinted>
  <dcterms:created xsi:type="dcterms:W3CDTF">2023-09-19T19:50:35Z</dcterms:created>
  <dcterms:modified xsi:type="dcterms:W3CDTF">2026-01-06T21:34:19Z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