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87" documentId="8_{27E85983-41B1-4860-B92D-60300B27D555}" xr6:coauthVersionLast="47" xr6:coauthVersionMax="47" xr10:uidLastSave="{18B72ED8-0FD2-4DD2-B887-6CFD2F7A35D4}"/>
  <bookViews>
    <workbookView xWindow="-28920" yWindow="-75"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<sst xmlns="http://schemas.openxmlformats.org/spreadsheetml/2006/main" count="3280" uniqueCount="766">
  <si>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</si>
  <si>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</si>
  <si>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</si>
  <si>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</si>
  <si>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</si>
  <si>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</si>
  <si>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</si>
  <si>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</si>
  <si>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</si>
  <si>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</si>
  <si>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</si>
  <si>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</si>
  <si>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</si>
  <si>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</si>
  <si>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</si>
  <si>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</si>
  <si>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</si>
  <si>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</si>
  <si>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</si>
  <si>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</si>
  <si>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</si>
  <si>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</si>
  <si>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</si>
  <si>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</si>
  <si>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</si>
  <si>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</si>
  <si>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</si>
  <si>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</si>
  <si>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</si>
  <si>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</si>
  <si>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</si>
  <si>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</si>
  <si>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</si>
  <si>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</si>
  <si>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</si>
  <si>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</si>
  <si>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</si>
  <si>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</si>
  <si>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</si>
  <si>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</si>
  <si>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</si>
  <si>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</si>
  <si>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</si>
  <si>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</si>
  <si>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</si>
  <si>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</si>
  <si>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</si>
  <si>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</si>
  <si>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</si>
  <si>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</si>
  <si>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</si>
  <si>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</si>
  <si>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</si>
  <si>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</si>
  <si>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</si>
  <si>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</si>
  <si>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</si>
  <si>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</si>
  <si>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</si>
  <si>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</si>
  <si>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</si>
  <si>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</si>
  <si>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</si>
  <si>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</si>
  <si>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</si>
  <si>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</si>
  <si>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</si>
  <si>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</si>
  <si>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</si>
  <si>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</si>
  <si>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</si>
  <si>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</si>
  <si>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</si>
  <si>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</si>
  <si>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</si>
  <si>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</si>
  <si>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</si>
  <si>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</si>
  <si>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</si>
  <si>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</si>
  <si>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</si>
  <si>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</si>
  <si>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</si>
  <si>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</si>
  <si>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</si>
  <si>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</si>
  <si>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</si>
  <si>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</si>
  <si>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</si>
  <si>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</si>
  <si>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</si>
  <si>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</si>
  <si>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</si>
  <si>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</si>
  <si>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</si>
  <si>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</si>
  <si>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</si>
  <si>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</si>
  <si>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</si>
  <si>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</si>
  <si>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</si>
  <si>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</si>
  <si>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</si>
  <si>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</si>
  <si>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</si>
  <si>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</si>
  <si>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</si>
  <si>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</si>
  <si>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</si>
  <si>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</si>
  <si>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</si>
  <si>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</si>
  <si>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</si>
  <si>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</si>
  <si>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</si>
  <si>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</si>
  <si>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</si>
  <si>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</si>
  <si>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</si>
  <si>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</si>
  <si>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</si>
  <si>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</si>
  <si>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</si>
  <si>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</si>
  <si>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</si>
  <si>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</si>
  <si>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</si>
  <si>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</si>
  <si>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</si>
  <si>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</si>
  <si>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</si>
  <si>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</si>
  <si>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</si>
  <si>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</si>
  <si>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</si>
  <si>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</si>
  <si>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</si>
  <si>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</si>
  <si>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</si>
  <si>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</si>
  <si>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</si>
  <si>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</si>
  <si>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</si>
  <si>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</si>
  <si>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</si>
  <si>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</si>
  <si>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</si>
  <si>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</si>
  <si>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</si>
  <si>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</si>
  <si>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</si>
  <si>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</si>
  <si>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</si>
  <si>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</si>
  <si>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</si>
  <si>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</si>
  <si>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</si>
  <si>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</si>
  <si>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</si>
  <si>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</si>
  <si>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</si>
  <si>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</si>
  <si>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</si>
  <si>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</si>
  <si>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</si>
  <si>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</si>
  <si>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</si>
  <si>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</si>
  <si>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</si>
  <si>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</si>
  <si>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</si>
  <si>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</si>
  <si>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</si>
  <si>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</si>
  <si>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</si>
  <si>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</si>
  <si>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</si>
  <si>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</si>
  <si>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</si>
  <si>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</si>
  <si>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</si>
  <si>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</si>
  <si>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</si>
  <si>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</si>
  <si>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</si>
  <si>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</si>
  <si>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</si>
  <si>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</si>
  <si>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</si>
  <si>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</si>
  <si>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</si>
  <si>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</si>
  <si>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</si>
  <si>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</si>
  <si>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</si>
  <si>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</si>
  <si>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</si>
  <si>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</si>
  <si>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</si>
  <si>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</si>
  <si>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</si>
  <si>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</si>
  <si>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</si>
  <si>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</si>
  <si>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</si>
  <si>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</si>
  <si>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</si>
  <si>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</si>
  <si>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</si>
  <si>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</si>
  <si>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</si>
  <si>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</si>
  <si>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</si>
  <si>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</si>
  <si>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</si>
  <si>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</si>
  <si>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</si>
  <si>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</si>
  <si>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</si>
  <si>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</si>
  <si>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</si>
  <si>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</si>
  <si>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</si>
  <si>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</si>
  <si>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</si>
  <si>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</si>
  <si>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</si>
  <si>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</si>
  <si>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</si>
  <si>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</si>
  <si>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</si>
  <si>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</si>
  <si>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</si>
  <si>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</si>
  <si>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</si>
  <si>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</si>
  <si>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</si>
  <si>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</si>
  <si>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</si>
  <si>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</si>
  <si>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</si>
  <si>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</si>
  <si>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</si>
  <si>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</si>
  <si>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</si>
  <si>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</si>
  <si>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</si>
  <si>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</si>
  <si>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</si>
  <si>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</si>
  <si>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</si>
  <si>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</si>
  <si>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</si>
  <si>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</si>
  <si>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</si>
  <si>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</si>
  <si>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</si>
  <si>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</si>
  <si>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</si>
  <si>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</si>
  <si>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</si>
  <si>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</si>
  <si>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</si>
  <si>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</si>
  <si>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</si>
  <si>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</si>
  <si>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</si>
  <si>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</si>
  <si>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</si>
  <si>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</si>
  <si>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</si>
  <si>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</si>
  <si>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</si>
  <si>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</si>
  <si>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</si>
  <si>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</si>
  <si>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</si>
  <si>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</si>
  <si>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</si>
  <si>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</si>
  <si>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</si>
  <si>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</si>
  <si>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</si>
  <si>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</si>
  <si>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</si>
  <si>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</si>
  <si>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</si>
  <si>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</si>
  <si>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</si>
  <si>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</si>
  <si>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</si>
  <si>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</si>
  <si>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</si>
  <si>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</si>
  <si>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</si>
  <si>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</si>
  <si>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</si>
  <si>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</si>
  <si>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</si>
  <si>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</si>
  <si>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</si>
  <si>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</si>
  <si>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</si>
  <si>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</si>
  <si>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</si>
  <si>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</si>
  <si>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</si>
  <si>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</si>
  <si>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</si>
  <si>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</si>
  <si>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</si>
  <si>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</si>
  <si>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</si>
  <si>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</si>
  <si>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</si>
  <si>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</si>
  <si>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</si>
  <si>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</si>
  <si>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</si>
  <si>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</si>
  <si>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</si>
  <si>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</si>
  <si>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</si>
  <si>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</si>
  <si>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</si>
  <si>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</si>
  <si>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</si>
  <si>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</si>
  <si>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</si>
  <si>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</si>
  <si>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</si>
  <si>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</si>
  <si>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</si>
  <si>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</si>
  <si>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</si>
  <si>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</si>
  <si>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</si>
  <si>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</si>
  <si>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</si>
  <si>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</si>
  <si>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</si>
  <si>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</si>
  <si>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</si>
  <si>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</si>
  <si>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</si>
  <si>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</si>
  <si>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</si>
  <si>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</si>
  <si>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</si>
  <si>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</si>
  <si>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</si>
  <si>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</si>
  <si>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</si>
  <si>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</si>
  <si>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</si>
  <si>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</si>
  <si>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</si>
  <si>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</si>
  <si>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</si>
  <si>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</si>
  <si>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</si>
  <si>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</si>
  <si>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</si>
  <si>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</si>
  <si>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</si>
  <si>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</si>
  <si>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</si>
  <si>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</si>
  <si>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</si>
  <si>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</si>
  <si>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</si>
  <si>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</si>
  <si>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</si>
  <si>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</si>
  <si>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</si>
  <si>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</si>
  <si>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</si>
  <si>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</si>
  <si>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</si>
  <si>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</si>
  <si>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</si>
  <si>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</si>
  <si>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</si>
  <si>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</si>
  <si>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</si>
  <si>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</si>
  <si>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</si>
  <si>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</si>
  <si>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</si>
  <si>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</si>
  <si>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</si>
  <si>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</si>
  <si>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</si>
  <si>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</si>
  <si>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</si>
  <si>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</si>
  <si>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</si>
  <si>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</si>
  <si>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</si>
  <si>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</si>
  <si>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</si>
  <si>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</si>
  <si>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</si>
  <si>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</si>
  <si>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</si>
  <si>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</si>
  <si>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</si>
  <si>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</si>
  <si>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</si>
  <si>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</si>
  <si>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</si>
  <si>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</si>
  <si>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</si>
  <si>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</si>
  <si>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</si>
  <si>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</si>
  <si>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</si>
  <si>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</si>
  <si>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</si>
  <si>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</si>
  <si>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</si>
  <si>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</si>
  <si>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</si>
  <si>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</si>
  <si>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</si>
  <si>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</si>
  <si>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</si>
  <si>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</si>
  <si>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</si>
  <si>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</si>
  <si>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</si>
  <si>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</si>
  <si>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</si>
  <si>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</si>
  <si>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</si>
  <si>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</si>
  <si>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</si>
  <si>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</si>
  <si>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</si>
  <si>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</si>
  <si>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</si>
  <si>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</si>
  <si>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</si>
  <si>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</si>
  <si>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</si>
  <si>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</si>
  <si>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</si>
  <si>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</si>
  <si>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</si>
  <si>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</si>
  <si>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</si>
  <si>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</si>
  <si>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</si>
  <si>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</si>
  <si>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</si>
  <si>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</si>
  <si>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</si>
  <si>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</si>
  <si>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</si>
  <si>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</si>
  <si>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</si>
  <si>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</si>
  <si>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</si>
  <si>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</si>
  <si>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</si>
  <si>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</si>
  <si>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</si>
  <si>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</si>
  <si>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</si>
  <si>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</si>
  <si>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</si>
  <si>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</si>
  <si>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</si>
  <si>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</si>
  <si>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</si>
  <si>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</si>
  <si>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</si>
  <si>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</si>
  <si>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</si>
  <si>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</si>
  <si>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</si>
  <si>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</si>
  <si>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</si>
  <si>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</si>
  <si>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</si>
  <si>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</si>
  <si>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</si>
  <si>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</si>
  <si>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</si>
  <si>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</si>
  <si>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</si>
  <si>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</si>
  <si>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</si>
  <si>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</si>
  <si>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</si>
  <si>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</si>
  <si>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</si>
  <si>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</si>
  <si>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</si>
  <si>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</si>
  <si>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</si>
  <si>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</si>
  <si>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</si>
  <si>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</si>
  <si>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</si>
  <si>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</si>
  <si>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</si>
  <si>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</si>
  <si>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</si>
  <si>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</si>
  <si>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</si>
  <si>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</si>
  <si>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</si>
  <si>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</si>
  <si>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</si>
  <si>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</si>
  <si>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</si>
  <si>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</si>
  <si>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</si>
  <si>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</si>
  <si>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</si>
  <si>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</si>
  <si>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</si>
  <si>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</si>
  <si>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</si>
  <si>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</si>
  <si>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</si>
  <si>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</si>
  <si>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</si>
  <si>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</si>
  <si>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</si>
  <si>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</si>
  <si>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</si>
  <si>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</si>
  <si>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</si>
  <si>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</si>
  <si>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</si>
  <si>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</si>
  <si>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</si>
  <si>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</si>
  <si>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</si>
  <si>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</si>
  <si>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</si>
  <si>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</si>
  <si>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</si>
  <si>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</si>
  <si>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</si>
  <si>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</si>
  <si>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</si>
  <si>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</si>
  <si>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</si>
  <si>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</si>
  <si>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</si>
  <si>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</si>
  <si>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</si>
  <si>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</si>
  <si>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</si>
  <si>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</si>
  <si>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</si>
  <si>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</si>
  <si>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</si>
  <si>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</si>
  <si>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</si>
  <si>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</si>
  <si>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</si>
  <si>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</si>
  <si>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</si>
  <si>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</si>
  <si>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</si>
  <si>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</si>
  <si>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</si>
  <si>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</si>
  <si>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</si>
  <si>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</si>
  <si>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</si>
  <si>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</si>
  <si>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</si>
  <si>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</si>
  <si>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</si>
  <si>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</si>
  <si>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</si>
  <si>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</si>
  <si>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</si>
  <si>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</si>
  <si>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</si>
  <si>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</si>
  <si>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</si>
  <si>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</si>
  <si>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</si>
  <si>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</si>
  <si>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</si>
  <si>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</si>
  <si>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</si>
  <si>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</si>
  <si>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</si>
  <si>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</si>
  <si>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</si>
  <si>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</si>
  <si>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</si>
  <si>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</si>
  <si>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</si>
  <si>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</si>
  <si>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</si>
  <si>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</si>
  <si>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</si>
  <si>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</si>
  <si>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</si>
  <si>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</si>
  <si>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</si>
  <si>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</si>
  <si>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</si>
  <si>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</si>
  <si>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</si>
  <si>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</si>
  <si>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</si>
  <si>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</si>
  <si>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</si>
  <si>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</si>
  <si>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</si>
  <si>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</si>
  <si>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</si>
  <si>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</si>
  <si>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</si>
  <si>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</si>
  <si>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</si>
  <si>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</si>
  <si>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</si>
  <si>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</si>
  <si>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</si>
  <si>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</si>
  <si>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</si>
  <si>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</si>
  <si>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</si>
  <si>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</si>
  <si>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</si>
  <si>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</si>
  <si>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</si>
  <si>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</si>
  <si>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</si>
  <si>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</si>
  <si>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</si>
  <si>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</si>
  <si>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</si>
  <si>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</si>
  <si>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</si>
  <si>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</si>
  <si>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</si>
  <si>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</si>
  <si>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</si>
  <si>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</si>
  <si>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</si>
  <si>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</si>
  <si>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</si>
  <si>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</si>
  <si>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</si>
  <si>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</si>
  <si>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</si>
  <si>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</si>
  <si>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</si>
  <si>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</si>
  <si>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</si>
  <si>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</si>
  <si>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</si>
  <si>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</si>
  <si>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</si>
  <si>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</si>
  <si>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</si>
  <si>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</si>
  <si>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</si>
  <si>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</si>
  <si>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</si>
  <si>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</si>
  <si>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</si>
  <si>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</si>
  <si>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</si>
  <si>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</si>
  <si>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</si>
  <si>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</si>
  <si>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</si>
  <si>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</si>
  <si>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</si>
  <si>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</si>
  <si>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</si>
  <si>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</si>
  <si>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</si>
  <si>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</si>
  <si>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</si>
  <si>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</si>
  <si>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</si>
  <si>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</si>
  <si>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</si>
  <si>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</si>
  <si>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</si>
  <si>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</si>
  <si>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</si>
  <si>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</si>
  <si>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</si>
  <si>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</si>
  <si>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</si>
  <si>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</si>
  <si>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</si>
  <si>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</si>
  <si>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</si>
  <si>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</si>
  <si>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</si>
  <si>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</si>
  <si>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</si>
  <si>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</si>
  <si>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</si>
  <si>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</si>
  <si>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</si>
  <si>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</si>
  <si>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</si>
  <si>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</si>
  <si>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</si>
  <si>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</si>
  <si>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</si>
  <si>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</si>
  <si>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</si>
  <si>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</si>
  <si>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</si>
  <si>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</si>
  <si>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</si>
  <si>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</si>
  <si>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</si>
  <si>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</si>
  <si>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</si>
  <si>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</si>
  <si>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</si>
  <si>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</si>
  <si>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</si>
  <si>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</si>
  <si>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</si>
  <si>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</si>
  <si>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</si>
  <si>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</si>
  <si>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</si>
  <si>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</si>
  <si>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</si>
  <si>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</si>
  <si>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</si>
  <si>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</si>
  <si>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</si>
  <si>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</si>
  <si>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</si>
  <si>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</si>
  <si>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</si>
  <si>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</si>
  <si>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</si>
  <si>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</si>
  <si>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ALMOG BAND</t>
  </si>
  <si>
    <t>YUVAL TZUCKERMAN</t>
  </si>
  <si>
    <t>NOA KONFINO</t>
  </si>
  <si>
    <t>RAZ PERI</t>
  </si>
  <si>
    <t>MOSHE HALIVA</t>
  </si>
  <si>
    <t>NIR DOBY WAIDMAN</t>
  </si>
  <si>
    <t>ORIOL GARCIA</t>
  </si>
  <si>
    <t>04:47</t>
  </si>
  <si>
    <t>03:59</t>
  </si>
  <si>
    <t>03:33</t>
  </si>
  <si>
    <t>02:18</t>
  </si>
  <si>
    <t>00:58</t>
  </si>
  <si>
    <t>02:19</t>
  </si>
  <si>
    <t>08:34</t>
  </si>
  <si>
    <t>Please review the procedures pre and post game, you need to send DSS/PTS after every game. The scouting was generally good, but the corrections were not properly done and we had to conect online to them before second half. The instructions were clear enough to understand the editions to be made. We also need more communication during the game, let us know when refs are reviewing on IRS/CC and the decisions made. Sometimes on TV is not clear what is happening on the court. Take a look on these aspects and i'm sure the games will go better.</t>
  </si>
  <si>
    <t>C:\Users\oriol.garcia\OneDrive - EUROLEAGUE\Documents\Season 25-26\Reports\Euroleague\Hapoel Tel Aviv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</si>
</sst>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N31" sqref="N31"/>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20</v>
      </c>
      <c r="D1" s="124" t="s">
        <v>749</v>
      </c>
      <c r="E1" s="125">
        <v>2025</v>
      </c>
      <c r="F1" s="120" t="str">
        <f>TEXT(C1,"00") &amp; "_" &amp; TEXT(C2,"000")&amp; "_" &amp; H4 &amp; "_" &amp; H5 &amp; "_" &amp; B2</f>
        <v>20_195_HTA_DUB_E2025</v>
      </c>
      <c r="G1" s="5"/>
      <c r="H1" s="5"/>
      <c r="I1" s="5"/>
      <c r="J1" s="8" t="s">
        <v>707</v>
      </c>
      <c r="K1" s="121" t="s">
        <v>742</v>
      </c>
      <c r="L1" s="121"/>
      <c r="M1" s="122" t="s">
        <v>239</v>
      </c>
      <c r="N1" s="121" t="s">
        <v>765</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195</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46028.833333333336</v>
      </c>
      <c r="C3" s="157"/>
      <c r="D3" s="39">
        <v>559</v>
      </c>
      <c r="E3" s="29"/>
      <c r="F3" s="26">
        <f>SUBTOTAL(3,I17:I106)</f>
        <v>7</v>
      </c>
      <c r="G3" s="27">
        <f>IF(OR(D3="",D3=0),"",F3/D3)</f>
        <v>1.2522361359570662E-2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Hapoel IBI Tel Aviv</v>
      </c>
      <c r="E4" s="161"/>
      <c r="F4" s="161"/>
      <c r="G4" s="162"/>
      <c r="H4" s="118" t="str">
        <f>IF(ISERROR(VLOOKUP($B$2&amp;TEXT($C$2,"000"),GAMES!$A$3:$I$562,6,FALSE)),"LOC",VLOOKUP($B$2&amp;TEXT($C$2,"000"),GAMES!$A$3:$I$562,6,FALSE))</f>
        <v>HTA</v>
      </c>
      <c r="I4" s="5"/>
      <c r="J4" s="119" t="s">
        <v>714</v>
      </c>
      <c r="K4" s="54" t="s">
        <v>743</v>
      </c>
      <c r="L4" s="5"/>
      <c r="M4" s="167" t="s">
        <v>764</v>
      </c>
      <c r="N4" s="168"/>
      <c r="O4" s="2"/>
      <c r="P4" s="2"/>
      <c r="Q4" s="84" t="s">
        <v>175</v>
      </c>
      <c r="R4" s="94">
        <f>(IF(G3="",0,G3))</f>
        <v>1.2522361359570662E-2</v>
      </c>
      <c r="S4" s="61">
        <f>SUM(I13:M13)</f>
        <v>4</v>
      </c>
      <c r="T4" s="78"/>
      <c r="U4" s="61">
        <f>AC18</f>
        <v>3</v>
      </c>
      <c r="V4" s="61">
        <f>+AC22</f>
        <v>0</v>
      </c>
      <c r="W4" s="61">
        <f>AC24</f>
        <v>0</v>
      </c>
      <c r="X4" s="61">
        <f>AC29</f>
        <v>0</v>
      </c>
      <c r="Y4" s="61">
        <f>AC25</f>
        <v>2</v>
      </c>
      <c r="Z4" s="84">
        <f>AC23</f>
        <v>2</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Dubai Basketball</v>
      </c>
      <c r="E5" s="174"/>
      <c r="F5" s="174"/>
      <c r="G5" s="175"/>
      <c r="H5" s="118" t="str">
        <f>IF(ISERROR(VLOOKUP($B$2&amp;TEXT($C$2,"000"),GAMES!$A$3:$I$562,7,FALSE)),"VIS",VLOOKUP($B$2&amp;TEXT($C$2,"000"),GAMES!$A$3:$I$562,7,FALSE))</f>
        <v>DUB</v>
      </c>
      <c r="I5" s="5"/>
      <c r="J5" s="5"/>
      <c r="K5" s="5"/>
      <c r="L5" s="5"/>
      <c r="M5" s="169"/>
      <c r="N5" s="170"/>
      <c r="O5" s="2"/>
      <c r="P5" s="2"/>
      <c r="Q5" s="89" t="s">
        <v>174</v>
      </c>
      <c r="R5" s="94">
        <f>R4*R3</f>
        <v>1.2522361359570662</v>
      </c>
      <c r="S5" s="70">
        <f t="shared" ref="S5" si="0">S4*S3</f>
        <v>4</v>
      </c>
      <c r="T5" s="92"/>
      <c r="U5" s="70">
        <f t="shared" ref="U5:AG5" si="1">U4*U3</f>
        <v>1.5</v>
      </c>
      <c r="V5" s="70">
        <f t="shared" si="1"/>
        <v>0</v>
      </c>
      <c r="W5" s="70">
        <f t="shared" si="1"/>
        <v>0</v>
      </c>
      <c r="X5" s="70">
        <f t="shared" si="1"/>
        <v>0</v>
      </c>
      <c r="Y5" s="70">
        <f t="shared" si="1"/>
        <v>4</v>
      </c>
      <c r="Z5" s="89">
        <f t="shared" si="1"/>
        <v>5</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750</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751</v>
      </c>
      <c r="E7" s="179"/>
      <c r="F7" s="179"/>
      <c r="G7" s="180"/>
      <c r="H7" s="129" t="s">
        <v>709</v>
      </c>
      <c r="I7" s="129" t="s">
        <v>710</v>
      </c>
      <c r="J7" s="129" t="s">
        <v>711</v>
      </c>
      <c r="K7" s="129" t="s">
        <v>712</v>
      </c>
      <c r="L7" s="129" t="s">
        <v>713</v>
      </c>
      <c r="M7" s="58">
        <f>Q7</f>
        <v>15.752236135957066</v>
      </c>
      <c r="N7" s="58"/>
      <c r="O7" s="2"/>
      <c r="P7" s="2"/>
      <c r="Q7" s="86">
        <f>SUM(R5,S5,AC16)</f>
        <v>15.752236135957066</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752</v>
      </c>
      <c r="E8" s="182"/>
      <c r="F8" s="182"/>
      <c r="G8" s="183"/>
      <c r="H8" s="129" t="s">
        <v>747</v>
      </c>
      <c r="I8" s="129" t="s">
        <v>747</v>
      </c>
      <c r="J8" s="129" t="s">
        <v>748</v>
      </c>
      <c r="K8" s="129" t="s">
        <v>744</v>
      </c>
      <c r="L8" s="129" t="s">
        <v>745</v>
      </c>
      <c r="M8" s="129" t="s">
        <v>108</v>
      </c>
      <c r="N8" s="2"/>
      <c r="O8" s="2"/>
      <c r="P8" s="2"/>
      <c r="Q8" s="85">
        <f>SUM(R5:BA5)</f>
        <v>15.752236135957066</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753</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754</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755</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195</v>
      </c>
      <c r="H12" s="40" t="str">
        <f>$I$10</f>
        <v>LOGISTICS</v>
      </c>
      <c r="I12" s="14" t="s">
        <v>17</v>
      </c>
      <c r="J12" s="15" t="s">
        <v>14</v>
      </c>
      <c r="K12" s="15" t="s">
        <v>71</v>
      </c>
      <c r="L12" s="15" t="s">
        <v>16</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2</v>
      </c>
      <c r="L13" s="5">
        <f>IF(ISERROR(VLOOKUP(L12,AV17:AW19,2,FALSE)),0,VLOOKUP(L12,AV17:AW19,2,FALSE))</f>
        <v>2</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756</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7</v>
      </c>
      <c r="J15" s="24">
        <f>SUBTOTAL(3,J17:J106)</f>
        <v>7</v>
      </c>
      <c r="K15" s="24">
        <f>SUBTOTAL(3,K17:K106)</f>
        <v>7</v>
      </c>
      <c r="L15" s="24">
        <f>SUBTOTAL(3,L17:L106)</f>
        <v>7</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0</v>
      </c>
      <c r="X16" s="67" t="s">
        <v>58</v>
      </c>
      <c r="Y16" s="75">
        <f>SUM(Y17:Y24)</f>
        <v>7</v>
      </c>
      <c r="Z16" s="90" t="s">
        <v>110</v>
      </c>
      <c r="AA16" s="75">
        <f>SUM(AA17:AA24)</f>
        <v>7</v>
      </c>
      <c r="AB16" s="76" t="s">
        <v>54</v>
      </c>
      <c r="AC16" s="75">
        <f>SUM(AC17*AD17,AC18*AD18,AC19*AD19,AC20*AD20,AC21*AD21,AC22*AD22,AC23*AD23,AC24*AD24,AC25*AD25,AC26*AD26,AC27*AD27,AC28*AD28,AC29*AD29,AC30*AD30,AC30*AD30,AC31*AD31,AC32*AD32,AC33*AD33,AC34*AD34,AC35*AD35,AC36*AD36)</f>
        <v>10.5</v>
      </c>
      <c r="AD16" s="75">
        <f>SUM(AD17:AD24)</f>
        <v>45</v>
      </c>
      <c r="AE16" s="76" t="s">
        <v>42</v>
      </c>
      <c r="AF16" s="75">
        <f>SUM(AF17:AF24)</f>
        <v>4</v>
      </c>
      <c r="AG16" s="75">
        <f>SUM(AG17:AG21)</f>
        <v>7</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1</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195</v>
      </c>
      <c r="D17" s="32" t="s">
        <v>757</v>
      </c>
      <c r="E17" s="33">
        <v>1</v>
      </c>
      <c r="F17" s="36">
        <v>7</v>
      </c>
      <c r="G17" s="36">
        <v>11</v>
      </c>
      <c r="H17" s="38" t="str">
        <f>IF(I17="","",$I$14)</f>
        <v>SCOUTING</v>
      </c>
      <c r="I17" s="34">
        <v>69</v>
      </c>
      <c r="J17" s="13" t="s">
        <v>4</v>
      </c>
      <c r="K17" s="13" t="s">
        <v>62</v>
      </c>
      <c r="L17" s="13" t="s">
        <v>48</v>
      </c>
      <c r="M17" s="13" t="s">
        <v>168</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7</v>
      </c>
      <c r="Z17" s="105" t="s">
        <v>63</v>
      </c>
      <c r="AA17" s="62">
        <f>COUNTIF($K$17:$K$106,Z17)</f>
        <v>4</v>
      </c>
      <c r="AB17" s="66" t="s">
        <v>19</v>
      </c>
      <c r="AC17" s="61">
        <f t="shared" ref="AC17:AC29" si="5">COUNTIF($L$17:$L$106,AB17)</f>
        <v>0</v>
      </c>
      <c r="AD17" s="61">
        <f t="shared" ref="AD17:AD25" si="6">P17</f>
        <v>10</v>
      </c>
      <c r="AE17" s="66" t="s">
        <v>11</v>
      </c>
      <c r="AF17" s="65">
        <f t="shared" ref="AF17:AF48" si="7">COUNTIF($M$17:$M$106,AE17)</f>
        <v>2</v>
      </c>
      <c r="AG17" s="62">
        <f>COUNTIF($E$17:$E$106,$AK17)</f>
        <v>2</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195</v>
      </c>
      <c r="D18" s="32" t="s">
        <v>758</v>
      </c>
      <c r="E18" s="33">
        <v>2</v>
      </c>
      <c r="F18" s="36">
        <v>32</v>
      </c>
      <c r="G18" s="36">
        <v>37</v>
      </c>
      <c r="H18" s="38" t="str">
        <f t="shared" ref="H18:H81" si="8">IF(I18="","",$I$14)</f>
        <v>SCOUTING</v>
      </c>
      <c r="I18" s="34">
        <v>223</v>
      </c>
      <c r="J18" s="13" t="s">
        <v>4</v>
      </c>
      <c r="K18" s="13" t="s">
        <v>62</v>
      </c>
      <c r="L18" s="13" t="s">
        <v>7</v>
      </c>
      <c r="M18" s="13" t="s">
        <v>12</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2</v>
      </c>
      <c r="AB18" s="66" t="s">
        <v>5</v>
      </c>
      <c r="AC18" s="61">
        <f t="shared" si="5"/>
        <v>3</v>
      </c>
      <c r="AD18" s="61">
        <f t="shared" si="6"/>
        <v>0.5</v>
      </c>
      <c r="AE18" s="66" t="s">
        <v>12</v>
      </c>
      <c r="AF18" s="65">
        <f t="shared" si="7"/>
        <v>1</v>
      </c>
      <c r="AG18" s="62">
        <f>COUNTIF($E$17:$E$106,$AK18)</f>
        <v>2</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195</v>
      </c>
      <c r="D19" s="32" t="s">
        <v>759</v>
      </c>
      <c r="E19" s="33">
        <v>2</v>
      </c>
      <c r="F19" s="36">
        <v>32</v>
      </c>
      <c r="G19" s="36">
        <v>37</v>
      </c>
      <c r="H19" s="38" t="str">
        <f t="shared" si="8"/>
        <v>SCOUTING</v>
      </c>
      <c r="I19" s="34">
        <v>225</v>
      </c>
      <c r="J19" s="13" t="s">
        <v>4</v>
      </c>
      <c r="K19" s="13" t="s">
        <v>63</v>
      </c>
      <c r="L19" s="13" t="s">
        <v>5</v>
      </c>
      <c r="M19" s="13" t="s">
        <v>9</v>
      </c>
      <c r="N19" s="35"/>
      <c r="O19" s="5" t="s">
        <v>76</v>
      </c>
      <c r="P19" s="5">
        <v>15</v>
      </c>
      <c r="Q19" s="84">
        <f t="shared" si="4"/>
        <v>0</v>
      </c>
      <c r="R19" s="5" t="s">
        <v>172</v>
      </c>
      <c r="U19" s="66" t="s">
        <v>8</v>
      </c>
      <c r="V19" s="65">
        <f t="shared" si="9"/>
        <v>0</v>
      </c>
      <c r="W19" s="75"/>
      <c r="X19" s="82"/>
      <c r="Y19" s="83"/>
      <c r="Z19" s="105" t="s">
        <v>61</v>
      </c>
      <c r="AA19" s="62">
        <f>COUNTIF($K$17:$K$106,Z19)</f>
        <v>1</v>
      </c>
      <c r="AB19" s="66" t="s">
        <v>76</v>
      </c>
      <c r="AC19" s="61">
        <f t="shared" si="5"/>
        <v>0</v>
      </c>
      <c r="AD19" s="61">
        <f t="shared" si="6"/>
        <v>15</v>
      </c>
      <c r="AE19" s="66" t="s">
        <v>19</v>
      </c>
      <c r="AF19" s="65">
        <f t="shared" si="7"/>
        <v>0</v>
      </c>
      <c r="AG19" s="62">
        <f>COUNTIF($E$17:$E$106,$AK19)</f>
        <v>2</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195</v>
      </c>
      <c r="D20" s="32" t="s">
        <v>760</v>
      </c>
      <c r="E20" s="33">
        <v>3</v>
      </c>
      <c r="F20" s="36">
        <v>63</v>
      </c>
      <c r="G20" s="36">
        <v>50</v>
      </c>
      <c r="H20" s="38" t="str">
        <f t="shared" si="8"/>
        <v>SCOUTING</v>
      </c>
      <c r="I20" s="34">
        <v>387</v>
      </c>
      <c r="J20" s="13" t="s">
        <v>4</v>
      </c>
      <c r="K20" s="13" t="s">
        <v>61</v>
      </c>
      <c r="L20" s="13" t="s">
        <v>48</v>
      </c>
      <c r="M20" s="13" t="s">
        <v>9</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1</v>
      </c>
      <c r="AG20" s="62">
        <f>COUNTIF($E$17:$E$106,$AK20)</f>
        <v>1</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1</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195</v>
      </c>
      <c r="D21" s="32" t="s">
        <v>761</v>
      </c>
      <c r="E21" s="33">
        <v>3</v>
      </c>
      <c r="F21" s="36">
        <v>65</v>
      </c>
      <c r="G21" s="36">
        <v>52</v>
      </c>
      <c r="H21" s="38" t="str">
        <f t="shared" si="8"/>
        <v>SCOUTING</v>
      </c>
      <c r="I21" s="34">
        <v>404</v>
      </c>
      <c r="J21" s="13" t="s">
        <v>4</v>
      </c>
      <c r="K21" s="13" t="s">
        <v>63</v>
      </c>
      <c r="L21" s="13" t="s">
        <v>5</v>
      </c>
      <c r="M21" s="13" t="s">
        <v>11</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E2025</v>
      </c>
      <c r="C22" s="31">
        <f t="shared" si="3"/>
        <v>195</v>
      </c>
      <c r="D22" s="32" t="s">
        <v>762</v>
      </c>
      <c r="E22" s="33">
        <v>4</v>
      </c>
      <c r="F22" s="36">
        <v>83</v>
      </c>
      <c r="G22" s="36">
        <v>58</v>
      </c>
      <c r="H22" s="38" t="str">
        <f t="shared" si="8"/>
        <v>SCOUTING</v>
      </c>
      <c r="I22" s="34">
        <v>536</v>
      </c>
      <c r="J22" s="13" t="s">
        <v>4</v>
      </c>
      <c r="K22" s="13" t="s">
        <v>63</v>
      </c>
      <c r="L22" s="13" t="s">
        <v>5</v>
      </c>
      <c r="M22" s="13" t="s">
        <v>11</v>
      </c>
      <c r="N22" s="35"/>
      <c r="O22" s="5" t="s">
        <v>6</v>
      </c>
      <c r="P22" s="5">
        <v>1</v>
      </c>
      <c r="Q22" s="84">
        <f t="shared" si="4"/>
        <v>0</v>
      </c>
      <c r="R22" s="5"/>
      <c r="U22" s="66" t="s">
        <v>32</v>
      </c>
      <c r="V22" s="65">
        <f t="shared" si="9"/>
        <v>0</v>
      </c>
      <c r="X22" s="82"/>
      <c r="Y22" s="83"/>
      <c r="Z22" s="105"/>
      <c r="AA22" s="65"/>
      <c r="AB22" s="66" t="s">
        <v>6</v>
      </c>
      <c r="AC22" s="61">
        <f t="shared" si="5"/>
        <v>0</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E2025</v>
      </c>
      <c r="C23" s="31">
        <f t="shared" si="3"/>
        <v>195</v>
      </c>
      <c r="D23" s="32" t="s">
        <v>763</v>
      </c>
      <c r="E23" s="33">
        <v>1</v>
      </c>
      <c r="F23" s="36">
        <v>5</v>
      </c>
      <c r="G23" s="36">
        <v>1</v>
      </c>
      <c r="H23" s="38" t="str">
        <f t="shared" si="8"/>
        <v>SCOUTING</v>
      </c>
      <c r="I23" s="34">
        <v>17</v>
      </c>
      <c r="J23" s="13" t="s">
        <v>4</v>
      </c>
      <c r="K23" s="13" t="s">
        <v>63</v>
      </c>
      <c r="L23" s="13" t="s">
        <v>7</v>
      </c>
      <c r="M23" s="13" t="s">
        <v>37</v>
      </c>
      <c r="N23" s="35"/>
      <c r="O23" s="5" t="s">
        <v>7</v>
      </c>
      <c r="P23" s="5">
        <v>2.5</v>
      </c>
      <c r="Q23" s="84">
        <f t="shared" si="4"/>
        <v>0</v>
      </c>
      <c r="R23" s="5"/>
      <c r="U23" s="66" t="s">
        <v>33</v>
      </c>
      <c r="V23" s="65">
        <f t="shared" si="9"/>
        <v>0</v>
      </c>
      <c r="X23" s="82"/>
      <c r="Y23" s="83"/>
      <c r="Z23" s="105"/>
      <c r="AA23" s="65"/>
      <c r="AB23" s="66" t="s">
        <v>7</v>
      </c>
      <c r="AC23" s="61">
        <f t="shared" si="5"/>
        <v>2</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2</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0</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1</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2</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REPORT_E2025195</v>
      </c>
    </row>
    <row r="2" spans="2:6" x14ac:dyDescent="0.25">
      <c r="F2" s="45" t="s">
        <v>157</v>
      </c>
    </row>
    <row r="3" spans="2:6" x14ac:dyDescent="0.25">
      <c r="B3" s="43" t="s">
        <v>156</v>
      </c>
      <c r="C3" s="43" t="str">
        <f>""""&amp;'SCOUT &amp; LOGISTICS'!B2&amp;TEXT('SCOUT &amp; LOGISTICS'!C2,"000")&amp;""""</f>
        <v>"E2025195"</v>
      </c>
      <c r="F3" s="45" t="str">
        <f t="shared" ref="F3:F16" si="0">""""&amp;B3&amp;"""" &amp; " : " &amp;C3&amp;","</f>
        <v>"name" : "E2025195",</v>
      </c>
    </row>
    <row r="4" spans="2:6" x14ac:dyDescent="0.25">
      <c r="B4" s="43" t="s">
        <v>119</v>
      </c>
      <c r="C4" s="43" t="str">
        <f>""""&amp;LEFT('SCOUT &amp; LOGISTICS'!B2,1) &amp; TEXT('SCOUT &amp; LOGISTICS'!C2,"000")&amp;""""</f>
        <v>"E195"</v>
      </c>
      <c r="F4" s="45" t="str">
        <f t="shared" si="0"/>
        <v>"cod" : "E195",</v>
      </c>
    </row>
    <row r="5" spans="2:6" x14ac:dyDescent="0.25">
      <c r="B5" s="43" t="s">
        <v>117</v>
      </c>
      <c r="C5" s="43" t="str">
        <f>""""&amp;LEFT('SCOUT &amp; LOGISTICS'!B2,1)&amp;""""</f>
        <v>"E"</v>
      </c>
      <c r="F5" s="45" t="str">
        <f t="shared" si="0"/>
        <v>"competition" : "E",</v>
      </c>
    </row>
    <row r="6" spans="2:6" x14ac:dyDescent="0.25">
      <c r="B6" s="43" t="s">
        <v>118</v>
      </c>
      <c r="C6" s="43" t="str">
        <f>TEXT('SCOUT &amp; LOGISTICS'!C2,"000")</f>
        <v>195</v>
      </c>
      <c r="F6" s="45" t="str">
        <f t="shared" si="0"/>
        <v>"number" : 195,</v>
      </c>
    </row>
    <row r="7" spans="2:6" x14ac:dyDescent="0.25">
      <c r="B7" s="43" t="s">
        <v>116</v>
      </c>
      <c r="C7" s="43" t="str">
        <f ca="1">""""&amp;TEXT('SCOUT &amp; LOGISTICS'!B3,"dd/mm/aaaa")&amp;""""</f>
        <v>"06/01/Tuesday"</v>
      </c>
      <c r="F7" s="45" t="str">
        <f t="shared" ca="1" si="0"/>
        <v>"date" : "06/01/Tuesday",</v>
      </c>
    </row>
    <row r="8" spans="2:6" x14ac:dyDescent="0.25">
      <c r="B8" s="43" t="s">
        <v>125</v>
      </c>
      <c r="C8" s="43" t="str">
        <f>""""&amp;'SCOUT &amp; LOGISTICS'!D4 &amp;""""</f>
        <v>"Hapoel IBI Tel Aviv"</v>
      </c>
      <c r="F8" s="45" t="str">
        <f t="shared" si="0"/>
        <v>"home_team" : "Hapoel IBI Tel Aviv",</v>
      </c>
    </row>
    <row r="9" spans="2:6" x14ac:dyDescent="0.25">
      <c r="B9" s="43" t="s">
        <v>126</v>
      </c>
      <c r="C9" s="43" t="str">
        <f>""""&amp;'SCOUT &amp; LOGISTICS'!D5&amp;""""</f>
        <v>"Dubai Basketball"</v>
      </c>
      <c r="F9" s="45" t="str">
        <f t="shared" si="0"/>
        <v>"away_team" : "Dubai Basketball",</v>
      </c>
    </row>
    <row r="10" spans="2:6" x14ac:dyDescent="0.25">
      <c r="B10" s="43" t="s">
        <v>127</v>
      </c>
      <c r="C10" s="43" t="str">
        <f>""""&amp;IF('SCOUT &amp; LOGISTICS'!D6="","",'SCOUT &amp; LOGISTICS'!D6)&amp;""""</f>
        <v>"ALMOG BAND"</v>
      </c>
      <c r="F10" s="45" t="str">
        <f t="shared" si="0"/>
        <v>"Data_entry" : "ALMOG BAND",</v>
      </c>
    </row>
    <row r="11" spans="2:6" x14ac:dyDescent="0.25">
      <c r="B11" s="43" t="s">
        <v>128</v>
      </c>
      <c r="C11" s="43" t="str">
        <f>""""&amp;IF('SCOUT &amp; LOGISTICS'!D7="","",'SCOUT &amp; LOGISTICS'!D7)&amp;""""</f>
        <v>"YUVAL TZUCKERMAN"</v>
      </c>
      <c r="F11" s="45" t="str">
        <f t="shared" si="0"/>
        <v>"Caller_1" : "YUVAL TZUCKERMAN",</v>
      </c>
    </row>
    <row r="12" spans="2:6" x14ac:dyDescent="0.25">
      <c r="B12" s="43" t="s">
        <v>129</v>
      </c>
      <c r="C12" s="43" t="str">
        <f>""""&amp;IF('SCOUT &amp; LOGISTICS'!D8="","",'SCOUT &amp; LOGISTICS'!D8)&amp;""""</f>
        <v>"NOA KONFINO"</v>
      </c>
      <c r="F12" s="45" t="str">
        <f t="shared" si="0"/>
        <v>"Caller_2" : "NOA KONFINO",</v>
      </c>
    </row>
    <row r="13" spans="2:6" x14ac:dyDescent="0.25">
      <c r="B13" s="43" t="s">
        <v>98</v>
      </c>
      <c r="C13" s="43" t="str">
        <f>""""&amp;IF('SCOUT &amp; LOGISTICS'!D9="","",'SCOUT &amp; LOGISTICS'!D9)&amp;""""</f>
        <v>"RAZ PERI"</v>
      </c>
      <c r="F13" s="45" t="str">
        <f t="shared" si="0"/>
        <v>"Timerkeeper" : "RAZ PERI",</v>
      </c>
    </row>
    <row r="14" spans="2:6" x14ac:dyDescent="0.25">
      <c r="B14" s="43" t="s">
        <v>99</v>
      </c>
      <c r="C14" s="43" t="str">
        <f>""""&amp;IF('SCOUT &amp; LOGISTICS'!D10="","",'SCOUT &amp; LOGISTICS'!D10)&amp;""""</f>
        <v>"MOSHE HALIVA"</v>
      </c>
      <c r="F14" s="45" t="str">
        <f t="shared" si="0"/>
        <v>"Shotclock" : "MOSHE HALIVA",</v>
      </c>
    </row>
    <row r="15" spans="2:6" x14ac:dyDescent="0.25">
      <c r="B15" s="43" t="s">
        <v>108</v>
      </c>
      <c r="C15" s="43" t="str">
        <f>""""&amp;IF('SCOUT &amp; LOGISTICS'!D11="","",'SCOUT &amp; LOGISTICS'!D11)&amp;""""</f>
        <v>"NIR DOBY WAIDMAN"</v>
      </c>
      <c r="F15" s="45" t="str">
        <f t="shared" si="0"/>
        <v>"IRS" : "NIR DOBY WAIDMAN",</v>
      </c>
    </row>
    <row r="16" spans="2:6" x14ac:dyDescent="0.25">
      <c r="B16" s="43" t="s">
        <v>130</v>
      </c>
      <c r="C16" s="43" t="str">
        <f>""""&amp;IF('SCOUT &amp; LOGISTICS'!D14=0,"",'SCOUT &amp; LOGISTICS'!D14)&amp;""""</f>
        <v>"ORIOL GARCIA"</v>
      </c>
      <c r="F16" s="45" t="str">
        <f t="shared" si="0"/>
        <v>"Live_Game_Manager" : "ORIOL GARCIA",</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"NOT FLUID"</v>
      </c>
      <c r="F20" s="45" t="str">
        <f>""""&amp;C20&amp;"""" &amp; " : " &amp;D20&amp;","</f>
        <v>"communication" : "NOT FLUID",</v>
      </c>
    </row>
    <row r="21" spans="2:6" x14ac:dyDescent="0.25">
      <c r="C21" s="43" t="s">
        <v>123</v>
      </c>
      <c r="D21" s="43" t="str">
        <f>""""&amp;IF('SCOUT &amp; LOGISTICS'!L12="","",'SCOUT &amp; LOGISTICS'!L12)&amp;""""</f>
        <v>"SLOW"</v>
      </c>
      <c r="F21" s="45" t="str">
        <f>""""&amp;C21&amp;"""" &amp; " : " &amp;D21&amp;","</f>
        <v>"corrections" : "SLOW",</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559</v>
      </c>
      <c r="F25" s="45" t="str">
        <f t="shared" ref="F25:F48" si="1">""""&amp;C25&amp;"""" &amp; " : " &amp;D25&amp;","</f>
        <v>"total_actions" : 559,</v>
      </c>
    </row>
    <row r="26" spans="2:6" x14ac:dyDescent="0.25">
      <c r="C26" s="43" t="s">
        <v>132</v>
      </c>
      <c r="D26" s="43">
        <f>'SCOUT &amp; LOGISTICS'!F3</f>
        <v>7</v>
      </c>
      <c r="F26" s="45" t="str">
        <f t="shared" si="1"/>
        <v>"total_correcions" : 7,</v>
      </c>
    </row>
    <row r="27" spans="2:6" x14ac:dyDescent="0.25">
      <c r="C27" s="43" t="s">
        <v>133</v>
      </c>
      <c r="D27" s="43" t="str">
        <f>""""&amp;IF(OR(D25="",D25=0),"",TEXT(D26/D25,"0,0%"))&amp;""""</f>
        <v>"01%"</v>
      </c>
      <c r="F27" s="45" t="str">
        <f t="shared" si="1"/>
        <v>"%_corrections" : "01%",</v>
      </c>
    </row>
    <row r="28" spans="2:6" x14ac:dyDescent="0.25">
      <c r="C28" s="43" t="s">
        <v>125</v>
      </c>
      <c r="D28" s="43">
        <f>IF('SCOUT &amp; LOGISTICS'!AA17="","",'SCOUT &amp; LOGISTICS'!AA17)</f>
        <v>4</v>
      </c>
      <c r="F28" s="45" t="str">
        <f t="shared" si="1"/>
        <v>"home_team" : 4,</v>
      </c>
    </row>
    <row r="29" spans="2:6" x14ac:dyDescent="0.25">
      <c r="C29" s="43" t="s">
        <v>134</v>
      </c>
      <c r="D29" s="43">
        <f>IF('SCOUT &amp; LOGISTICS'!AA18="","",'SCOUT &amp; LOGISTICS'!AA18)</f>
        <v>2</v>
      </c>
      <c r="F29" s="45" t="str">
        <f t="shared" si="1"/>
        <v>"no_team" : 2,</v>
      </c>
    </row>
    <row r="30" spans="2:6" x14ac:dyDescent="0.25">
      <c r="C30" s="43" t="s">
        <v>126</v>
      </c>
      <c r="D30" s="43">
        <f>IF('SCOUT &amp; LOGISTICS'!AA19="","",'SCOUT &amp; LOGISTICS'!AA19)</f>
        <v>1</v>
      </c>
      <c r="F30" s="45" t="str">
        <f t="shared" si="1"/>
        <v>"away_team" : 1,</v>
      </c>
    </row>
    <row r="31" spans="2:6" x14ac:dyDescent="0.25">
      <c r="C31" s="43" t="s">
        <v>135</v>
      </c>
      <c r="D31" s="43">
        <f>'SCOUT &amp; LOGISTICS'!AG17</f>
        <v>2</v>
      </c>
      <c r="F31" s="45" t="str">
        <f t="shared" si="1"/>
        <v>"q1" : 2,</v>
      </c>
    </row>
    <row r="32" spans="2:6" x14ac:dyDescent="0.25">
      <c r="C32" s="43" t="s">
        <v>136</v>
      </c>
      <c r="D32" s="43">
        <f>'SCOUT &amp; LOGISTICS'!AG18</f>
        <v>2</v>
      </c>
      <c r="F32" s="45" t="str">
        <f t="shared" si="1"/>
        <v>"q2" : 2,</v>
      </c>
    </row>
    <row r="33" spans="3:6" x14ac:dyDescent="0.25">
      <c r="C33" s="43" t="s">
        <v>137</v>
      </c>
      <c r="D33" s="43">
        <f>'SCOUT &amp; LOGISTICS'!AG19</f>
        <v>2</v>
      </c>
      <c r="F33" s="45" t="str">
        <f t="shared" si="1"/>
        <v>"q3" : 2,</v>
      </c>
    </row>
    <row r="34" spans="3:6" x14ac:dyDescent="0.25">
      <c r="C34" s="43" t="s">
        <v>138</v>
      </c>
      <c r="D34" s="43">
        <f>'SCOUT &amp; LOGISTICS'!AG20</f>
        <v>1</v>
      </c>
      <c r="F34" s="45" t="str">
        <f t="shared" si="1"/>
        <v>"q4" : 1,</v>
      </c>
    </row>
    <row r="35" spans="3:6" x14ac:dyDescent="0.25">
      <c r="C35" s="43" t="s">
        <v>59</v>
      </c>
      <c r="D35" s="43">
        <f>'SCOUT &amp; LOGISTICS'!AG21</f>
        <v>0</v>
      </c>
      <c r="F35" s="45" t="str">
        <f t="shared" si="1"/>
        <v>"et" : 0,</v>
      </c>
    </row>
    <row r="36" spans="3:6" x14ac:dyDescent="0.25">
      <c r="C36" s="43" t="s">
        <v>139</v>
      </c>
      <c r="D36" s="43">
        <f>'SCOUT &amp; LOGISTICS'!Y18</f>
        <v>0</v>
      </c>
      <c r="F36" s="45" t="str">
        <f t="shared" si="1"/>
        <v>"boxscore_corrections" : 0,</v>
      </c>
    </row>
    <row r="37" spans="3:6" x14ac:dyDescent="0.25">
      <c r="C37" s="43" t="s">
        <v>140</v>
      </c>
      <c r="D37" s="43">
        <f>'SCOUT &amp; LOGISTICS'!Y16</f>
        <v>7</v>
      </c>
      <c r="F37" s="45" t="str">
        <f t="shared" si="1"/>
        <v>"scoresheet_corrections" : 7,</v>
      </c>
    </row>
    <row r="38" spans="3:6" x14ac:dyDescent="0.25">
      <c r="C38" s="43" t="s">
        <v>141</v>
      </c>
      <c r="D38" s="43">
        <f>'SCOUT &amp; LOGISTICS'!AC17</f>
        <v>0</v>
      </c>
      <c r="F38" s="45" t="str">
        <f t="shared" si="1"/>
        <v>"criteria" : 0,</v>
      </c>
    </row>
    <row r="39" spans="3:6" x14ac:dyDescent="0.25">
      <c r="C39" s="43" t="s">
        <v>142</v>
      </c>
      <c r="D39" s="43">
        <f>'SCOUT &amp; LOGISTICS'!AC18</f>
        <v>3</v>
      </c>
      <c r="F39" s="45" t="str">
        <f t="shared" si="1"/>
        <v>"missidentity" : 3,</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2</v>
      </c>
      <c r="F46" s="45" t="str">
        <f t="shared" si="1"/>
        <v>"part_of_a_sequence" : 2,</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"Please review the procedures pre and post game, you need to send DSS/PTS after every game. The scouting was generally good, but the corrections were not properly done and we had to conect online to them before second half. The instructions were clear enough to understand the editions to be made. We also need more communication during the game, let us know when refs are reviewing on IRS/CC and the decisions made. Sometimes on TV is not clear what is happening on the court. Take a look on these aspects and i'm sure the games will go better."</v>
      </c>
      <c r="F51" s="45" t="str">
        <f>""""&amp;B51&amp;"""" &amp; " : " &amp;C51&amp;","</f>
        <v>"comments" : "Please review the procedures pre and post game, you need to send DSS/PTS after every game. The scouting was generally good, but the corrections were not properly done and we had to conect online to them before second half. The instructions were clear enough to understand the editions to be made. We also need more communication during the game, let us know when refs are reviewing on IRS/CC and the decisions made. Sometimes on TV is not clear what is happening on the court. Take a look on these aspects and i'm sure the games will go better.",</v>
      </c>
    </row>
    <row r="52" spans="2:6" x14ac:dyDescent="0.25">
      <c r="B52" s="43" t="s">
        <v>153</v>
      </c>
      <c r="C52" s="43" t="str">
        <f>TEXT('SCOUT &amp; LOGISTICS'!F1,"0,0")</f>
        <v>20_195_HTA_DUB_E2025</v>
      </c>
      <c r="F52" s="45" t="str">
        <f>""""&amp;B52&amp;"""" &amp; " : " &amp;C52</f>
        <v>"result" : 20_195_HTA_DUB_E2025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E195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06/01</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Hapoel Ibi Tel Aviv</v>
      </c>
      <c r="C6" s="212"/>
      <c r="D6" s="212"/>
      <c r="E6" s="212"/>
      <c r="F6" s="212"/>
      <c r="G6" s="212"/>
      <c r="H6" s="212"/>
      <c r="I6" s="212"/>
      <c r="J6" s="212"/>
      <c r="K6" s="212"/>
      <c r="L6" s="212"/>
      <c r="M6" s="212"/>
      <c r="N6" s="212"/>
      <c r="O6" s="212"/>
      <c r="P6" s="212"/>
      <c r="Q6" s="212" t="str">
        <f>PROPER('SCOUT &amp; LOGISTICS'!D5)</f>
        <v>Dubai Basketball</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ALMOG BAND</v>
      </c>
      <c r="C8" s="206"/>
      <c r="D8" s="206"/>
      <c r="E8" s="206"/>
      <c r="F8" s="206"/>
      <c r="G8" s="206" t="str">
        <f>IF('SCOUT &amp; LOGISTICS'!D7="","",'SCOUT &amp; LOGISTICS'!D7)</f>
        <v>YUVAL TZUCKERMAN</v>
      </c>
      <c r="H8" s="206"/>
      <c r="I8" s="206"/>
      <c r="J8" s="206"/>
      <c r="K8" s="206"/>
      <c r="L8" s="206" t="str">
        <f>IF('SCOUT &amp; LOGISTICS'!D8="","",'SCOUT &amp; LOGISTICS'!D8)</f>
        <v>NOA KONFINO</v>
      </c>
      <c r="M8" s="206"/>
      <c r="N8" s="206"/>
      <c r="O8" s="206"/>
      <c r="P8" s="206"/>
      <c r="Q8" s="206" t="str">
        <f>IF('SCOUT &amp; LOGISTICS'!D9="","",'SCOUT &amp; LOGISTICS'!D9)</f>
        <v>RAZ PERI</v>
      </c>
      <c r="R8" s="206"/>
      <c r="S8" s="206"/>
      <c r="T8" s="206"/>
      <c r="U8" s="206"/>
      <c r="V8" s="206" t="str">
        <f>IF('SCOUT &amp; LOGISTICS'!D10="","",'SCOUT &amp; LOGISTICS'!D10)</f>
        <v>MOSHE HALIVA</v>
      </c>
      <c r="W8" s="206"/>
      <c r="X8" s="206"/>
      <c r="Y8" s="206"/>
      <c r="Z8" s="206"/>
      <c r="AA8" s="206" t="str">
        <f>IF('SCOUT &amp; LOGISTICS'!D11="","",'SCOUT &amp; LOGISTICS'!D11)</f>
        <v>NIR DOBY WAIDMAN</v>
      </c>
      <c r="AB8" s="206"/>
      <c r="AC8" s="206"/>
      <c r="AD8" s="206"/>
      <c r="AE8" s="206"/>
      <c r="AF8" s="48"/>
    </row>
    <row r="9" spans="1:33" ht="13" thickBot="1" x14ac:dyDescent="0.3">
      <c r="A9" s="48"/>
      <c r="B9" s="200" t="str">
        <f>IF(OR('SCOUT &amp; LOGISTICS'!D14="",'SCOUT &amp; LOGISTICS'!D14=0),"",'SCOUT &amp; LOGISTICS'!B14 &amp; ": " &amp; 'SCOUT &amp; LOGISTICS'!D14) &amp; "     "</f>
        <v xml:space="preserve">L G M: : ORIOL GARCIA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NOT FLUID</v>
      </c>
      <c r="O13" s="207"/>
      <c r="P13" s="207"/>
      <c r="Q13" s="207"/>
      <c r="R13" s="207"/>
      <c r="S13" s="207"/>
      <c r="T13" s="207" t="str">
        <f>IF('SCOUT &amp; LOGISTICS'!L12="","",'SCOUT &amp; LOGISTICS'!L12)</f>
        <v>SLOW</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559</v>
      </c>
      <c r="C17" s="204"/>
      <c r="D17" s="204"/>
      <c r="E17" s="204"/>
      <c r="F17" s="204"/>
      <c r="G17" s="204"/>
      <c r="H17" s="204"/>
      <c r="I17" s="204"/>
      <c r="J17" s="204"/>
      <c r="K17" s="204"/>
      <c r="L17" s="204">
        <f>'SCOUT &amp; LOGISTICS'!F3</f>
        <v>7</v>
      </c>
      <c r="M17" s="204"/>
      <c r="N17" s="204"/>
      <c r="O17" s="204"/>
      <c r="P17" s="204"/>
      <c r="Q17" s="204"/>
      <c r="R17" s="204"/>
      <c r="S17" s="204"/>
      <c r="T17" s="204"/>
      <c r="U17" s="204"/>
      <c r="V17" s="205">
        <f>IF(OR(B17="",B17=0),"",L17/B17)</f>
        <v>1.2522361359570662E-2</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4</v>
      </c>
      <c r="C20" s="197"/>
      <c r="D20" s="197"/>
      <c r="E20" s="197"/>
      <c r="F20" s="197"/>
      <c r="G20" s="197"/>
      <c r="H20" s="197"/>
      <c r="I20" s="197"/>
      <c r="J20" s="197"/>
      <c r="K20" s="197"/>
      <c r="L20" s="197">
        <f>IF('SCOUT &amp; LOGISTICS'!AA18="","",'SCOUT &amp; LOGISTICS'!AA18)</f>
        <v>2</v>
      </c>
      <c r="M20" s="197"/>
      <c r="N20" s="197"/>
      <c r="O20" s="197"/>
      <c r="P20" s="197"/>
      <c r="Q20" s="197"/>
      <c r="R20" s="197"/>
      <c r="S20" s="197"/>
      <c r="T20" s="197"/>
      <c r="U20" s="197"/>
      <c r="V20" s="197">
        <f>IF('SCOUT &amp; LOGISTICS'!AA19="","",'SCOUT &amp; LOGISTICS'!AA19)</f>
        <v>1</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2</v>
      </c>
      <c r="C22" s="197"/>
      <c r="D22" s="197"/>
      <c r="E22" s="197"/>
      <c r="F22" s="197"/>
      <c r="G22" s="197"/>
      <c r="H22" s="197">
        <f>'SCOUT &amp; LOGISTICS'!AG18</f>
        <v>2</v>
      </c>
      <c r="I22" s="197"/>
      <c r="J22" s="197"/>
      <c r="K22" s="197"/>
      <c r="L22" s="197"/>
      <c r="M22" s="197"/>
      <c r="N22" s="197">
        <f>'SCOUT &amp; LOGISTICS'!AG19</f>
        <v>2</v>
      </c>
      <c r="O22" s="197"/>
      <c r="P22" s="197"/>
      <c r="Q22" s="197"/>
      <c r="R22" s="197"/>
      <c r="S22" s="197"/>
      <c r="T22" s="197">
        <f>'SCOUT &amp; LOGISTICS'!AG20</f>
        <v>1</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7</v>
      </c>
      <c r="C25" s="197"/>
      <c r="D25" s="197"/>
      <c r="E25" s="197"/>
      <c r="F25" s="197"/>
      <c r="G25" s="197"/>
      <c r="H25" s="197"/>
      <c r="I25" s="197"/>
      <c r="J25" s="197"/>
      <c r="K25" s="197"/>
      <c r="L25" s="197"/>
      <c r="M25" s="197"/>
      <c r="N25" s="197"/>
      <c r="O25" s="197"/>
      <c r="P25" s="197"/>
      <c r="Q25" s="197">
        <f>'SCOUT &amp; LOGISTICS'!Y18</f>
        <v>0</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3</v>
      </c>
      <c r="C27" s="197"/>
      <c r="D27" s="197"/>
      <c r="E27" s="197"/>
      <c r="F27" s="197"/>
      <c r="G27" s="197">
        <f>'SCOUT &amp; LOGISTICS'!AC22</f>
        <v>0</v>
      </c>
      <c r="H27" s="197"/>
      <c r="I27" s="197"/>
      <c r="J27" s="197"/>
      <c r="K27" s="197"/>
      <c r="L27" s="197">
        <f>'SCOUT &amp; LOGISTICS'!AC23</f>
        <v>2</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2</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Please review the procedures pre and post game, you need to send DSS/PTS after every game. The scouting was generally good, but the corrections were not properly done and we had to conect online to them before second half. The instructions were clear enough to understand the editions to be made. We also need more communication during the game, let us know when refs are reviewing on IRS/CC and the decisions made. Sometimes on TV is not clear what is happening on the court. Take a look on these aspects and i'm sure the games will go better.</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15.752236135957066</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8E90A9502D2DBE448A9AAF14207EB784" ma:contentTypeVersion="13" ma:contentTypeDescription="Crear nuevo documento." ma:contentTypeScope="" ma:versionID="852fe9ee1a3e76b961a3a564b5cab3cd">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954069cb0d0ad98d6bfaa71528164d31"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as de imagen"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 ds:uri="54eaeb27-407e-4594-8513-05236ac1c663"/>
    <ds:schemaRef ds:uri="1694b618-8e81-416b-aa01-0d9b54a17456"/>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624FE5E9-90EF-449F-ACDE-B4A0A6E862A1}"/>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Oriol Garcia</cp:lastModifiedBy>
  <cp:lastPrinted>2025-10-09T17:11:09Z</cp:lastPrinted>
  <dcterms:created xsi:type="dcterms:W3CDTF">2023-09-19T19:50:35Z</dcterms:created>
  <dcterms:modified xsi:type="dcterms:W3CDTF">2026-01-07T16:28:50Z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y fmtid="{D5CDD505-2E9C-101B-9397-08002B2CF9AE}" pid="3" name="MediaServiceImageTags">
    <vt:lpwstr/>
  </property>
</Properties>
</file>