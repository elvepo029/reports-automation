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E21BB4DA-C063-4A76-8930-2A354AA73807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<sst xmlns="http://schemas.openxmlformats.org/spreadsheetml/2006/main" count="3338" uniqueCount="833">
  <si>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</si>
  <si>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</si>
  <si>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</si>
  <si>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</si>
  <si>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</si>
  <si>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</si>
  <si>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</si>
  <si>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</si>
  <si>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</si>
  <si>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</si>
  <si>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</si>
  <si>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</si>
  <si>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</si>
  <si>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</si>
  <si>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</si>
  <si>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</si>
  <si>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</si>
  <si>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</si>
  <si>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</si>
  <si>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</si>
  <si>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</si>
  <si>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</si>
  <si>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</si>
  <si>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</si>
  <si>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</si>
  <si>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</si>
  <si>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</si>
  <si>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</si>
  <si>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</si>
  <si>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</si>
  <si>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</si>
  <si>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</si>
  <si>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</si>
  <si>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</si>
  <si>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</si>
  <si>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</si>
  <si>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</si>
  <si>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</si>
  <si>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</si>
  <si>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</si>
  <si>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</si>
  <si>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</si>
  <si>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</si>
  <si>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</si>
  <si>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</si>
  <si>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</si>
  <si>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</si>
  <si>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</si>
  <si>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</si>
  <si>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</si>
  <si>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</si>
  <si>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</si>
  <si>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</si>
  <si>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</si>
  <si>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</si>
  <si>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</si>
  <si>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</si>
  <si>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</si>
  <si>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</si>
  <si>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</si>
  <si>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</si>
  <si>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</si>
  <si>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</si>
  <si>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</si>
  <si>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</si>
  <si>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</si>
  <si>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</si>
  <si>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</si>
  <si>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</si>
  <si>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</si>
  <si>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</si>
  <si>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</si>
  <si>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</si>
  <si>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</si>
  <si>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</si>
  <si>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</si>
  <si>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</si>
  <si>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</si>
  <si>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</si>
  <si>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</si>
  <si>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</si>
  <si>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</si>
  <si>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</si>
  <si>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</si>
  <si>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</si>
  <si>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</si>
  <si>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</si>
  <si>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</si>
  <si>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</si>
  <si>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</si>
  <si>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</si>
  <si>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</si>
  <si>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</si>
  <si>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</si>
  <si>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</si>
  <si>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</si>
  <si>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</si>
  <si>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</si>
  <si>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</si>
  <si>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</si>
  <si>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</si>
  <si>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</si>
  <si>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</si>
  <si>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</si>
  <si>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</si>
  <si>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</si>
  <si>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</si>
  <si>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</si>
  <si>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</si>
  <si>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</si>
  <si>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</si>
  <si>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</si>
  <si>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</si>
  <si>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</si>
  <si>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</si>
  <si>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</si>
  <si>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</si>
  <si>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</si>
  <si>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</si>
  <si>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</si>
  <si>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</si>
  <si>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</si>
  <si>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</si>
  <si>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</si>
  <si>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</si>
  <si>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</si>
  <si>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</si>
  <si>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</si>
  <si>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</si>
  <si>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</si>
  <si>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</si>
  <si>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</si>
  <si>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</si>
  <si>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</si>
  <si>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</si>
  <si>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</si>
  <si>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</si>
  <si>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</si>
  <si>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</si>
  <si>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</si>
  <si>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</si>
  <si>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</si>
  <si>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</si>
  <si>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</si>
  <si>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</si>
  <si>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</si>
  <si>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</si>
  <si>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</si>
  <si>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</si>
  <si>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</si>
  <si>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</si>
  <si>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</si>
  <si>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</si>
  <si>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</si>
  <si>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</si>
  <si>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</si>
  <si>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</si>
  <si>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</si>
  <si>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</si>
  <si>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</si>
  <si>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</si>
  <si>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</si>
  <si>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</si>
  <si>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</si>
  <si>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</si>
  <si>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</si>
  <si>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</si>
  <si>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</si>
  <si>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</si>
  <si>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</si>
  <si>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</si>
  <si>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</si>
  <si>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</si>
  <si>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</si>
  <si>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</si>
  <si>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</si>
  <si>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</si>
  <si>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</si>
  <si>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</si>
  <si>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</si>
  <si>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</si>
  <si>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</si>
  <si>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</si>
  <si>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</si>
  <si>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</si>
  <si>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</si>
  <si>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</si>
  <si>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</si>
  <si>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</si>
  <si>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</si>
  <si>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</si>
  <si>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</si>
  <si>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</si>
  <si>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</si>
  <si>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</si>
  <si>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</si>
  <si>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</si>
  <si>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</si>
  <si>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</si>
  <si>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</si>
  <si>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</si>
  <si>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</si>
  <si>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</si>
  <si>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</si>
  <si>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</si>
  <si>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</si>
  <si>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</si>
  <si>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</si>
  <si>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</si>
  <si>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</si>
  <si>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</si>
  <si>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</si>
  <si>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</si>
  <si>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</si>
  <si>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</si>
  <si>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</si>
  <si>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</si>
  <si>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</si>
  <si>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</si>
  <si>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</si>
  <si>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</si>
  <si>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</si>
  <si>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</si>
  <si>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</si>
  <si>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</si>
  <si>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</si>
  <si>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</si>
  <si>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</si>
  <si>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</si>
  <si>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</si>
  <si>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</si>
  <si>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</si>
  <si>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</si>
  <si>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</si>
  <si>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</si>
  <si>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</si>
  <si>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</si>
  <si>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</si>
  <si>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</si>
  <si>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</si>
  <si>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</si>
  <si>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</si>
  <si>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</si>
  <si>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</si>
  <si>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</si>
  <si>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</si>
  <si>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</si>
  <si>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</si>
  <si>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</si>
  <si>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</si>
  <si>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</si>
  <si>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</si>
  <si>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</si>
  <si>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</si>
  <si>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</si>
  <si>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</si>
  <si>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</si>
  <si>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</si>
  <si>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</si>
  <si>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</si>
  <si>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</si>
  <si>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</si>
  <si>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</si>
  <si>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</si>
  <si>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</si>
  <si>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</si>
  <si>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</si>
  <si>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</si>
  <si>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</si>
  <si>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</si>
  <si>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</si>
  <si>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</si>
  <si>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</si>
  <si>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</si>
  <si>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</si>
  <si>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</si>
  <si>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</si>
  <si>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</si>
  <si>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</si>
  <si>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</si>
  <si>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</si>
  <si>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</si>
  <si>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</si>
  <si>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</si>
  <si>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</si>
  <si>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</si>
  <si>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</si>
  <si>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</si>
  <si>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</si>
  <si>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</si>
  <si>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</si>
  <si>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</si>
  <si>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</si>
  <si>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</si>
  <si>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</si>
  <si>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</si>
  <si>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</si>
  <si>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</si>
  <si>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</si>
  <si>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</si>
  <si>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</si>
  <si>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</si>
  <si>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</si>
  <si>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</si>
  <si>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</si>
  <si>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</si>
  <si>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</si>
  <si>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</si>
  <si>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</si>
  <si>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</si>
  <si>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</si>
  <si>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</si>
  <si>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</si>
  <si>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</si>
  <si>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</si>
  <si>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</si>
  <si>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</si>
  <si>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</si>
  <si>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</si>
  <si>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</si>
  <si>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</si>
  <si>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</si>
  <si>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</si>
  <si>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</si>
  <si>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</si>
  <si>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</si>
  <si>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</si>
  <si>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</si>
  <si>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</si>
  <si>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</si>
  <si>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</si>
  <si>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</si>
  <si>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</si>
  <si>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</si>
  <si>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</si>
  <si>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</si>
  <si>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</si>
  <si>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</si>
  <si>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</si>
  <si>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</si>
  <si>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</si>
  <si>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</si>
  <si>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</si>
  <si>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</si>
  <si>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</si>
  <si>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</si>
  <si>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</si>
  <si>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</si>
  <si>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</si>
  <si>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</si>
  <si>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</si>
  <si>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</si>
  <si>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</si>
  <si>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</si>
  <si>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</si>
  <si>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</si>
  <si>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</si>
  <si>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</si>
  <si>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</si>
  <si>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</si>
  <si>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</si>
  <si>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</si>
  <si>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</si>
  <si>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</si>
  <si>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</si>
  <si>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</si>
  <si>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</si>
  <si>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</si>
  <si>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</si>
  <si>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</si>
  <si>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</si>
  <si>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</si>
  <si>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</si>
  <si>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</si>
  <si>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</si>
  <si>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</si>
  <si>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</si>
  <si>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</si>
  <si>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</si>
  <si>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</si>
  <si>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</si>
  <si>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</si>
  <si>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</si>
  <si>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</si>
  <si>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</si>
  <si>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</si>
  <si>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</si>
  <si>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</si>
  <si>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</si>
  <si>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</si>
  <si>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</si>
  <si>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</si>
  <si>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</si>
  <si>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</si>
  <si>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</si>
  <si>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</si>
  <si>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</si>
  <si>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</si>
  <si>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</si>
  <si>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</si>
  <si>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</si>
  <si>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</si>
  <si>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</si>
  <si>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</si>
  <si>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</si>
  <si>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</si>
  <si>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</si>
  <si>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</si>
  <si>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</si>
  <si>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</si>
  <si>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</si>
  <si>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</si>
  <si>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</si>
  <si>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</si>
  <si>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</si>
  <si>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</si>
  <si>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</si>
  <si>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</si>
  <si>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</si>
  <si>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</si>
  <si>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</si>
  <si>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</si>
  <si>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</si>
  <si>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</si>
  <si>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</si>
  <si>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</si>
  <si>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</si>
  <si>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</si>
  <si>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</si>
  <si>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</si>
  <si>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</si>
  <si>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</si>
  <si>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</si>
  <si>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</si>
  <si>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</si>
  <si>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</si>
  <si>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</si>
  <si>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</si>
  <si>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</si>
  <si>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</si>
  <si>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</si>
  <si>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</si>
  <si>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</si>
  <si>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</si>
  <si>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</si>
  <si>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</si>
  <si>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</si>
  <si>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</si>
  <si>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</si>
  <si>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</si>
  <si>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</si>
  <si>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</si>
  <si>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</si>
  <si>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</si>
  <si>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</si>
  <si>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</si>
  <si>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</si>
  <si>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</si>
  <si>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</si>
  <si>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</si>
  <si>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</si>
  <si>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</si>
  <si>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</si>
  <si>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</si>
  <si>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</si>
  <si>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</si>
  <si>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</si>
  <si>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</si>
  <si>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</si>
  <si>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</si>
  <si>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</si>
  <si>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</si>
  <si>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</si>
  <si>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</si>
  <si>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</si>
  <si>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</si>
  <si>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</si>
  <si>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</si>
  <si>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</si>
  <si>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</si>
  <si>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</si>
  <si>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</si>
  <si>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</si>
  <si>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</si>
  <si>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</si>
  <si>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</si>
  <si>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</si>
  <si>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</si>
  <si>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</si>
  <si>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</si>
  <si>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</si>
  <si>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</si>
  <si>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</si>
  <si>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</si>
  <si>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</si>
  <si>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</si>
  <si>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</si>
  <si>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</si>
  <si>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</si>
  <si>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</si>
  <si>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</si>
  <si>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</si>
  <si>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</si>
  <si>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</si>
  <si>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</si>
  <si>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</si>
  <si>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</si>
  <si>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</si>
  <si>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</si>
  <si>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</si>
  <si>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</si>
  <si>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</si>
  <si>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</si>
  <si>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</si>
  <si>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</si>
  <si>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</si>
  <si>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</si>
  <si>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</si>
  <si>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</si>
  <si>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</si>
  <si>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</si>
  <si>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</si>
  <si>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</si>
  <si>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</si>
  <si>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</si>
  <si>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</si>
  <si>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</si>
  <si>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</si>
  <si>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</si>
  <si>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</si>
  <si>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</si>
  <si>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</si>
  <si>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</si>
  <si>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</si>
  <si>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</si>
  <si>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</si>
  <si>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</si>
  <si>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</si>
  <si>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</si>
  <si>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</si>
  <si>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</si>
  <si>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</si>
  <si>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</si>
  <si>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</si>
  <si>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</si>
  <si>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</si>
  <si>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</si>
  <si>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</si>
  <si>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</si>
  <si>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</si>
  <si>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</si>
  <si>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</si>
  <si>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</si>
  <si>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</si>
  <si>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</si>
  <si>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</si>
  <si>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</si>
  <si>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</si>
  <si>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</si>
  <si>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</si>
  <si>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</si>
  <si>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</si>
  <si>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</si>
  <si>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</si>
  <si>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</si>
  <si>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</si>
  <si>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</si>
  <si>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</si>
  <si>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</si>
  <si>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</si>
  <si>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</si>
  <si>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</si>
  <si>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</si>
  <si>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</si>
  <si>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</si>
  <si>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</si>
  <si>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</si>
  <si>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</si>
  <si>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</si>
  <si>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</si>
  <si>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</si>
  <si>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</si>
  <si>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</si>
  <si>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</si>
  <si>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</si>
  <si>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</si>
  <si>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</si>
  <si>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</si>
  <si>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</si>
  <si>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</si>
  <si>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</si>
  <si>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</si>
  <si>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</si>
  <si>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</si>
  <si>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</si>
  <si>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</si>
  <si>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</si>
  <si>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</si>
  <si>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</si>
  <si>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</si>
  <si>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</si>
  <si>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</si>
  <si>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</si>
  <si>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</si>
  <si>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</si>
  <si>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</si>
  <si>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</si>
  <si>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</si>
  <si>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</si>
  <si>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</si>
  <si>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</si>
  <si>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</si>
  <si>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</si>
  <si>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</si>
  <si>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</si>
  <si>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</si>
  <si>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</si>
  <si>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</si>
  <si>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</si>
  <si>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</si>
  <si>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</si>
  <si>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</si>
  <si>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</si>
  <si>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</si>
  <si>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</si>
  <si>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</si>
  <si>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</si>
  <si>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</si>
  <si>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</si>
  <si>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</si>
  <si>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</si>
  <si>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</si>
  <si>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</si>
  <si>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</si>
  <si>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</si>
  <si>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</si>
  <si>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</si>
  <si>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</si>
  <si>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</si>
  <si>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</si>
  <si>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</si>
  <si>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</si>
  <si>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</si>
  <si>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</si>
  <si>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</si>
  <si>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</si>
  <si>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</si>
  <si>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</si>
  <si>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</si>
  <si>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</si>
  <si>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</si>
  <si>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</si>
  <si>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</si>
  <si>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</si>
  <si>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</si>
  <si>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</si>
  <si>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</si>
  <si>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</si>
  <si>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</si>
  <si>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</si>
  <si>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</si>
  <si>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</si>
  <si>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</si>
  <si>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</si>
  <si>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</si>
  <si>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</si>
  <si>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</si>
  <si>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</si>
  <si>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</si>
  <si>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</si>
  <si>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</si>
  <si>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</si>
  <si>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</si>
  <si>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</si>
  <si>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</si>
  <si>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</si>
  <si>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</si>
  <si>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</si>
  <si>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</si>
  <si>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</si>
  <si>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</si>
  <si>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</si>
  <si>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</si>
  <si>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</si>
  <si>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</si>
  <si>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</si>
  <si>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</si>
  <si>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</si>
  <si>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</si>
  <si>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</si>
  <si>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</si>
  <si>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</si>
  <si>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</si>
  <si>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</si>
  <si>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</si>
  <si>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</si>
  <si>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</si>
  <si>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</si>
  <si>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</si>
  <si>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</si>
  <si>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</si>
  <si>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</si>
  <si>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</si>
  <si>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</si>
  <si>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</si>
  <si>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</si>
  <si>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</si>
  <si>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</si>
  <si>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</si>
  <si>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</si>
  <si>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</si>
  <si>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</si>
  <si>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</si>
  <si>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</si>
  <si>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</si>
  <si>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</si>
  <si>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</si>
  <si>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</si>
  <si>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</si>
  <si>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</si>
  <si>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</si>
  <si>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</si>
  <si>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</si>
  <si>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</si>
  <si>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</si>
  <si>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</si>
  <si>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</si>
  <si>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</si>
  <si>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</si>
  <si>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</si>
  <si>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</si>
  <si>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</si>
  <si>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</si>
  <si>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</si>
  <si>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</si>
  <si>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</si>
  <si>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</si>
  <si>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</si>
  <si>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</si>
  <si>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</si>
  <si>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</si>
  <si>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</si>
  <si>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</si>
  <si>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</si>
  <si>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</si>
  <si>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</si>
  <si>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</si>
  <si>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</si>
  <si>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</si>
  <si>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</si>
  <si>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</si>
  <si>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</si>
  <si>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</si>
  <si>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</si>
  <si>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</si>
  <si>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</si>
  <si>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</si>
  <si>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</si>
  <si>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</si>
  <si>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</si>
  <si>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</si>
  <si>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</si>
  <si>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</si>
  <si>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</si>
  <si>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</si>
  <si>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</si>
  <si>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</si>
  <si>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</si>
  <si>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</si>
  <si>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</si>
  <si>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</si>
  <si>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</si>
  <si>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</si>
  <si>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</si>
  <si>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</si>
  <si>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</si>
  <si>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</si>
  <si>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</si>
  <si>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</si>
  <si>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</si>
  <si>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</si>
  <si>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</si>
  <si>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</si>
  <si>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</si>
  <si>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</si>
  <si>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</si>
  <si>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</si>
  <si>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</si>
  <si>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</si>
  <si>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</si>
  <si>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</si>
  <si>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</si>
  <si>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</si>
  <si>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</si>
  <si>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</si>
  <si>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</si>
  <si>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</si>
  <si>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</si>
  <si>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</si>
  <si>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</si>
  <si>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</si>
  <si>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</si>
  <si>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</si>
  <si>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</si>
  <si>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</si>
  <si>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</si>
  <si>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</si>
  <si>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</si>
  <si>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</si>
  <si>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</si>
  <si>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</si>
  <si>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</si>
  <si>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</si>
  <si>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</si>
  <si>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</si>
  <si>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</si>
  <si>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</si>
  <si>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</si>
  <si>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</si>
  <si>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</si>
  <si>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</si>
  <si>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</si>
  <si>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</si>
  <si>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</si>
  <si>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</si>
  <si>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MARIO ENJUANES</t>
  </si>
  <si>
    <t>E</t>
  </si>
  <si>
    <t>08:36</t>
  </si>
  <si>
    <t>STEPHANE DUREUX</t>
  </si>
  <si>
    <t>OLIVIER JAUFFRES</t>
  </si>
  <si>
    <t>ALAIN FERRANT</t>
  </si>
  <si>
    <t>YOHAN STROBEL</t>
  </si>
  <si>
    <t>The match had very few normal adjustments, which they themselves identified. Well done.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</si>
</sst>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8" sqref="M8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826</v>
      </c>
      <c r="E1" s="125">
        <v>2025</v>
      </c>
      <c r="F1" s="120" t="str">
        <f>TEXT(C1,"00") &amp; "_" &amp; TEXT(C2,"000")&amp; "_" &amp; H4 &amp; "_" &amp; H5 &amp; "_" &amp; B2</f>
        <v>20_196_ASV_MAD_E2025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196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46028.833333333336</v>
      </c>
      <c r="C3" s="178"/>
      <c r="D3" s="39">
        <v>543</v>
      </c>
      <c r="E3" s="29"/>
      <c r="F3" s="26">
        <f>SUBTOTAL(3,I17:I106)</f>
        <v>1</v>
      </c>
      <c r="G3" s="27">
        <f>IF(OR(D3="",D3=0),"",F3/D3)</f>
        <v>1.841620626151013E-3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832</v>
      </c>
      <c r="N4" s="186"/>
      <c r="O4" s="2"/>
      <c r="P4" s="2"/>
      <c r="Q4" s="84" t="s">
        <v>175</v>
      </c>
      <c r="R4" s="94">
        <f>(IF(G3="",0,G3))</f>
        <v>1.841620626151013E-3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Real Madrid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MAD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0.18416206261510129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828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804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1.1841620626151013</v>
      </c>
      <c r="N7" s="58"/>
      <c r="O7" s="2"/>
      <c r="P7" s="2"/>
      <c r="Q7" s="86">
        <f>SUM(R5,S5,AC16)</f>
        <v>1.1841620626151013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829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1.1841620626151013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807</v>
      </c>
      <c r="E9" s="159"/>
      <c r="F9" s="159"/>
      <c r="G9" s="160"/>
      <c r="H9" s="130" t="str">
        <f>VLOOKUP($H$4,Teams!$B$3:$O$44,3,FALSE)</f>
        <v>STEPHANE DURIEUX</v>
      </c>
      <c r="I9" s="130" t="str">
        <f>VLOOKUP($H$4,Teams!$B$3:$O$44,3,FALSE)</f>
        <v>STEPHANE DURIEUX</v>
      </c>
      <c r="J9" s="130" t="str">
        <f>VLOOKUP($H$4,Teams!$B$3:$O$44,5,FALSE)</f>
        <v>STEPHANE FITOUSSI</v>
      </c>
      <c r="K9" s="130" t="str">
        <f>VLOOKUP($H$4,Teams!$B$3:$O$44,6,FALSE)</f>
        <v>VIRGINIE USCLADE</v>
      </c>
      <c r="L9" s="130" t="str">
        <f>VLOOKUP($H$4,Teams!$B$3:$O$44,7,FALSE)</f>
        <v>CEDRIC LAURANCY</v>
      </c>
      <c r="M9" s="131" t="str">
        <f>VLOOKUP($H$4,Teams!$B$3:$O$44,8,FALSE)</f>
        <v>KADER SI-TAYEB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830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831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196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825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196</v>
      </c>
      <c r="D17" s="32" t="s">
        <v>827</v>
      </c>
      <c r="E17" s="33">
        <v>3</v>
      </c>
      <c r="F17" s="36">
        <v>43</v>
      </c>
      <c r="G17" s="36">
        <v>38</v>
      </c>
      <c r="H17" s="38" t="str">
        <f>IF(I17="","",$I$14)</f>
        <v>SCOUTING</v>
      </c>
      <c r="I17" s="34">
        <v>296</v>
      </c>
      <c r="J17" s="13" t="s">
        <v>4</v>
      </c>
      <c r="K17" s="13" t="s">
        <v>63</v>
      </c>
      <c r="L17" s="13" t="s">
        <v>6</v>
      </c>
      <c r="M17" s="13" t="s">
        <v>22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REPORT_E2025196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"E2025196"</v>
      </c>
      <c r="F3" s="45" t="str">
        <f t="shared" ref="F3:F16" si="0">""""&amp;B3&amp;"""" &amp; " : " &amp;C3&amp;","</f>
        <v>"name" : "E2025196",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"E196"</v>
      </c>
      <c r="F4" s="45" t="str">
        <f t="shared" si="0"/>
        <v>"cod" : "E196",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196</v>
      </c>
      <c r="F6" s="45" t="str">
        <f t="shared" si="0"/>
        <v>"number" : 196,</v>
      </c>
    </row>
    <row r="7" spans="2:6" x14ac:dyDescent="0.2">
      <c r="B7" s="43" t="s">
        <v>116</v>
      </c>
      <c r="C7" s="43" t="str">
        <f ca="1">""""&amp;TEXT('SCOUT &amp; LOGISTICS'!B3,"dd/mm/aaaa")&amp;""""</f>
        <v>"06/01/Tuesday"</v>
      </c>
      <c r="F7" s="45" t="str">
        <f t="shared" ca="1" si="0"/>
        <v>"date" : "06/01/Tuesday",</v>
      </c>
    </row>
    <row r="8" spans="2:6" x14ac:dyDescent="0.2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">
      <c r="B9" s="43" t="s">
        <v>126</v>
      </c>
      <c r="C9" s="43" t="str">
        <f>""""&amp;'SCOUT &amp; LOGISTICS'!D5&amp;""""</f>
        <v>"Real Madrid"</v>
      </c>
      <c r="F9" s="45" t="str">
        <f t="shared" si="0"/>
        <v>"away_team" : "Real Madrid",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"STEPHANE DUREUX"</v>
      </c>
      <c r="F10" s="45" t="str">
        <f t="shared" si="0"/>
        <v>"Data_entry" : "STEPHANE DUREUX",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"JEAN-MARC MORENTE"</v>
      </c>
      <c r="F11" s="45" t="str">
        <f t="shared" si="0"/>
        <v>"Caller_1" : "JEAN-MARC MORENTE",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"OLIVIER JAUFFRES"</v>
      </c>
      <c r="F12" s="45" t="str">
        <f t="shared" si="0"/>
        <v>"Caller_2" : "OLIVIER JAUFFRES",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"CEDRIC LAURANCY"</v>
      </c>
      <c r="F13" s="45" t="str">
        <f t="shared" si="0"/>
        <v>"Timerkeeper" : "CEDRIC LAURANCY",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"ALAIN FERRANT"</v>
      </c>
      <c r="F14" s="45" t="str">
        <f t="shared" si="0"/>
        <v>"Shotclock" : "ALAIN FERRANT",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"YOHAN STROBEL"</v>
      </c>
      <c r="F15" s="45" t="str">
        <f t="shared" si="0"/>
        <v>"IRS" : "YOHAN STROBEL",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543</v>
      </c>
      <c r="F25" s="45" t="str">
        <f t="shared" ref="F25:F48" si="1">""""&amp;C25&amp;"""" &amp; " : " &amp;D25&amp;","</f>
        <v>"total_actions" : 543,</v>
      </c>
    </row>
    <row r="26" spans="2:6" x14ac:dyDescent="0.2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"The match had very few normal adjustments, which they themselves identified. Well done."</v>
      </c>
      <c r="F51" s="45" t="str">
        <f>""""&amp;B51&amp;"""" &amp; " : " &amp;C51&amp;","</f>
        <v>"comments" : "The match had very few normal adjustments, which they themselves identified. Well done.",</v>
      </c>
    </row>
    <row r="52" spans="2:6" x14ac:dyDescent="0.2">
      <c r="B52" s="43" t="s">
        <v>153</v>
      </c>
      <c r="C52" s="43" t="str">
        <f>TEXT('SCOUT &amp; LOGISTICS'!F1,"0,0")</f>
        <v>20_196_ASV_MAD_E2025</v>
      </c>
      <c r="F52" s="45" t="str">
        <f>""""&amp;B52&amp;"""" &amp; " : " &amp;C52</f>
        <v>"result" : 20_196_ASV_MAD_E2025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E196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06/01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Real Madrid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STEPHANE DUREUX</v>
      </c>
      <c r="C8" s="201"/>
      <c r="D8" s="201"/>
      <c r="E8" s="201"/>
      <c r="F8" s="201"/>
      <c r="G8" s="201" t="str">
        <f>IF('SCOUT &amp; LOGISTICS'!D7="","",'SCOUT &amp; LOGISTICS'!D7)</f>
        <v>JEAN-MARC MORENTE</v>
      </c>
      <c r="H8" s="201"/>
      <c r="I8" s="201"/>
      <c r="J8" s="201"/>
      <c r="K8" s="201"/>
      <c r="L8" s="201" t="str">
        <f>IF('SCOUT &amp; LOGISTICS'!D8="","",'SCOUT &amp; LOGISTICS'!D8)</f>
        <v>OLIVIER JAUFFRES</v>
      </c>
      <c r="M8" s="201"/>
      <c r="N8" s="201"/>
      <c r="O8" s="201"/>
      <c r="P8" s="201"/>
      <c r="Q8" s="201" t="str">
        <f>IF('SCOUT &amp; LOGISTICS'!D9="","",'SCOUT &amp; LOGISTICS'!D9)</f>
        <v>CEDRIC LAURANCY</v>
      </c>
      <c r="R8" s="201"/>
      <c r="S8" s="201"/>
      <c r="T8" s="201"/>
      <c r="U8" s="201"/>
      <c r="V8" s="201" t="str">
        <f>IF('SCOUT &amp; LOGISTICS'!D10="","",'SCOUT &amp; LOGISTICS'!D10)</f>
        <v>ALAIN FERRANT</v>
      </c>
      <c r="W8" s="201"/>
      <c r="X8" s="201"/>
      <c r="Y8" s="201"/>
      <c r="Z8" s="201"/>
      <c r="AA8" s="201" t="str">
        <f>IF('SCOUT &amp; LOGISTICS'!D11="","",'SCOUT &amp; LOGISTICS'!D11)</f>
        <v>YOHAN STROBEL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543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1.841620626151013E-3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The match had very few normal adjustments, which they themselves identified. Well done.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1.1841620626151013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38415D6-2C5B-4933-ACFF-031AF8B2E7D0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2026-01-16T14:53:31Z</cp:lastPrinted>
  <dcterms:created xsi:type="dcterms:W3CDTF">2023-09-19T19:50:35Z</dcterms:created>
  <dcterms:modified xsi:type="dcterms:W3CDTF">2026-01-16T14:59:46Z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