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E21BB4DA-C063-4A76-8930-2A354AA73807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SCOUT &amp; LOGISTICS" sheetId="1" r:id="rId1"/>
    <sheet name="Teams" sheetId="5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<sst xmlns="http://schemas.openxmlformats.org/spreadsheetml/2006/main" count="3338" uniqueCount="833">
  <si>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</si>
  <si>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</si>
  <si>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</si>
  <si>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</si>
  <si>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</si>
  <si>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</si>
  <si>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</si>
  <si>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</si>
  <si>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</si>
  <si>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</si>
  <si>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</si>
  <si>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</si>
  <si>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</si>
  <si>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</si>
  <si>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</si>
  <si>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</si>
  <si>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</si>
  <si>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</si>
  <si>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</si>
  <si>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</si>
  <si>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</si>
  <si>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</si>
  <si>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</si>
  <si>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</si>
  <si>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</si>
  <si>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</si>
  <si>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</si>
  <si>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</si>
  <si>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</si>
  <si>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</si>
  <si>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</si>
  <si>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</si>
  <si>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</si>
  <si>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</si>
  <si>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</si>
  <si>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</si>
  <si>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</si>
  <si>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</si>
  <si>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</si>
  <si>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</si>
  <si>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</si>
  <si>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</si>
  <si>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</si>
  <si>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</si>
  <si>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</si>
  <si>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</si>
  <si>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</si>
  <si>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</si>
  <si>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</si>
  <si>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</si>
  <si>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</si>
  <si>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</si>
  <si>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</si>
  <si>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</si>
  <si>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</si>
  <si>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</si>
  <si>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</si>
  <si>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</si>
  <si>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</si>
  <si>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</si>
  <si>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</si>
  <si>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</si>
  <si>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</si>
  <si>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</si>
  <si>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</si>
  <si>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</si>
  <si>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</si>
  <si>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</si>
  <si>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</si>
  <si>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</si>
  <si>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</si>
  <si>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</si>
  <si>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</si>
  <si>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</si>
  <si>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</si>
  <si>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</si>
  <si>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</si>
  <si>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</si>
  <si>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</si>
  <si>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</si>
  <si>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</si>
  <si>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</si>
  <si>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</si>
  <si>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</si>
  <si>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</si>
  <si>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</si>
  <si>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</si>
  <si>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</si>
  <si>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</si>
  <si>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</si>
  <si>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</si>
  <si>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</si>
  <si>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</si>
  <si>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</si>
  <si>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</si>
  <si>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</si>
  <si>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</si>
  <si>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</si>
  <si>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</si>
  <si>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</si>
  <si>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</si>
  <si>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</si>
  <si>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</si>
  <si>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</si>
  <si>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</si>
  <si>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</si>
  <si>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</si>
  <si>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</si>
  <si>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</si>
  <si>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</si>
  <si>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</si>
  <si>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</si>
  <si>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</si>
  <si>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</si>
  <si>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</si>
  <si>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</si>
  <si>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</si>
  <si>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</si>
  <si>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</si>
  <si>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</si>
  <si>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</si>
  <si>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</si>
  <si>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</si>
  <si>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</si>
  <si>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</si>
  <si>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</si>
  <si>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</si>
  <si>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</si>
  <si>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</si>
  <si>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</si>
  <si>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</si>
  <si>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</si>
  <si>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</si>
  <si>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</si>
  <si>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</si>
  <si>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</si>
  <si>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</si>
  <si>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</si>
  <si>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</si>
  <si>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</si>
  <si>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</si>
  <si>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</si>
  <si>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</si>
  <si>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</si>
  <si>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</si>
  <si>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</si>
  <si>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</si>
  <si>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</si>
  <si>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</si>
  <si>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</si>
  <si>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</si>
  <si>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</si>
  <si>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</si>
  <si>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</si>
  <si>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</si>
  <si>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</si>
  <si>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</si>
  <si>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</si>
  <si>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</si>
  <si>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</si>
  <si>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</si>
  <si>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</si>
  <si>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</si>
  <si>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</si>
  <si>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</si>
  <si>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</si>
  <si>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</si>
  <si>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</si>
  <si>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</si>
  <si>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</si>
  <si>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</si>
  <si>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</si>
  <si>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</si>
  <si>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</si>
  <si>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</si>
  <si>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</si>
  <si>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</si>
  <si>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</si>
  <si>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</si>
  <si>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</si>
  <si>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</si>
  <si>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</si>
  <si>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</si>
  <si>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</si>
  <si>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</si>
  <si>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</si>
  <si>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</si>
  <si>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</si>
  <si>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</si>
  <si>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</si>
  <si>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</si>
  <si>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</si>
  <si>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</si>
  <si>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</si>
  <si>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</si>
  <si>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</si>
  <si>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</si>
  <si>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</si>
  <si>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</si>
  <si>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</si>
  <si>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</si>
  <si>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</si>
  <si>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</si>
  <si>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</si>
  <si>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</si>
  <si>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</si>
  <si>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</si>
  <si>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</si>
  <si>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</si>
  <si>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</si>
  <si>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</si>
  <si>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</si>
  <si>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</si>
  <si>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</si>
  <si>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</si>
  <si>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</si>
  <si>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</si>
  <si>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</si>
  <si>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</si>
  <si>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</si>
  <si>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</si>
  <si>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</si>
  <si>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</si>
  <si>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</si>
  <si>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</si>
  <si>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</si>
  <si>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</si>
  <si>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</si>
  <si>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</si>
  <si>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</si>
  <si>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</si>
  <si>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</si>
  <si>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</si>
  <si>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</si>
  <si>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</si>
  <si>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</si>
  <si>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</si>
  <si>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</si>
  <si>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</si>
  <si>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</si>
  <si>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</si>
  <si>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</si>
  <si>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</si>
  <si>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</si>
  <si>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</si>
  <si>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</si>
  <si>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</si>
  <si>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</si>
  <si>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</si>
  <si>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</si>
  <si>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</si>
  <si>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</si>
  <si>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</si>
  <si>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</si>
  <si>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</si>
  <si>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</si>
  <si>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</si>
  <si>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</si>
  <si>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</si>
  <si>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</si>
  <si>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</si>
  <si>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</si>
  <si>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</si>
  <si>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</si>
  <si>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</si>
  <si>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</si>
  <si>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</si>
  <si>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</si>
  <si>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</si>
  <si>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</si>
  <si>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</si>
  <si>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</si>
  <si>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</si>
  <si>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</si>
  <si>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</si>
  <si>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</si>
  <si>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</si>
  <si>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</si>
  <si>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</si>
  <si>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</si>
  <si>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</si>
  <si>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</si>
  <si>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</si>
  <si>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</si>
  <si>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</si>
  <si>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</si>
  <si>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</si>
  <si>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</si>
  <si>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</si>
  <si>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</si>
  <si>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</si>
  <si>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</si>
  <si>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</si>
  <si>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</si>
  <si>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</si>
  <si>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</si>
  <si>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</si>
  <si>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</si>
  <si>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</si>
  <si>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</si>
  <si>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</si>
  <si>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</si>
  <si>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</si>
  <si>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</si>
  <si>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</si>
  <si>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</si>
  <si>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</si>
  <si>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</si>
  <si>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</si>
  <si>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</si>
  <si>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</si>
  <si>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</si>
  <si>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</si>
  <si>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</si>
  <si>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</si>
  <si>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</si>
  <si>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</si>
  <si>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</si>
  <si>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</si>
  <si>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</si>
  <si>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</si>
  <si>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</si>
  <si>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</si>
  <si>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</si>
  <si>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</si>
  <si>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</si>
  <si>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</si>
  <si>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</si>
  <si>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</si>
  <si>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</si>
  <si>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</si>
  <si>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</si>
  <si>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</si>
  <si>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</si>
  <si>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</si>
  <si>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</si>
  <si>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</si>
  <si>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</si>
  <si>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</si>
  <si>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</si>
  <si>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</si>
  <si>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</si>
  <si>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</si>
  <si>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</si>
  <si>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</si>
  <si>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</si>
  <si>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</si>
  <si>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</si>
  <si>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</si>
  <si>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</si>
  <si>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</si>
  <si>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</si>
  <si>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</si>
  <si>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</si>
  <si>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</si>
  <si>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</si>
  <si>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</si>
  <si>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</si>
  <si>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</si>
  <si>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</si>
  <si>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</si>
  <si>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</si>
  <si>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</si>
  <si>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</si>
  <si>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</si>
  <si>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</si>
  <si>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</si>
  <si>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</si>
  <si>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</si>
  <si>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</si>
  <si>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</si>
  <si>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</si>
  <si>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</si>
  <si>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</si>
  <si>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</si>
  <si>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</si>
  <si>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</si>
  <si>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</si>
  <si>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</si>
  <si>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</si>
  <si>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</si>
  <si>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</si>
  <si>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</si>
  <si>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</si>
  <si>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</si>
  <si>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</si>
  <si>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</si>
  <si>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</si>
  <si>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</si>
  <si>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</si>
  <si>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</si>
  <si>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</si>
  <si>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</si>
  <si>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</si>
  <si>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</si>
  <si>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</si>
  <si>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</si>
  <si>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</si>
  <si>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</si>
  <si>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</si>
  <si>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</si>
  <si>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</si>
  <si>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</si>
  <si>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</si>
  <si>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</si>
  <si>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</si>
  <si>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</si>
  <si>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</si>
  <si>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</si>
  <si>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</si>
  <si>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</si>
  <si>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</si>
  <si>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</si>
  <si>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</si>
  <si>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</si>
  <si>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</si>
  <si>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</si>
  <si>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</si>
  <si>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</si>
  <si>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</si>
  <si>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</si>
  <si>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</si>
  <si>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</si>
  <si>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</si>
  <si>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</si>
  <si>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</si>
  <si>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</si>
  <si>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</si>
  <si>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</si>
  <si>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</si>
  <si>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</si>
  <si>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</si>
  <si>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</si>
  <si>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</si>
  <si>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</si>
  <si>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</si>
  <si>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</si>
  <si>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</si>
  <si>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</si>
  <si>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</si>
  <si>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</si>
  <si>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</si>
  <si>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</si>
  <si>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</si>
  <si>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</si>
  <si>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</si>
  <si>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</si>
  <si>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</si>
  <si>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</si>
  <si>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</si>
  <si>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</si>
  <si>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</si>
  <si>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</si>
  <si>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</si>
  <si>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</si>
  <si>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</si>
  <si>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</si>
  <si>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</si>
  <si>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</si>
  <si>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</si>
  <si>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</si>
  <si>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</si>
  <si>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</si>
  <si>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</si>
  <si>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</si>
  <si>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</si>
  <si>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</si>
  <si>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</si>
  <si>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</si>
  <si>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</si>
  <si>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</si>
  <si>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</si>
  <si>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</si>
  <si>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</si>
  <si>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</si>
  <si>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</si>
  <si>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</si>
  <si>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</si>
  <si>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</si>
  <si>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</si>
  <si>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</si>
  <si>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</si>
  <si>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</si>
  <si>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</si>
  <si>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</si>
  <si>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</si>
  <si>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</si>
  <si>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</si>
  <si>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</si>
  <si>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</si>
  <si>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</si>
  <si>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</si>
  <si>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</si>
  <si>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</si>
  <si>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</si>
  <si>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</si>
  <si>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</si>
  <si>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</si>
  <si>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</si>
  <si>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</si>
  <si>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</si>
  <si>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</si>
  <si>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</si>
  <si>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</si>
  <si>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</si>
  <si>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</si>
  <si>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</si>
  <si>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</si>
  <si>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</si>
  <si>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</si>
  <si>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</si>
  <si>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</si>
  <si>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</si>
  <si>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</si>
  <si>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</si>
  <si>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</si>
  <si>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</si>
  <si>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</si>
  <si>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</si>
  <si>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</si>
  <si>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</si>
  <si>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</si>
  <si>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</si>
  <si>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</si>
  <si>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</si>
  <si>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</si>
  <si>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</si>
  <si>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</si>
  <si>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</si>
  <si>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</si>
  <si>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</si>
  <si>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</si>
  <si>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</si>
  <si>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</si>
  <si>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</si>
  <si>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</si>
  <si>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</si>
  <si>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</si>
  <si>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</si>
  <si>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</si>
  <si>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</si>
  <si>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</si>
  <si>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</si>
  <si>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</si>
  <si>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</si>
  <si>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</si>
  <si>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</si>
  <si>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</si>
  <si>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</si>
  <si>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</si>
  <si>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</si>
  <si>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</si>
  <si>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</si>
  <si>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</si>
  <si>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</si>
  <si>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</si>
  <si>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</si>
  <si>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</si>
  <si>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</si>
  <si>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</si>
  <si>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</si>
  <si>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</si>
  <si>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</si>
  <si>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</si>
  <si>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</si>
  <si>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</si>
  <si>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</si>
  <si>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</si>
  <si>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</si>
  <si>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</si>
  <si>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</si>
  <si>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</si>
  <si>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</si>
  <si>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</si>
  <si>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</si>
  <si>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</si>
  <si>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</si>
  <si>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</si>
  <si>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</si>
  <si>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</si>
  <si>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</si>
  <si>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</si>
  <si>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</si>
  <si>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</si>
  <si>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</si>
  <si>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</si>
  <si>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</si>
  <si>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</si>
  <si>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</si>
  <si>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</si>
  <si>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</si>
  <si>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</si>
  <si>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</si>
  <si>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</si>
  <si>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</si>
  <si>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</si>
  <si>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</si>
  <si>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</si>
  <si>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</si>
  <si>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</si>
  <si>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</si>
  <si>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</si>
  <si>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</si>
  <si>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</si>
  <si>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</si>
  <si>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</si>
  <si>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</si>
  <si>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</si>
  <si>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</si>
  <si>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</si>
  <si>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</si>
  <si>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</si>
  <si>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</si>
  <si>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</si>
  <si>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</si>
  <si>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</si>
  <si>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</si>
  <si>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</si>
  <si>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</si>
  <si>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</si>
  <si>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</si>
  <si>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</si>
  <si>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</si>
  <si>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</si>
  <si>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</si>
  <si>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</si>
  <si>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</si>
  <si>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</si>
  <si>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</si>
  <si>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</si>
  <si>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</si>
  <si>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</si>
  <si>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</si>
  <si>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</si>
  <si>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</si>
  <si>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</si>
  <si>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</si>
  <si>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</si>
  <si>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</si>
  <si>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</si>
  <si>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</si>
  <si>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</si>
  <si>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</si>
  <si>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</si>
  <si>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</si>
  <si>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</si>
  <si>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</si>
  <si>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</si>
  <si>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</si>
  <si>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</si>
  <si>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</si>
  <si>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</si>
  <si>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</si>
  <si>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</si>
  <si>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</si>
  <si>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</si>
  <si>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</si>
  <si>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</si>
  <si>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</si>
  <si>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</si>
  <si>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</si>
  <si>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</si>
  <si>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</si>
  <si>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</si>
  <si>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</si>
  <si>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</si>
  <si>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</si>
  <si>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</si>
  <si>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</si>
  <si>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</si>
  <si>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</si>
  <si>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</si>
  <si>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</si>
  <si>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</si>
  <si>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</si>
  <si>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</si>
  <si>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</si>
  <si>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</si>
  <si>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</si>
  <si>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</si>
  <si>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</si>
  <si>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</si>
  <si>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</si>
  <si>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</si>
  <si>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</si>
  <si>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</si>
  <si>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</si>
  <si>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</si>
  <si>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</si>
  <si>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</si>
  <si>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</si>
  <si>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</si>
  <si>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</si>
  <si>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</si>
  <si>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</si>
  <si>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</si>
  <si>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</si>
  <si>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</si>
  <si>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</si>
  <si>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</si>
  <si>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</si>
  <si>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</si>
  <si>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</si>
  <si>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</si>
  <si>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</si>
  <si>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</si>
  <si>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</si>
  <si>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</si>
  <si>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</si>
  <si>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</si>
  <si>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</si>
  <si>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</si>
  <si>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</si>
  <si>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</si>
  <si>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</si>
  <si>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</si>
  <si>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</si>
  <si>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</si>
  <si>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</si>
  <si>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</si>
  <si>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</si>
  <si>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</si>
  <si>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</si>
  <si>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</si>
  <si>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</si>
  <si>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</si>
  <si>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</si>
  <si>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</si>
  <si>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</si>
  <si>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</si>
  <si>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</si>
  <si>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</si>
  <si>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</si>
  <si>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</si>
  <si>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</si>
  <si>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</si>
  <si>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</si>
  <si>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</si>
  <si>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</si>
  <si>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</si>
  <si>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</si>
  <si>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</si>
  <si>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</si>
  <si>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</si>
  <si>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</si>
  <si>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</si>
  <si>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</si>
  <si>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</si>
  <si>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</si>
  <si>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DJAMEL SOUDANI</t>
  </si>
  <si>
    <t>BASTIEN BONNETON</t>
  </si>
  <si>
    <t>CYRIL LONGELIN</t>
  </si>
  <si>
    <t>MAGALI CARTIER</t>
  </si>
  <si>
    <t>AXEL QUENEY</t>
  </si>
  <si>
    <t>MONIKA NEDYALKOVA</t>
  </si>
  <si>
    <t>ANASTASIOS KARIOFYLIS</t>
  </si>
  <si>
    <t>SOLON MINAS</t>
  </si>
  <si>
    <t>ANGELOS KALOGERAKOS</t>
  </si>
  <si>
    <t>KRANIOTIS, KONSTANTINOS</t>
  </si>
  <si>
    <t>CHRISTOLIAKOU, MARIA ALEXANDRA</t>
  </si>
  <si>
    <t>KAROUMPALOU, ATHINA</t>
  </si>
  <si>
    <t>KARAGIAKIOULES, VASILEOS</t>
  </si>
  <si>
    <t>KOURTI, SPYRIDOULA</t>
  </si>
  <si>
    <t>KALESIORIS, ANASTASIS</t>
  </si>
  <si>
    <t>FRANCIS RUIZ</t>
  </si>
  <si>
    <t>LLUIS ESPINOSA</t>
  </si>
  <si>
    <t>LAILA GONELL</t>
  </si>
  <si>
    <t>ROBERTO BAÑOS</t>
  </si>
  <si>
    <t>MARIA JOSE SERRANO</t>
  </si>
  <si>
    <t>JESUS LOPEZ</t>
  </si>
  <si>
    <t>ENDER OZBEK</t>
  </si>
  <si>
    <t>SERTAC DOSTEL</t>
  </si>
  <si>
    <t>AHMET YILDIZ</t>
  </si>
  <si>
    <t>MERVE SAGLAM</t>
  </si>
  <si>
    <t>VASILJEVIC, PETAR</t>
  </si>
  <si>
    <t>VASILJEVIC, IVANA</t>
  </si>
  <si>
    <t>VASILJEVIC, PREDRAG</t>
  </si>
  <si>
    <t>PRPA, IVANA</t>
  </si>
  <si>
    <t>KRSTIC, ANA</t>
  </si>
  <si>
    <t>SONJA STANKOVIC</t>
  </si>
  <si>
    <t>JOVANA KRIVOKUCA-MILOVANOVIC</t>
  </si>
  <si>
    <t>JACOBO LAPRESTA</t>
  </si>
  <si>
    <t>JOSE ANTONIO RODRIGUEZ</t>
  </si>
  <si>
    <t>JOSE VICENTE ARQUES</t>
  </si>
  <si>
    <t>YOLANDA BAILACH MADERA</t>
  </si>
  <si>
    <t>CRISTINA TORRES</t>
  </si>
  <si>
    <t>BORJA RODRIGUEZ</t>
  </si>
  <si>
    <t>DANILO VESOVIC</t>
  </si>
  <si>
    <t>LUKA ANDRIC</t>
  </si>
  <si>
    <t>MARKO LEPOVIC</t>
  </si>
  <si>
    <t>BILJANA KOSTRES</t>
  </si>
  <si>
    <t>MILOS MOSIC</t>
  </si>
  <si>
    <t>MIODRAG STOJANOVIC</t>
  </si>
  <si>
    <t>ANA ANDREJIC</t>
  </si>
  <si>
    <t>BOJANA KRALJEVIC</t>
  </si>
  <si>
    <t>LJUPKA VUKOJEVIC</t>
  </si>
  <si>
    <t>JOVANA DOJCINOVIC</t>
  </si>
  <si>
    <t>GIEDRE GARCINSKAITE</t>
  </si>
  <si>
    <t>RASA KIZIKAITE</t>
  </si>
  <si>
    <t>AUKSE ZAKRIENE</t>
  </si>
  <si>
    <t>GINTARE BUKARTAITE</t>
  </si>
  <si>
    <t>MINDAUGAS RUDZEVICIUS</t>
  </si>
  <si>
    <t>NERIJUS MAINONIS</t>
  </si>
  <si>
    <t>STEPHANE DURIEUX</t>
  </si>
  <si>
    <t>JEAN-MARC MORENTE</t>
  </si>
  <si>
    <t>STEPHANE FITOUSSI</t>
  </si>
  <si>
    <t>VIRGINIE USCLADE</t>
  </si>
  <si>
    <t>CEDRIC LAURANCY</t>
  </si>
  <si>
    <t>KADER SI-TAYEB</t>
  </si>
  <si>
    <t>CATHERINE RICARD</t>
  </si>
  <si>
    <t>VANESSA CAUCHIE</t>
  </si>
  <si>
    <t>CLAUDINE CARADONNA</t>
  </si>
  <si>
    <t>CAROLINE MEUNIER</t>
  </si>
  <si>
    <t>ISABELLE GUITTI</t>
  </si>
  <si>
    <t>DAVID MARTINOTTI</t>
  </si>
  <si>
    <t>IVAN MOSIC</t>
  </si>
  <si>
    <t>MARIJANA GOLUBOVIC</t>
  </si>
  <si>
    <t>IVANA KRSTIC</t>
  </si>
  <si>
    <t>LUIS CALLEJA</t>
  </si>
  <si>
    <t>JAIME LAQUIDAIN</t>
  </si>
  <si>
    <t>MIGUEL PENALBA</t>
  </si>
  <si>
    <t>DANIEL MARTIN</t>
  </si>
  <si>
    <t>INES RAQUEL PIATKOWSKA</t>
  </si>
  <si>
    <t>ALVARO PENALBA</t>
  </si>
  <si>
    <t>Konstantinos Kroupis</t>
  </si>
  <si>
    <t>MARIO ENJUANES</t>
  </si>
  <si>
    <t>E</t>
  </si>
  <si>
    <t>08:36</t>
  </si>
  <si>
    <t>STEPHANE DUREUX</t>
  </si>
  <si>
    <t>OLIVIER JAUFFRES</t>
  </si>
  <si>
    <t>ALAIN FERRANT</t>
  </si>
  <si>
    <t>YOHAN STROBEL</t>
  </si>
  <si>
    <t>The match had very few normal adjustments, which they themselves identified. Well done.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</si>
</sst>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M8" sqref="M8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20</v>
      </c>
      <c r="D1" s="124" t="s">
        <v>826</v>
      </c>
      <c r="E1" s="125">
        <v>2025</v>
      </c>
      <c r="F1" s="120" t="str">
        <f>TEXT(C1,"00") &amp; "_" &amp; TEXT(C2,"000")&amp; "_" &amp; H4 &amp; "_" &amp; H5 &amp; "_" &amp; B2</f>
        <v>20_196_ASV_MAD_E2025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196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46028.833333333336</v>
      </c>
      <c r="C3" s="178"/>
      <c r="D3" s="39">
        <v>543</v>
      </c>
      <c r="E3" s="29"/>
      <c r="F3" s="26">
        <f>SUBTOTAL(3,I17:I106)</f>
        <v>1</v>
      </c>
      <c r="G3" s="27">
        <f>IF(OR(D3="",D3=0),"",F3/D3)</f>
        <v>1.841620626151013E-3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LDLC ASVEL Villeurbanne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ASV</v>
      </c>
      <c r="I4" s="5"/>
      <c r="J4" s="119" t="s">
        <v>714</v>
      </c>
      <c r="K4" s="54" t="s">
        <v>743</v>
      </c>
      <c r="L4" s="5"/>
      <c r="M4" s="185" t="s">
        <v>832</v>
      </c>
      <c r="N4" s="186"/>
      <c r="O4" s="2"/>
      <c r="P4" s="2"/>
      <c r="Q4" s="84" t="s">
        <v>175</v>
      </c>
      <c r="R4" s="94">
        <f>(IF(G3="",0,G3))</f>
        <v>1.841620626151013E-3</v>
      </c>
      <c r="S4" s="61">
        <f>SUM(I13:M13)</f>
        <v>0</v>
      </c>
      <c r="T4" s="78"/>
      <c r="U4" s="61">
        <f>AC18</f>
        <v>0</v>
      </c>
      <c r="V4" s="61">
        <f>+AC22</f>
        <v>1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Real Madrid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MAD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0.18416206261510129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1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">
        <v>828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">
        <v>804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1.1841620626151013</v>
      </c>
      <c r="N7" s="58"/>
      <c r="O7" s="2"/>
      <c r="P7" s="2"/>
      <c r="Q7" s="86">
        <f>SUM(R5,S5,AC16)</f>
        <v>1.1841620626151013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">
        <v>829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1.1841620626151013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">
        <v>807</v>
      </c>
      <c r="E9" s="159"/>
      <c r="F9" s="159"/>
      <c r="G9" s="160"/>
      <c r="H9" s="130" t="str">
        <f>VLOOKUP($H$4,Teams!$B$3:$O$44,3,FALSE)</f>
        <v>STEPHANE DURIEUX</v>
      </c>
      <c r="I9" s="130" t="str">
        <f>VLOOKUP($H$4,Teams!$B$3:$O$44,3,FALSE)</f>
        <v>STEPHANE DURIEUX</v>
      </c>
      <c r="J9" s="130" t="str">
        <f>VLOOKUP($H$4,Teams!$B$3:$O$44,5,FALSE)</f>
        <v>STEPHANE FITOUSSI</v>
      </c>
      <c r="K9" s="130" t="str">
        <f>VLOOKUP($H$4,Teams!$B$3:$O$44,6,FALSE)</f>
        <v>VIRGINIE USCLADE</v>
      </c>
      <c r="L9" s="130" t="str">
        <f>VLOOKUP($H$4,Teams!$B$3:$O$44,7,FALSE)</f>
        <v>CEDRIC LAURANCY</v>
      </c>
      <c r="M9" s="131" t="str">
        <f>VLOOKUP($H$4,Teams!$B$3:$O$44,8,FALSE)</f>
        <v>KADER SI-TAYEB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">
        <v>830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">
        <v>831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196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825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1</v>
      </c>
      <c r="J15" s="24">
        <f>SUBTOTAL(3,J17:J106)</f>
        <v>1</v>
      </c>
      <c r="K15" s="24">
        <f>SUBTOTAL(3,K17:K106)</f>
        <v>1</v>
      </c>
      <c r="L15" s="24">
        <f>SUBTOTAL(3,L17:L106)</f>
        <v>1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1</v>
      </c>
      <c r="Z16" s="90" t="s">
        <v>110</v>
      </c>
      <c r="AA16" s="75">
        <f>SUM(AA17:AA24)</f>
        <v>1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1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1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196</v>
      </c>
      <c r="D17" s="32" t="s">
        <v>827</v>
      </c>
      <c r="E17" s="33">
        <v>3</v>
      </c>
      <c r="F17" s="36">
        <v>43</v>
      </c>
      <c r="G17" s="36">
        <v>38</v>
      </c>
      <c r="H17" s="38" t="str">
        <f>IF(I17="","",$I$14)</f>
        <v>SCOUTING</v>
      </c>
      <c r="I17" s="34">
        <v>296</v>
      </c>
      <c r="J17" s="13" t="s">
        <v>4</v>
      </c>
      <c r="K17" s="13" t="s">
        <v>63</v>
      </c>
      <c r="L17" s="13" t="s">
        <v>6</v>
      </c>
      <c r="M17" s="13" t="s">
        <v>22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1</v>
      </c>
      <c r="Z17" s="105" t="s">
        <v>63</v>
      </c>
      <c r="AA17" s="62">
        <f>COUNTIF($K$17:$K$106,Z17)</f>
        <v>1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1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1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1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J19" sqref="J19:N1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 t="s">
        <v>803</v>
      </c>
      <c r="E3" s="133" t="s">
        <v>804</v>
      </c>
      <c r="F3" s="133" t="s">
        <v>805</v>
      </c>
      <c r="G3" s="133" t="s">
        <v>806</v>
      </c>
      <c r="H3" s="133" t="s">
        <v>807</v>
      </c>
      <c r="I3" s="134" t="s">
        <v>808</v>
      </c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 t="s">
        <v>764</v>
      </c>
      <c r="E4" s="137" t="s">
        <v>765</v>
      </c>
      <c r="F4" s="137" t="s">
        <v>766</v>
      </c>
      <c r="G4" s="137" t="s">
        <v>767</v>
      </c>
      <c r="H4" s="137" t="s">
        <v>768</v>
      </c>
      <c r="I4" s="138" t="s">
        <v>769</v>
      </c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 t="s">
        <v>787</v>
      </c>
      <c r="E6" s="137" t="s">
        <v>788</v>
      </c>
      <c r="F6" s="137" t="s">
        <v>789</v>
      </c>
      <c r="G6" s="137" t="s">
        <v>780</v>
      </c>
      <c r="H6" s="137" t="s">
        <v>779</v>
      </c>
      <c r="I6" s="138" t="s">
        <v>790</v>
      </c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 t="s">
        <v>729</v>
      </c>
      <c r="E7" s="137" t="s">
        <v>754</v>
      </c>
      <c r="F7" s="137" t="s">
        <v>755</v>
      </c>
      <c r="G7" s="137" t="s">
        <v>756</v>
      </c>
      <c r="H7" s="137" t="s">
        <v>757</v>
      </c>
      <c r="I7" s="137" t="s">
        <v>824</v>
      </c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 t="s">
        <v>735</v>
      </c>
      <c r="E8" s="137" t="s">
        <v>770</v>
      </c>
      <c r="F8" s="137" t="s">
        <v>771</v>
      </c>
      <c r="G8" s="137" t="s">
        <v>772</v>
      </c>
      <c r="H8" s="137" t="s">
        <v>773</v>
      </c>
      <c r="I8" s="138" t="s">
        <v>740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 t="s">
        <v>818</v>
      </c>
      <c r="E9" s="137" t="s">
        <v>819</v>
      </c>
      <c r="F9" s="137" t="s">
        <v>820</v>
      </c>
      <c r="G9" s="137" t="s">
        <v>821</v>
      </c>
      <c r="H9" s="137" t="s">
        <v>822</v>
      </c>
      <c r="I9" s="138" t="s">
        <v>823</v>
      </c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 t="s">
        <v>809</v>
      </c>
      <c r="E10" s="137" t="s">
        <v>810</v>
      </c>
      <c r="F10" s="137" t="s">
        <v>811</v>
      </c>
      <c r="G10" s="137" t="s">
        <v>812</v>
      </c>
      <c r="H10" s="137" t="s">
        <v>813</v>
      </c>
      <c r="I10" s="138" t="s">
        <v>814</v>
      </c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 t="s">
        <v>758</v>
      </c>
      <c r="E13" s="137" t="s">
        <v>759</v>
      </c>
      <c r="F13" s="137" t="s">
        <v>760</v>
      </c>
      <c r="G13" s="137" t="s">
        <v>761</v>
      </c>
      <c r="H13" s="137" t="s">
        <v>762</v>
      </c>
      <c r="I13" s="138" t="s">
        <v>763</v>
      </c>
      <c r="J13" s="139"/>
      <c r="K13" s="137" t="s">
        <v>774</v>
      </c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 t="s">
        <v>781</v>
      </c>
      <c r="E14" s="137" t="s">
        <v>782</v>
      </c>
      <c r="F14" s="137" t="s">
        <v>783</v>
      </c>
      <c r="G14" s="137" t="s">
        <v>784</v>
      </c>
      <c r="H14" s="137" t="s">
        <v>785</v>
      </c>
      <c r="I14" s="138" t="s">
        <v>786</v>
      </c>
      <c r="J14" s="139"/>
      <c r="K14" s="137" t="s">
        <v>775</v>
      </c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 t="s">
        <v>776</v>
      </c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7" t="s">
        <v>780</v>
      </c>
      <c r="J16" s="139"/>
      <c r="K16" s="137" t="s">
        <v>777</v>
      </c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 t="s">
        <v>749</v>
      </c>
      <c r="E17" s="137" t="s">
        <v>750</v>
      </c>
      <c r="F17" s="137" t="s">
        <v>751</v>
      </c>
      <c r="G17" s="137" t="s">
        <v>752</v>
      </c>
      <c r="H17" s="137" t="s">
        <v>753</v>
      </c>
      <c r="I17" s="138"/>
      <c r="J17" s="139"/>
      <c r="K17" s="137" t="s">
        <v>778</v>
      </c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 t="s">
        <v>791</v>
      </c>
      <c r="E18" s="137" t="s">
        <v>792</v>
      </c>
      <c r="F18" s="137" t="s">
        <v>793</v>
      </c>
      <c r="G18" s="137" t="s">
        <v>794</v>
      </c>
      <c r="H18" s="137" t="s">
        <v>795</v>
      </c>
      <c r="I18" s="138" t="s">
        <v>796</v>
      </c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 t="s">
        <v>815</v>
      </c>
      <c r="E19" s="137" t="s">
        <v>792</v>
      </c>
      <c r="F19" s="137" t="s">
        <v>816</v>
      </c>
      <c r="G19" s="137" t="s">
        <v>817</v>
      </c>
      <c r="H19" s="137" t="s">
        <v>795</v>
      </c>
      <c r="I19" s="138" t="s">
        <v>796</v>
      </c>
      <c r="J19" s="139" t="s">
        <v>774</v>
      </c>
      <c r="K19" s="137" t="s">
        <v>775</v>
      </c>
      <c r="L19" s="137" t="s">
        <v>776</v>
      </c>
      <c r="M19" s="137" t="s">
        <v>777</v>
      </c>
      <c r="N19" s="140" t="s">
        <v>778</v>
      </c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 t="s">
        <v>797</v>
      </c>
      <c r="E22" s="142" t="s">
        <v>798</v>
      </c>
      <c r="F22" s="142" t="s">
        <v>799</v>
      </c>
      <c r="G22" s="142" t="s">
        <v>800</v>
      </c>
      <c r="H22" s="142" t="s">
        <v>801</v>
      </c>
      <c r="I22" s="143" t="s">
        <v>802</v>
      </c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REPORT_E2025196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"E2025196"</v>
      </c>
      <c r="F3" s="45" t="str">
        <f t="shared" ref="F3:F16" si="0">""""&amp;B3&amp;"""" &amp; " : " &amp;C3&amp;","</f>
        <v>"name" : "E2025196",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"E196"</v>
      </c>
      <c r="F4" s="45" t="str">
        <f t="shared" si="0"/>
        <v>"cod" : "E196",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196</v>
      </c>
      <c r="F6" s="45" t="str">
        <f t="shared" si="0"/>
        <v>"number" : 196,</v>
      </c>
    </row>
    <row r="7" spans="2:6" x14ac:dyDescent="0.2">
      <c r="B7" s="43" t="s">
        <v>116</v>
      </c>
      <c r="C7" s="43" t="str">
        <f ca="1">""""&amp;TEXT('SCOUT &amp; LOGISTICS'!B3,"dd/mm/aaaa")&amp;""""</f>
        <v>"06/01/Tuesday"</v>
      </c>
      <c r="F7" s="45" t="str">
        <f t="shared" ca="1" si="0"/>
        <v>"date" : "06/01/Tuesday",</v>
      </c>
    </row>
    <row r="8" spans="2:6" x14ac:dyDescent="0.2">
      <c r="B8" s="43" t="s">
        <v>125</v>
      </c>
      <c r="C8" s="43" t="str">
        <f>""""&amp;'SCOUT &amp; LOGISTICS'!D4 &amp;""""</f>
        <v>"LDLC ASVEL Villeurbanne"</v>
      </c>
      <c r="F8" s="45" t="str">
        <f t="shared" si="0"/>
        <v>"home_team" : "LDLC ASVEL Villeurbanne",</v>
      </c>
    </row>
    <row r="9" spans="2:6" x14ac:dyDescent="0.2">
      <c r="B9" s="43" t="s">
        <v>126</v>
      </c>
      <c r="C9" s="43" t="str">
        <f>""""&amp;'SCOUT &amp; LOGISTICS'!D5&amp;""""</f>
        <v>"Real Madrid"</v>
      </c>
      <c r="F9" s="45" t="str">
        <f t="shared" si="0"/>
        <v>"away_team" : "Real Madrid",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"STEPHANE DUREUX"</v>
      </c>
      <c r="F10" s="45" t="str">
        <f t="shared" si="0"/>
        <v>"Data_entry" : "STEPHANE DUREUX",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"JEAN-MARC MORENTE"</v>
      </c>
      <c r="F11" s="45" t="str">
        <f t="shared" si="0"/>
        <v>"Caller_1" : "JEAN-MARC MORENTE",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"OLIVIER JAUFFRES"</v>
      </c>
      <c r="F12" s="45" t="str">
        <f t="shared" si="0"/>
        <v>"Caller_2" : "OLIVIER JAUFFRES",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"CEDRIC LAURANCY"</v>
      </c>
      <c r="F13" s="45" t="str">
        <f t="shared" si="0"/>
        <v>"Timerkeeper" : "CEDRIC LAURANCY",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"ALAIN FERRANT"</v>
      </c>
      <c r="F14" s="45" t="str">
        <f t="shared" si="0"/>
        <v>"Shotclock" : "ALAIN FERRANT",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"YOHAN STROBEL"</v>
      </c>
      <c r="F15" s="45" t="str">
        <f t="shared" si="0"/>
        <v>"IRS" : "YOHAN STROBEL",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543</v>
      </c>
      <c r="F25" s="45" t="str">
        <f t="shared" ref="F25:F48" si="1">""""&amp;C25&amp;"""" &amp; " : " &amp;D25&amp;","</f>
        <v>"total_actions" : 543,</v>
      </c>
    </row>
    <row r="26" spans="2:6" x14ac:dyDescent="0.2">
      <c r="C26" s="43" t="s">
        <v>132</v>
      </c>
      <c r="D26" s="43">
        <f>'SCOUT &amp; LOGISTICS'!F3</f>
        <v>1</v>
      </c>
      <c r="F26" s="45" t="str">
        <f t="shared" si="1"/>
        <v>"total_correcions" : 1,</v>
      </c>
    </row>
    <row r="27" spans="2:6" x14ac:dyDescent="0.2">
      <c r="C27" s="43" t="s">
        <v>133</v>
      </c>
      <c r="D27" s="43" t="str">
        <f>""""&amp;IF(OR(D25="",D25=0),"",TEXT(D26/D25,"0,0%"))&amp;""""</f>
        <v>"00%"</v>
      </c>
      <c r="F27" s="45" t="str">
        <f t="shared" si="1"/>
        <v>"%_corrections" : "00%",</v>
      </c>
    </row>
    <row r="28" spans="2:6" x14ac:dyDescent="0.2">
      <c r="C28" s="43" t="s">
        <v>125</v>
      </c>
      <c r="D28" s="43">
        <f>IF('SCOUT &amp; LOGISTICS'!AA17="","",'SCOUT &amp; LOGISTICS'!AA17)</f>
        <v>1</v>
      </c>
      <c r="F28" s="45" t="str">
        <f t="shared" si="1"/>
        <v>"home_team" : 1,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1</v>
      </c>
      <c r="F33" s="45" t="str">
        <f t="shared" si="1"/>
        <v>"q3" : 1,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1</v>
      </c>
      <c r="F37" s="45" t="str">
        <f t="shared" si="1"/>
        <v>"scoresheet_corrections" : 1,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"The match had very few normal adjustments, which they themselves identified. Well done."</v>
      </c>
      <c r="F51" s="45" t="str">
        <f>""""&amp;B51&amp;"""" &amp; " : " &amp;C51&amp;","</f>
        <v>"comments" : "The match had very few normal adjustments, which they themselves identified. Well done.",</v>
      </c>
    </row>
    <row r="52" spans="2:6" x14ac:dyDescent="0.2">
      <c r="B52" s="43" t="s">
        <v>153</v>
      </c>
      <c r="C52" s="43" t="str">
        <f>TEXT('SCOUT &amp; LOGISTICS'!F1,"0,0")</f>
        <v>20_196_ASV_MAD_E2025</v>
      </c>
      <c r="F52" s="45" t="str">
        <f>""""&amp;B52&amp;"""" &amp; " : " &amp;C52</f>
        <v>"result" : 20_196_ASV_MAD_E2025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E196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06/01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Ldlc Asvel Villeurbanne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Real Madrid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STEPHANE DUREUX</v>
      </c>
      <c r="C8" s="201"/>
      <c r="D8" s="201"/>
      <c r="E8" s="201"/>
      <c r="F8" s="201"/>
      <c r="G8" s="201" t="str">
        <f>IF('SCOUT &amp; LOGISTICS'!D7="","",'SCOUT &amp; LOGISTICS'!D7)</f>
        <v>JEAN-MARC MORENTE</v>
      </c>
      <c r="H8" s="201"/>
      <c r="I8" s="201"/>
      <c r="J8" s="201"/>
      <c r="K8" s="201"/>
      <c r="L8" s="201" t="str">
        <f>IF('SCOUT &amp; LOGISTICS'!D8="","",'SCOUT &amp; LOGISTICS'!D8)</f>
        <v>OLIVIER JAUFFRES</v>
      </c>
      <c r="M8" s="201"/>
      <c r="N8" s="201"/>
      <c r="O8" s="201"/>
      <c r="P8" s="201"/>
      <c r="Q8" s="201" t="str">
        <f>IF('SCOUT &amp; LOGISTICS'!D9="","",'SCOUT &amp; LOGISTICS'!D9)</f>
        <v>CEDRIC LAURANCY</v>
      </c>
      <c r="R8" s="201"/>
      <c r="S8" s="201"/>
      <c r="T8" s="201"/>
      <c r="U8" s="201"/>
      <c r="V8" s="201" t="str">
        <f>IF('SCOUT &amp; LOGISTICS'!D10="","",'SCOUT &amp; LOGISTICS'!D10)</f>
        <v>ALAIN FERRANT</v>
      </c>
      <c r="W8" s="201"/>
      <c r="X8" s="201"/>
      <c r="Y8" s="201"/>
      <c r="Z8" s="201"/>
      <c r="AA8" s="201" t="str">
        <f>IF('SCOUT &amp; LOGISTICS'!D11="","",'SCOUT &amp; LOGISTICS'!D11)</f>
        <v>YOHAN STROBEL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>OK</v>
      </c>
      <c r="C13" s="205"/>
      <c r="D13" s="205"/>
      <c r="E13" s="205"/>
      <c r="F13" s="205"/>
      <c r="G13" s="205"/>
      <c r="H13" s="205" t="str">
        <f>IF('SCOUT &amp; LOGISTICS'!J12="","",'SCOUT &amp; LOGISTICS'!J12)</f>
        <v>YES</v>
      </c>
      <c r="I13" s="205"/>
      <c r="J13" s="205"/>
      <c r="K13" s="205"/>
      <c r="L13" s="205"/>
      <c r="M13" s="205"/>
      <c r="N13" s="205" t="str">
        <f>IF('SCOUT &amp; LOGISTICS'!K12="","",'SCOUT &amp; LOGISTICS'!K12)</f>
        <v>GOOD</v>
      </c>
      <c r="O13" s="205"/>
      <c r="P13" s="205"/>
      <c r="Q13" s="205"/>
      <c r="R13" s="205"/>
      <c r="S13" s="205"/>
      <c r="T13" s="205" t="str">
        <f>IF('SCOUT &amp; LOGISTICS'!L12="","",'SCOUT &amp; LOGISTICS'!L12)</f>
        <v>FAST</v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543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1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>
        <f>IF(OR(B17="",B17=0),"",L17/B17)</f>
        <v>1.841620626151013E-3</v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1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1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1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1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The match had very few normal adjustments, which they themselves identified. Well done.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1.1841620626151013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te a new document." ma:contentTypeScope="" ma:versionID="de36969f4ed48e290014b5fd8755fec7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499fb8b56df7ec750a6b01bb270a1e23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C80499F8-E47F-4388-B669-C18DEDDFB234}"/>
</file>

<file path=customXml/itemProps3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2026-01-16T14:53:31Z</cp:lastPrinted>
  <dcterms:created xsi:type="dcterms:W3CDTF">2023-09-19T19:50:35Z</dcterms:created>
  <dcterms:modified xsi:type="dcterms:W3CDTF">2026-01-16T14:59:46Z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