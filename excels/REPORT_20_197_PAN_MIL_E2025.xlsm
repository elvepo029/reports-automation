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4" documentId="8_{9C829B64-1429-4A56-B35B-9FF59CD8CC6C}" xr6:coauthVersionLast="47" xr6:coauthVersionMax="47" xr10:uidLastSave="{7A7D7996-A6AB-45B4-ADBA-AD589F2BF5C2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<sst xmlns="http://schemas.openxmlformats.org/spreadsheetml/2006/main" count="3275" uniqueCount="762">
  <si>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</si>
  <si>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</si>
  <si>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</si>
  <si>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</si>
  <si>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</si>
  <si>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</si>
  <si>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</si>
  <si>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</si>
  <si>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</si>
  <si>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</si>
  <si>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</si>
  <si>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</si>
  <si>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</si>
  <si>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</si>
  <si>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</si>
  <si>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</si>
  <si>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</si>
  <si>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</si>
  <si>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</si>
  <si>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</si>
  <si>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</si>
  <si>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</si>
  <si>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</si>
  <si>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</si>
  <si>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</si>
  <si>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</si>
  <si>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</si>
  <si>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</si>
  <si>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</si>
  <si>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</si>
  <si>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</si>
  <si>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</si>
  <si>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</si>
  <si>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</si>
  <si>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</si>
  <si>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</si>
  <si>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</si>
  <si>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</si>
  <si>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</si>
  <si>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</si>
  <si>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</si>
  <si>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</si>
  <si>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</si>
  <si>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</si>
  <si>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</si>
  <si>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</si>
  <si>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</si>
  <si>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</si>
  <si>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</si>
  <si>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</si>
  <si>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</si>
  <si>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</si>
  <si>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</si>
  <si>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</si>
  <si>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</si>
  <si>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</si>
  <si>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</si>
  <si>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</si>
  <si>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</si>
  <si>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</si>
  <si>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</si>
  <si>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</si>
  <si>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</si>
  <si>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</si>
  <si>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</si>
  <si>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</si>
  <si>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</si>
  <si>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</si>
  <si>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</si>
  <si>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</si>
  <si>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</si>
  <si>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</si>
  <si>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</si>
  <si>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</si>
  <si>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</si>
  <si>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</si>
  <si>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</si>
  <si>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</si>
  <si>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</si>
  <si>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</si>
  <si>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</si>
  <si>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</si>
  <si>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</si>
  <si>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</si>
  <si>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</si>
  <si>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</si>
  <si>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</si>
  <si>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</si>
  <si>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</si>
  <si>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</si>
  <si>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</si>
  <si>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</si>
  <si>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</si>
  <si>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</si>
  <si>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</si>
  <si>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</si>
  <si>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</si>
  <si>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</si>
  <si>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</si>
  <si>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</si>
  <si>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</si>
  <si>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</si>
  <si>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</si>
  <si>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</si>
  <si>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</si>
  <si>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</si>
  <si>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</si>
  <si>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</si>
  <si>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</si>
  <si>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</si>
  <si>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</si>
  <si>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</si>
  <si>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</si>
  <si>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</si>
  <si>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</si>
  <si>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</si>
  <si>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</si>
  <si>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</si>
  <si>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</si>
  <si>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</si>
  <si>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</si>
  <si>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</si>
  <si>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</si>
  <si>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</si>
  <si>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</si>
  <si>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</si>
  <si>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</si>
  <si>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</si>
  <si>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</si>
  <si>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</si>
  <si>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</si>
  <si>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</si>
  <si>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</si>
  <si>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</si>
  <si>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</si>
  <si>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</si>
  <si>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</si>
  <si>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</si>
  <si>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</si>
  <si>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</si>
  <si>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</si>
  <si>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</si>
  <si>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</si>
  <si>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</si>
  <si>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</si>
  <si>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</si>
  <si>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</si>
  <si>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</si>
  <si>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</si>
  <si>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</si>
  <si>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</si>
  <si>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</si>
  <si>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</si>
  <si>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</si>
  <si>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</si>
  <si>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</si>
  <si>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</si>
  <si>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</si>
  <si>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</si>
  <si>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</si>
  <si>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</si>
  <si>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</si>
  <si>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</si>
  <si>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</si>
  <si>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</si>
  <si>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</si>
  <si>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</si>
  <si>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</si>
  <si>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</si>
  <si>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</si>
  <si>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</si>
  <si>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</si>
  <si>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</si>
  <si>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</si>
  <si>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</si>
  <si>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</si>
  <si>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</si>
  <si>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</si>
  <si>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</si>
  <si>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</si>
  <si>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</si>
  <si>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</si>
  <si>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</si>
  <si>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</si>
  <si>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</si>
  <si>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</si>
  <si>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</si>
  <si>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</si>
  <si>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</si>
  <si>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</si>
  <si>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</si>
  <si>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</si>
  <si>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</si>
  <si>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</si>
  <si>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</si>
  <si>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</si>
  <si>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</si>
  <si>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</si>
  <si>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</si>
  <si>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</si>
  <si>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</si>
  <si>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</si>
  <si>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</si>
  <si>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</si>
  <si>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</si>
  <si>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</si>
  <si>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</si>
  <si>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</si>
  <si>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</si>
  <si>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</si>
  <si>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</si>
  <si>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</si>
  <si>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</si>
  <si>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</si>
  <si>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</si>
  <si>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</si>
  <si>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</si>
  <si>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</si>
  <si>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</si>
  <si>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</si>
  <si>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</si>
  <si>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</si>
  <si>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</si>
  <si>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</si>
  <si>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</si>
  <si>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</si>
  <si>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</si>
  <si>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</si>
  <si>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</si>
  <si>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</si>
  <si>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</si>
  <si>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</si>
  <si>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</si>
  <si>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</si>
  <si>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</si>
  <si>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</si>
  <si>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</si>
  <si>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</si>
  <si>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</si>
  <si>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</si>
  <si>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</si>
  <si>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</si>
  <si>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</si>
  <si>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</si>
  <si>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</si>
  <si>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</si>
  <si>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</si>
  <si>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</si>
  <si>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</si>
  <si>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</si>
  <si>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</si>
  <si>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</si>
  <si>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</si>
  <si>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</si>
  <si>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</si>
  <si>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</si>
  <si>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</si>
  <si>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</si>
  <si>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</si>
  <si>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</si>
  <si>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</si>
  <si>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</si>
  <si>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</si>
  <si>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</si>
  <si>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</si>
  <si>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</si>
  <si>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</si>
  <si>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</si>
  <si>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</si>
  <si>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</si>
  <si>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</si>
  <si>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</si>
  <si>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</si>
  <si>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</si>
  <si>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</si>
  <si>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</si>
  <si>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</si>
  <si>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</si>
  <si>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</si>
  <si>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</si>
  <si>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</si>
  <si>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</si>
  <si>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</si>
  <si>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</si>
  <si>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</si>
  <si>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</si>
  <si>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</si>
  <si>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</si>
  <si>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</si>
  <si>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</si>
  <si>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</si>
  <si>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</si>
  <si>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</si>
  <si>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</si>
  <si>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</si>
  <si>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</si>
  <si>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</si>
  <si>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</si>
  <si>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</si>
  <si>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</si>
  <si>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</si>
  <si>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</si>
  <si>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</si>
  <si>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</si>
  <si>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</si>
  <si>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</si>
  <si>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</si>
  <si>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</si>
  <si>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</si>
  <si>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</si>
  <si>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</si>
  <si>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</si>
  <si>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</si>
  <si>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</si>
  <si>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</si>
  <si>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</si>
  <si>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</si>
  <si>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</si>
  <si>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</si>
  <si>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</si>
  <si>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</si>
  <si>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</si>
  <si>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</si>
  <si>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</si>
  <si>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</si>
  <si>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</si>
  <si>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</si>
  <si>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</si>
  <si>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</si>
  <si>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</si>
  <si>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</si>
  <si>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</si>
  <si>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</si>
  <si>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</si>
  <si>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</si>
  <si>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</si>
  <si>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</si>
  <si>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</si>
  <si>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</si>
  <si>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</si>
  <si>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</si>
  <si>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</si>
  <si>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</si>
  <si>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</si>
  <si>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</si>
  <si>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</si>
  <si>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</si>
  <si>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</si>
  <si>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</si>
  <si>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</si>
  <si>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</si>
  <si>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</si>
  <si>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</si>
  <si>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</si>
  <si>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</si>
  <si>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</si>
  <si>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</si>
  <si>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</si>
  <si>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</si>
  <si>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</si>
  <si>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</si>
  <si>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</si>
  <si>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</si>
  <si>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</si>
  <si>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</si>
  <si>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</si>
  <si>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</si>
  <si>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</si>
  <si>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</si>
  <si>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</si>
  <si>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</si>
  <si>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</si>
  <si>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</si>
  <si>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</si>
  <si>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</si>
  <si>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</si>
  <si>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</si>
  <si>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</si>
  <si>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</si>
  <si>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</si>
  <si>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</si>
  <si>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</si>
  <si>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</si>
  <si>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</si>
  <si>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</si>
  <si>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</si>
  <si>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</si>
  <si>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</si>
  <si>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</si>
  <si>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</si>
  <si>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</si>
  <si>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</si>
  <si>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</si>
  <si>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</si>
  <si>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</si>
  <si>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</si>
  <si>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</si>
  <si>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</si>
  <si>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</si>
  <si>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</si>
  <si>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</si>
  <si>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</si>
  <si>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</si>
  <si>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</si>
  <si>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</si>
  <si>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</si>
  <si>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</si>
  <si>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</si>
  <si>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</si>
  <si>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</si>
  <si>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</si>
  <si>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</si>
  <si>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</si>
  <si>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</si>
  <si>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</si>
  <si>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</si>
  <si>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</si>
  <si>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</si>
  <si>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</si>
  <si>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</si>
  <si>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</si>
  <si>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</si>
  <si>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</si>
  <si>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</si>
  <si>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</si>
  <si>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</si>
  <si>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</si>
  <si>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</si>
  <si>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</si>
  <si>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</si>
  <si>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</si>
  <si>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</si>
  <si>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</si>
  <si>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</si>
  <si>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</si>
  <si>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</si>
  <si>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</si>
  <si>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</si>
  <si>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</si>
  <si>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</si>
  <si>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</si>
  <si>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</si>
  <si>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</si>
  <si>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</si>
  <si>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</si>
  <si>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</si>
  <si>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</si>
  <si>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</si>
  <si>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</si>
  <si>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</si>
  <si>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</si>
  <si>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</si>
  <si>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</si>
  <si>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</si>
  <si>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</si>
  <si>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</si>
  <si>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</si>
  <si>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</si>
  <si>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</si>
  <si>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</si>
  <si>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</si>
  <si>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</si>
  <si>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</si>
  <si>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</si>
  <si>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</si>
  <si>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</si>
  <si>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</si>
  <si>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</si>
  <si>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</si>
  <si>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</si>
  <si>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</si>
  <si>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</si>
  <si>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</si>
  <si>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</si>
  <si>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</si>
  <si>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</si>
  <si>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</si>
  <si>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</si>
  <si>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</si>
  <si>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</si>
  <si>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</si>
  <si>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</si>
  <si>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</si>
  <si>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</si>
  <si>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</si>
  <si>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</si>
  <si>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</si>
  <si>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</si>
  <si>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</si>
  <si>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</si>
  <si>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</si>
  <si>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</si>
  <si>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</si>
  <si>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</si>
  <si>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</si>
  <si>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</si>
  <si>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</si>
  <si>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</si>
  <si>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</si>
  <si>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</si>
  <si>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</si>
  <si>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</si>
  <si>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</si>
  <si>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</si>
  <si>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</si>
  <si>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</si>
  <si>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</si>
  <si>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</si>
  <si>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</si>
  <si>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</si>
  <si>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</si>
  <si>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</si>
  <si>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</si>
  <si>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</si>
  <si>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</si>
  <si>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</si>
  <si>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</si>
  <si>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</si>
  <si>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</si>
  <si>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</si>
  <si>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</si>
  <si>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</si>
  <si>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</si>
  <si>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</si>
  <si>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</si>
  <si>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</si>
  <si>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</si>
  <si>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</si>
  <si>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</si>
  <si>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</si>
  <si>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</si>
  <si>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</si>
  <si>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</si>
  <si>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</si>
  <si>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</si>
  <si>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</si>
  <si>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</si>
  <si>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</si>
  <si>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</si>
  <si>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</si>
  <si>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</si>
  <si>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</si>
  <si>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</si>
  <si>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</si>
  <si>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</si>
  <si>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</si>
  <si>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</si>
  <si>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</si>
  <si>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</si>
  <si>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</si>
  <si>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</si>
  <si>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</si>
  <si>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</si>
  <si>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</si>
  <si>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</si>
  <si>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</si>
  <si>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</si>
  <si>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</si>
  <si>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</si>
  <si>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</si>
  <si>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</si>
  <si>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</si>
  <si>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</si>
  <si>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</si>
  <si>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</si>
  <si>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</si>
  <si>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</si>
  <si>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</si>
  <si>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</si>
  <si>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</si>
  <si>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</si>
  <si>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</si>
  <si>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</si>
  <si>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</si>
  <si>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</si>
  <si>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</si>
  <si>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</si>
  <si>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</si>
  <si>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</si>
  <si>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</si>
  <si>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</si>
  <si>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</si>
  <si>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</si>
  <si>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</si>
  <si>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</si>
  <si>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</si>
  <si>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</si>
  <si>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</si>
  <si>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</si>
  <si>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</si>
  <si>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</si>
  <si>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</si>
  <si>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</si>
  <si>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</si>
  <si>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</si>
  <si>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</si>
  <si>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</si>
  <si>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</si>
  <si>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</si>
  <si>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</si>
  <si>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</si>
  <si>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</si>
  <si>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</si>
  <si>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</si>
  <si>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</si>
  <si>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</si>
  <si>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</si>
  <si>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</si>
  <si>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</si>
  <si>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</si>
  <si>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</si>
  <si>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</si>
  <si>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</si>
  <si>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</si>
  <si>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</si>
  <si>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</si>
  <si>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</si>
  <si>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</si>
  <si>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</si>
  <si>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</si>
  <si>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</si>
  <si>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</si>
  <si>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</si>
  <si>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</si>
  <si>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</si>
  <si>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</si>
  <si>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</si>
  <si>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</si>
  <si>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</si>
  <si>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</si>
  <si>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</si>
  <si>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</si>
  <si>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</si>
  <si>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</si>
  <si>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</si>
  <si>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</si>
  <si>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</si>
  <si>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</si>
  <si>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</si>
  <si>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</si>
  <si>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</si>
  <si>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</si>
  <si>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</si>
  <si>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</si>
  <si>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</si>
  <si>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</si>
  <si>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</si>
  <si>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</si>
  <si>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</si>
  <si>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</si>
  <si>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</si>
  <si>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</si>
  <si>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</si>
  <si>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</si>
  <si>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</si>
  <si>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</si>
  <si>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</si>
  <si>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</si>
  <si>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</si>
  <si>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</si>
  <si>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</si>
  <si>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</si>
  <si>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</si>
  <si>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</si>
  <si>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</si>
  <si>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</si>
  <si>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</si>
  <si>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</si>
  <si>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</si>
  <si>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</si>
  <si>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</si>
  <si>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</si>
  <si>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</si>
  <si>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</si>
  <si>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</si>
  <si>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</si>
  <si>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</si>
  <si>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</si>
  <si>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</si>
  <si>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</si>
  <si>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</si>
  <si>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</si>
  <si>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</si>
  <si>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</si>
  <si>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</si>
  <si>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</si>
  <si>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</si>
  <si>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</si>
  <si>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</si>
  <si>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</si>
  <si>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</si>
  <si>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</si>
  <si>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</si>
  <si>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</si>
  <si>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</si>
  <si>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</si>
  <si>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</si>
  <si>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</si>
  <si>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</si>
  <si>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</si>
  <si>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</si>
  <si>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</si>
  <si>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</si>
  <si>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</si>
  <si>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</si>
  <si>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</si>
  <si>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</si>
  <si>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</si>
  <si>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</si>
  <si>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</si>
  <si>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</si>
  <si>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</si>
  <si>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</si>
  <si>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</si>
  <si>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</si>
  <si>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</si>
  <si>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</si>
  <si>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</si>
  <si>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</si>
  <si>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</si>
  <si>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</si>
  <si>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</si>
  <si>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</si>
  <si>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</si>
  <si>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</si>
  <si>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</si>
  <si>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</si>
  <si>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</si>
  <si>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</si>
  <si>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</si>
  <si>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</si>
  <si>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</si>
  <si>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</si>
  <si>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</si>
  <si>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</si>
  <si>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</si>
  <si>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</si>
  <si>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</si>
  <si>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</si>
  <si>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</si>
  <si>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</si>
  <si>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</si>
  <si>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</si>
  <si>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</si>
  <si>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</si>
  <si>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</si>
  <si>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</si>
  <si>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</si>
  <si>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</si>
  <si>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C:\Users\eloi.verge\OneDrive - EUROLEAGUE\Desktop\GAME REPORTS\25-26</t>
  </si>
  <si>
    <t>Really good job! Some more corrections at the end of the game, but nothing to worry about. Keep it up!</t>
  </si>
  <si>
    <t>IOANNIS TRIANTAFYLLOU</t>
  </si>
  <si>
    <t>THEODOROS TZAMALOUKAS</t>
  </si>
  <si>
    <t>PANAGIOTIS KALESIORIS</t>
  </si>
  <si>
    <t>ELOI VERGE</t>
  </si>
  <si>
    <t>4</t>
  </si>
  <si>
    <t>3</t>
  </si>
  <si>
    <t>00:45</t>
  </si>
  <si>
    <t>01:03</t>
  </si>
  <si>
    <t>04:31</t>
  </si>
  <si>
    <t>09:22</t>
  </si>
  <si>
    <t>05:31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</si>
</sst>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60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">
    <xf numFmtId="0" fontId="0" fillId="0" borderId="0"/>
    <xf numFmtId="0" fontId="55" fillId="0" borderId="0"/>
    <xf numFmtId="0" fontId="55" fillId="0" borderId="0"/>
    <xf numFmtId="0" fontId="1" fillId="0" borderId="0"/>
  </cellStyleXfs>
  <cellXfs count="213">
    <xf numFmtId="0" fontId="0" fillId="0" borderId="0" xfId="0"/>
    <xf numFmtId="0" fontId="2" fillId="3" borderId="0" xfId="0" applyFont="1" applyFill="1"/>
    <xf numFmtId="0" fontId="2" fillId="3" borderId="0" xfId="0" applyFont="1" applyFill="1" applyAlignment="1">
      <alignment horizontal="center" vertical="center"/>
    </xf>
    <xf numFmtId="0" fontId="4" fillId="0" borderId="0" xfId="0" applyFont="1"/>
    <xf numFmtId="0" fontId="5" fillId="0" borderId="0" xfId="0" applyFont="1"/>
    <xf numFmtId="0" fontId="6" fillId="3" borderId="0" xfId="0" applyFont="1" applyFill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right" vertical="center"/>
    </xf>
    <xf numFmtId="0" fontId="9" fillId="2" borderId="1" xfId="0" applyFont="1" applyFill="1" applyBorder="1" applyAlignment="1">
      <alignment horizontal="center" vertical="center"/>
    </xf>
    <xf numFmtId="164" fontId="10" fillId="7" borderId="10" xfId="0" applyNumberFormat="1" applyFont="1" applyFill="1" applyBorder="1" applyAlignment="1">
      <alignment horizontal="centerContinuous" vertical="center"/>
    </xf>
    <xf numFmtId="164" fontId="10" fillId="7" borderId="11" xfId="0" applyNumberFormat="1" applyFont="1" applyFill="1" applyBorder="1" applyAlignment="1">
      <alignment horizontal="centerContinuous" vertical="center"/>
    </xf>
    <xf numFmtId="164" fontId="10" fillId="7" borderId="9" xfId="0" applyNumberFormat="1" applyFont="1" applyFill="1" applyBorder="1" applyAlignment="1">
      <alignment horizontal="centerContinuous" vertical="center"/>
    </xf>
    <xf numFmtId="0" fontId="6" fillId="9" borderId="7" xfId="0" applyFont="1" applyFill="1" applyBorder="1" applyAlignment="1" applyProtection="1">
      <alignment horizontal="center" vertical="center"/>
      <protection locked="0"/>
    </xf>
    <xf numFmtId="0" fontId="6" fillId="11" borderId="12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7" fillId="11" borderId="1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/>
    <xf numFmtId="0" fontId="9" fillId="2" borderId="14" xfId="0" applyFont="1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0" fontId="7" fillId="3" borderId="0" xfId="0" applyFont="1" applyFill="1"/>
    <xf numFmtId="0" fontId="11" fillId="4" borderId="10" xfId="0" applyFont="1" applyFill="1" applyBorder="1" applyAlignment="1">
      <alignment horizontal="center" vertical="center"/>
    </xf>
    <xf numFmtId="0" fontId="11" fillId="4" borderId="4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13" fillId="3" borderId="5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12" borderId="3" xfId="0" applyFont="1" applyFill="1" applyBorder="1" applyAlignment="1">
      <alignment horizontal="center" vertical="center"/>
    </xf>
    <xf numFmtId="165" fontId="7" fillId="12" borderId="2" xfId="0" applyNumberFormat="1" applyFont="1" applyFill="1" applyBorder="1" applyAlignment="1">
      <alignment horizontal="center" vertical="center"/>
    </xf>
    <xf numFmtId="0" fontId="9" fillId="2" borderId="28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164" fontId="17" fillId="6" borderId="6" xfId="0" applyNumberFormat="1" applyFont="1" applyFill="1" applyBorder="1" applyAlignment="1">
      <alignment horizontal="center" vertical="center"/>
    </xf>
    <xf numFmtId="49" fontId="6" fillId="0" borderId="7" xfId="0" applyNumberFormat="1" applyFont="1" applyBorder="1" applyAlignment="1" applyProtection="1">
      <alignment horizontal="center" vertical="center" wrapText="1"/>
      <protection locked="0"/>
    </xf>
    <xf numFmtId="49" fontId="6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6" fillId="0" borderId="7" xfId="0" applyFont="1" applyBorder="1" applyAlignment="1" applyProtection="1">
      <alignment horizontal="center" vertical="center"/>
      <protection locked="0"/>
    </xf>
    <xf numFmtId="0" fontId="6" fillId="0" borderId="7" xfId="0" applyFont="1" applyBorder="1" applyAlignment="1" applyProtection="1">
      <alignment horizontal="left" vertical="center" wrapText="1"/>
      <protection locked="0"/>
    </xf>
    <xf numFmtId="167" fontId="6" fillId="0" borderId="7" xfId="0" applyNumberFormat="1" applyFont="1" applyBorder="1" applyAlignment="1" applyProtection="1">
      <alignment horizontal="center" vertical="center" wrapText="1"/>
      <protection locked="0"/>
    </xf>
    <xf numFmtId="167" fontId="6" fillId="3" borderId="0" xfId="0" applyNumberFormat="1" applyFont="1" applyFill="1" applyAlignment="1">
      <alignment horizontal="center" vertical="center"/>
    </xf>
    <xf numFmtId="0" fontId="6" fillId="8" borderId="7" xfId="0" applyFont="1" applyFill="1" applyBorder="1" applyAlignment="1">
      <alignment horizontal="center" vertical="center" wrapText="1"/>
    </xf>
    <xf numFmtId="0" fontId="10" fillId="13" borderId="10" xfId="0" applyFont="1" applyFill="1" applyBorder="1" applyAlignment="1" applyProtection="1">
      <alignment horizontal="center" vertical="center"/>
      <protection locked="0"/>
    </xf>
    <xf numFmtId="0" fontId="6" fillId="8" borderId="3" xfId="0" applyFont="1" applyFill="1" applyBorder="1" applyAlignment="1">
      <alignment horizontal="center" vertical="center" wrapText="1"/>
    </xf>
    <xf numFmtId="49" fontId="12" fillId="3" borderId="0" xfId="0" applyNumberFormat="1" applyFont="1" applyFill="1" applyAlignment="1">
      <alignment horizontal="center" vertical="center"/>
    </xf>
    <xf numFmtId="0" fontId="6" fillId="3" borderId="0" xfId="0" applyFont="1" applyFill="1" applyProtection="1">
      <protection locked="0"/>
    </xf>
    <xf numFmtId="0" fontId="20" fillId="0" borderId="0" xfId="0" applyFont="1" applyAlignment="1" applyProtection="1">
      <alignment horizontal="left" vertical="center"/>
      <protection hidden="1"/>
    </xf>
    <xf numFmtId="0" fontId="24" fillId="13" borderId="0" xfId="0" applyFont="1" applyFill="1" applyAlignment="1" applyProtection="1">
      <alignment horizontal="left" vertical="center"/>
      <protection hidden="1"/>
    </xf>
    <xf numFmtId="0" fontId="20" fillId="13" borderId="0" xfId="0" applyFont="1" applyFill="1" applyAlignment="1" applyProtection="1">
      <alignment horizontal="left" vertical="center"/>
      <protection hidden="1"/>
    </xf>
    <xf numFmtId="0" fontId="20" fillId="0" borderId="0" xfId="0" applyFont="1" applyAlignment="1" applyProtection="1">
      <alignment horizontal="left" vertical="center" wrapText="1"/>
      <protection hidden="1"/>
    </xf>
    <xf numFmtId="0" fontId="19" fillId="0" borderId="0" xfId="0" applyFont="1" applyProtection="1">
      <protection hidden="1"/>
    </xf>
    <xf numFmtId="0" fontId="19" fillId="10" borderId="0" xfId="0" applyFont="1" applyFill="1" applyProtection="1">
      <protection hidden="1"/>
    </xf>
    <xf numFmtId="164" fontId="8" fillId="6" borderId="33" xfId="0" applyNumberFormat="1" applyFont="1" applyFill="1" applyBorder="1" applyAlignment="1">
      <alignment horizontal="center" vertical="center"/>
    </xf>
    <xf numFmtId="164" fontId="8" fillId="6" borderId="34" xfId="0" applyNumberFormat="1" applyFont="1" applyFill="1" applyBorder="1" applyAlignment="1">
      <alignment horizontal="center" vertical="center"/>
    </xf>
    <xf numFmtId="0" fontId="21" fillId="10" borderId="0" xfId="0" applyFont="1" applyFill="1" applyProtection="1">
      <protection hidden="1"/>
    </xf>
    <xf numFmtId="0" fontId="21" fillId="0" borderId="0" xfId="0" applyFont="1" applyProtection="1">
      <protection hidden="1"/>
    </xf>
    <xf numFmtId="0" fontId="6" fillId="3" borderId="3" xfId="0" applyFont="1" applyFill="1" applyBorder="1" applyAlignment="1">
      <alignment horizontal="right" vertical="center"/>
    </xf>
    <xf numFmtId="0" fontId="35" fillId="3" borderId="0" xfId="0" applyFont="1" applyFill="1" applyAlignment="1">
      <alignment horizontal="left" vertical="center"/>
    </xf>
    <xf numFmtId="0" fontId="6" fillId="3" borderId="11" xfId="0" applyFont="1" applyFill="1" applyBorder="1" applyAlignment="1">
      <alignment horizontal="center" vertical="center" wrapText="1"/>
    </xf>
    <xf numFmtId="0" fontId="6" fillId="3" borderId="9" xfId="0" applyFont="1" applyFill="1" applyBorder="1" applyAlignment="1">
      <alignment horizontal="center" vertical="center"/>
    </xf>
    <xf numFmtId="0" fontId="6" fillId="3" borderId="0" xfId="0" applyFont="1" applyFill="1" applyAlignment="1" applyProtection="1">
      <alignment horizontal="center" vertical="center"/>
      <protection hidden="1"/>
    </xf>
    <xf numFmtId="168" fontId="7" fillId="3" borderId="0" xfId="0" applyNumberFormat="1" applyFont="1" applyFill="1" applyAlignment="1">
      <alignment horizontal="center" vertical="center"/>
    </xf>
    <xf numFmtId="0" fontId="36" fillId="13" borderId="2" xfId="0" applyFont="1" applyFill="1" applyBorder="1" applyAlignment="1" applyProtection="1">
      <alignment horizontal="left" vertical="center" wrapText="1"/>
      <protection locked="0"/>
    </xf>
    <xf numFmtId="0" fontId="7" fillId="3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8" fillId="0" borderId="0" xfId="0" applyFont="1"/>
    <xf numFmtId="0" fontId="39" fillId="0" borderId="0" xfId="0" applyFont="1"/>
    <xf numFmtId="0" fontId="40" fillId="5" borderId="0" xfId="0" applyFont="1" applyFill="1" applyAlignment="1">
      <alignment horizontal="center" vertical="center"/>
    </xf>
    <xf numFmtId="0" fontId="40" fillId="5" borderId="0" xfId="0" applyFont="1" applyFill="1" applyAlignment="1">
      <alignment horizontal="left" vertical="center"/>
    </xf>
    <xf numFmtId="0" fontId="15" fillId="10" borderId="0" xfId="0" applyFont="1" applyFill="1" applyAlignment="1">
      <alignment horizontal="center" vertical="center"/>
    </xf>
    <xf numFmtId="0" fontId="39" fillId="0" borderId="0" xfId="0" applyFont="1" applyAlignment="1">
      <alignment horizontal="left"/>
    </xf>
    <xf numFmtId="0" fontId="39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42" fillId="0" borderId="0" xfId="0" applyFont="1"/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43" fillId="5" borderId="0" xfId="0" applyFont="1" applyFill="1" applyAlignment="1">
      <alignment horizontal="center" vertical="center"/>
    </xf>
    <xf numFmtId="0" fontId="15" fillId="10" borderId="0" xfId="0" applyFont="1" applyFill="1" applyAlignment="1">
      <alignment horizontal="left" vertical="center"/>
    </xf>
    <xf numFmtId="0" fontId="15" fillId="0" borderId="0" xfId="0" applyFont="1" applyAlignment="1">
      <alignment horizontal="right" wrapText="1"/>
    </xf>
    <xf numFmtId="0" fontId="39" fillId="0" borderId="0" xfId="0" applyFont="1" applyAlignment="1">
      <alignment horizontal="center"/>
    </xf>
    <xf numFmtId="0" fontId="37" fillId="5" borderId="0" xfId="0" applyFont="1" applyFill="1" applyAlignment="1">
      <alignment horizontal="center" vertical="center"/>
    </xf>
    <xf numFmtId="0" fontId="37" fillId="0" borderId="0" xfId="0" applyFont="1" applyAlignment="1">
      <alignment horizontal="right" vertical="center"/>
    </xf>
    <xf numFmtId="0" fontId="40" fillId="0" borderId="0" xfId="0" applyFont="1" applyAlignment="1">
      <alignment horizontal="center" vertical="center"/>
    </xf>
    <xf numFmtId="0" fontId="37" fillId="5" borderId="0" xfId="0" applyFont="1" applyFill="1" applyAlignment="1">
      <alignment horizontal="left" vertical="center"/>
    </xf>
    <xf numFmtId="0" fontId="15" fillId="5" borderId="0" xfId="0" applyFont="1" applyFill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18" fillId="17" borderId="0" xfId="0" applyFont="1" applyFill="1" applyAlignment="1">
      <alignment horizontal="center" vertical="center"/>
    </xf>
    <xf numFmtId="0" fontId="18" fillId="18" borderId="0" xfId="0" applyFont="1" applyFill="1" applyAlignment="1">
      <alignment horizontal="center" vertical="center"/>
    </xf>
    <xf numFmtId="0" fontId="44" fillId="0" borderId="0" xfId="0" applyFont="1"/>
    <xf numFmtId="0" fontId="46" fillId="0" borderId="0" xfId="0" applyFont="1"/>
    <xf numFmtId="0" fontId="45" fillId="0" borderId="0" xfId="0" applyFont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25" fillId="0" borderId="0" xfId="0" applyFont="1"/>
    <xf numFmtId="0" fontId="41" fillId="0" borderId="0" xfId="0" applyFont="1" applyAlignment="1">
      <alignment horizont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 applyAlignment="1">
      <alignment horizontal="center" vertical="center"/>
    </xf>
    <xf numFmtId="0" fontId="49" fillId="19" borderId="0" xfId="0" applyFont="1" applyFill="1"/>
    <xf numFmtId="0" fontId="13" fillId="5" borderId="0" xfId="0" applyFont="1" applyFill="1" applyAlignment="1">
      <alignment horizontal="center" vertical="center"/>
    </xf>
    <xf numFmtId="0" fontId="25" fillId="0" borderId="0" xfId="0" applyFont="1" applyAlignment="1">
      <alignment horizontal="left"/>
    </xf>
    <xf numFmtId="0" fontId="50" fillId="0" borderId="0" xfId="0" applyFont="1"/>
    <xf numFmtId="0" fontId="25" fillId="0" borderId="0" xfId="0" applyFont="1" applyAlignment="1">
      <alignment horizontal="center" vertical="center"/>
    </xf>
    <xf numFmtId="0" fontId="51" fillId="0" borderId="0" xfId="0" applyFont="1"/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3" fillId="5" borderId="0" xfId="0" applyFont="1" applyFill="1" applyAlignment="1">
      <alignment horizontal="left" vertical="center"/>
    </xf>
    <xf numFmtId="0" fontId="52" fillId="5" borderId="0" xfId="0" applyFont="1" applyFill="1" applyAlignment="1">
      <alignment horizontal="center" vertical="center"/>
    </xf>
    <xf numFmtId="0" fontId="53" fillId="0" borderId="0" xfId="0" applyFont="1"/>
    <xf numFmtId="0" fontId="54" fillId="20" borderId="36" xfId="1" applyFont="1" applyFill="1" applyBorder="1" applyAlignment="1">
      <alignment horizontal="center"/>
    </xf>
    <xf numFmtId="0" fontId="54" fillId="0" borderId="37" xfId="1" applyFont="1" applyBorder="1" applyAlignment="1">
      <alignment wrapText="1"/>
    </xf>
    <xf numFmtId="0" fontId="54" fillId="0" borderId="37" xfId="1" applyFont="1" applyBorder="1" applyAlignment="1">
      <alignment horizontal="right" wrapText="1"/>
    </xf>
    <xf numFmtId="15" fontId="54" fillId="0" borderId="37" xfId="1" applyNumberFormat="1" applyFont="1" applyBorder="1" applyAlignment="1">
      <alignment horizontal="right" wrapText="1"/>
    </xf>
    <xf numFmtId="0" fontId="54" fillId="0" borderId="37" xfId="2" applyFont="1" applyBorder="1" applyAlignment="1">
      <alignment wrapText="1"/>
    </xf>
    <xf numFmtId="0" fontId="54" fillId="0" borderId="37" xfId="2" applyFont="1" applyBorder="1" applyAlignment="1">
      <alignment horizontal="right" wrapText="1"/>
    </xf>
    <xf numFmtId="15" fontId="54" fillId="0" borderId="37" xfId="2" applyNumberFormat="1" applyFont="1" applyBorder="1" applyAlignment="1">
      <alignment horizontal="right" wrapText="1"/>
    </xf>
    <xf numFmtId="0" fontId="7" fillId="3" borderId="38" xfId="0" applyFont="1" applyFill="1" applyBorder="1" applyAlignment="1">
      <alignment horizontal="center" vertical="center"/>
    </xf>
    <xf numFmtId="0" fontId="6" fillId="3" borderId="23" xfId="0" applyFont="1" applyFill="1" applyBorder="1" applyAlignment="1">
      <alignment horizontal="center" vertical="center" wrapText="1"/>
    </xf>
    <xf numFmtId="0" fontId="6" fillId="3" borderId="39" xfId="0" applyFont="1" applyFill="1" applyBorder="1" applyAlignment="1">
      <alignment horizontal="center" vertical="center" wrapText="1"/>
    </xf>
    <xf numFmtId="0" fontId="26" fillId="11" borderId="31" xfId="0" applyFont="1" applyFill="1" applyBorder="1" applyAlignment="1" applyProtection="1">
      <alignment horizontal="center" vertical="center"/>
      <protection hidden="1"/>
    </xf>
    <xf numFmtId="0" fontId="12" fillId="3" borderId="0" xfId="0" applyFont="1" applyFill="1" applyAlignment="1" applyProtection="1">
      <alignment horizontal="center" vertical="center"/>
      <protection hidden="1"/>
    </xf>
    <xf numFmtId="0" fontId="35" fillId="3" borderId="0" xfId="0" applyFont="1" applyFill="1" applyAlignment="1">
      <alignment horizontal="right" vertical="center"/>
    </xf>
    <xf numFmtId="0" fontId="57" fillId="3" borderId="0" xfId="0" applyFont="1" applyFill="1" applyAlignment="1" applyProtection="1">
      <alignment horizontal="left" vertical="center"/>
      <protection hidden="1"/>
    </xf>
    <xf numFmtId="0" fontId="6" fillId="19" borderId="0" xfId="0" applyFont="1" applyFill="1" applyAlignment="1" applyProtection="1">
      <alignment horizontal="left" vertical="center"/>
      <protection locked="0"/>
    </xf>
    <xf numFmtId="0" fontId="6" fillId="19" borderId="0" xfId="0" applyFont="1" applyFill="1" applyAlignment="1" applyProtection="1">
      <alignment horizontal="right" vertical="center"/>
      <protection hidden="1"/>
    </xf>
    <xf numFmtId="164" fontId="26" fillId="22" borderId="32" xfId="0" applyNumberFormat="1" applyFont="1" applyFill="1" applyBorder="1" applyAlignment="1" applyProtection="1">
      <alignment horizontal="center" vertical="center"/>
      <protection locked="0"/>
    </xf>
    <xf numFmtId="0" fontId="6" fillId="22" borderId="3" xfId="0" applyFont="1" applyFill="1" applyBorder="1" applyAlignment="1" applyProtection="1">
      <alignment horizontal="center" vertical="center"/>
      <protection locked="0"/>
    </xf>
    <xf numFmtId="0" fontId="6" fillId="22" borderId="2" xfId="0" applyFont="1" applyFill="1" applyBorder="1" applyAlignment="1" applyProtection="1">
      <alignment horizontal="center" vertical="center"/>
      <protection locked="0"/>
    </xf>
    <xf numFmtId="0" fontId="18" fillId="10" borderId="25" xfId="0" applyFont="1" applyFill="1" applyBorder="1" applyAlignment="1">
      <alignment horizontal="center" vertical="center"/>
    </xf>
    <xf numFmtId="0" fontId="18" fillId="10" borderId="40" xfId="0" applyFont="1" applyFill="1" applyBorder="1" applyAlignment="1">
      <alignment horizontal="center" vertical="center"/>
    </xf>
    <xf numFmtId="0" fontId="18" fillId="10" borderId="28" xfId="0" applyFont="1" applyFill="1" applyBorder="1" applyAlignment="1">
      <alignment horizontal="center" vertical="center"/>
    </xf>
    <xf numFmtId="0" fontId="57" fillId="3" borderId="0" xfId="0" applyFont="1" applyFill="1" applyAlignment="1" applyProtection="1">
      <alignment horizontal="center" vertical="center"/>
      <protection locked="0"/>
    </xf>
    <xf numFmtId="0" fontId="57" fillId="3" borderId="11" xfId="0" applyFont="1" applyFill="1" applyBorder="1" applyAlignment="1" applyProtection="1">
      <alignment horizontal="center" vertical="center"/>
      <protection locked="0"/>
    </xf>
    <xf numFmtId="0" fontId="57" fillId="3" borderId="9" xfId="0" applyFont="1" applyFill="1" applyBorder="1" applyAlignment="1" applyProtection="1">
      <alignment horizontal="center" vertical="center"/>
      <protection locked="0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0" fontId="6" fillId="0" borderId="43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0" fontId="6" fillId="0" borderId="32" xfId="0" applyFont="1" applyBorder="1" applyAlignment="1">
      <alignment horizontal="center" vertical="center"/>
    </xf>
    <xf numFmtId="0" fontId="6" fillId="0" borderId="0" xfId="0" applyFont="1"/>
    <xf numFmtId="0" fontId="6" fillId="0" borderId="25" xfId="0" applyFont="1" applyBorder="1"/>
    <xf numFmtId="0" fontId="6" fillId="0" borderId="40" xfId="0" applyFont="1" applyBorder="1"/>
    <xf numFmtId="0" fontId="6" fillId="0" borderId="21" xfId="0" applyFont="1" applyBorder="1"/>
    <xf numFmtId="0" fontId="6" fillId="0" borderId="23" xfId="0" applyFont="1" applyBorder="1"/>
    <xf numFmtId="0" fontId="6" fillId="0" borderId="39" xfId="0" applyFont="1" applyBorder="1"/>
    <xf numFmtId="166" fontId="26" fillId="13" borderId="26" xfId="0" applyNumberFormat="1" applyFont="1" applyFill="1" applyBorder="1" applyAlignment="1" applyProtection="1">
      <alignment horizontal="center" vertical="center"/>
      <protection locked="0"/>
    </xf>
    <xf numFmtId="166" fontId="26" fillId="13" borderId="27" xfId="0" applyNumberFormat="1" applyFont="1" applyFill="1" applyBorder="1" applyAlignment="1" applyProtection="1">
      <alignment horizontal="center" vertical="center"/>
      <protection locked="0"/>
    </xf>
    <xf numFmtId="0" fontId="3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9" fillId="21" borderId="16" xfId="0" applyFont="1" applyFill="1" applyBorder="1" applyAlignment="1" applyProtection="1">
      <alignment horizontal="center" vertical="center"/>
      <protection hidden="1"/>
    </xf>
    <xf numFmtId="0" fontId="59" fillId="21" borderId="17" xfId="0" applyFont="1" applyFill="1" applyBorder="1" applyAlignment="1" applyProtection="1">
      <alignment horizontal="center" vertical="center"/>
      <protection hidden="1"/>
    </xf>
    <xf numFmtId="0" fontId="6" fillId="3" borderId="15" xfId="0" applyFont="1" applyFill="1" applyBorder="1" applyAlignment="1">
      <alignment horizontal="right" vertical="center"/>
    </xf>
    <xf numFmtId="0" fontId="6" fillId="3" borderId="16" xfId="0" applyFont="1" applyFill="1" applyBorder="1" applyAlignment="1">
      <alignment horizontal="right" vertical="center"/>
    </xf>
    <xf numFmtId="0" fontId="6" fillId="3" borderId="18" xfId="0" applyFont="1" applyFill="1" applyBorder="1" applyAlignment="1">
      <alignment horizontal="right" vertical="center"/>
    </xf>
    <xf numFmtId="0" fontId="6" fillId="3" borderId="19" xfId="0" applyFont="1" applyFill="1" applyBorder="1" applyAlignment="1">
      <alignment horizontal="right" vertical="center"/>
    </xf>
    <xf numFmtId="0" fontId="14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9" fillId="21" borderId="19" xfId="0" applyFont="1" applyFill="1" applyBorder="1" applyAlignment="1" applyProtection="1">
      <alignment horizontal="center" vertical="center"/>
      <protection hidden="1"/>
    </xf>
    <xf numFmtId="0" fontId="59" fillId="21" borderId="20" xfId="0" applyFont="1" applyFill="1" applyBorder="1" applyAlignment="1" applyProtection="1">
      <alignment horizontal="center" vertical="center"/>
      <protection hidden="1"/>
    </xf>
    <xf numFmtId="0" fontId="6" fillId="3" borderId="3" xfId="0" applyFont="1" applyFill="1" applyBorder="1" applyAlignment="1">
      <alignment horizontal="right" vertical="center"/>
    </xf>
    <xf numFmtId="0" fontId="5" fillId="0" borderId="1" xfId="0" applyFont="1" applyBorder="1" applyAlignment="1">
      <alignment horizontal="right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8" fillId="10" borderId="16" xfId="0" applyFont="1" applyFill="1" applyBorder="1" applyAlignment="1" applyProtection="1">
      <alignment horizontal="center" vertical="center"/>
      <protection locked="0"/>
    </xf>
    <xf numFmtId="0" fontId="28" fillId="10" borderId="17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8" fillId="10" borderId="19" xfId="0" applyFont="1" applyFill="1" applyBorder="1" applyAlignment="1" applyProtection="1">
      <alignment horizontal="center" vertical="center"/>
      <protection locked="0"/>
    </xf>
    <xf numFmtId="0" fontId="28" fillId="10" borderId="20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8" fillId="10" borderId="1" xfId="0" applyFont="1" applyFill="1" applyBorder="1" applyAlignment="1" applyProtection="1">
      <alignment horizontal="center" vertical="center"/>
      <protection locked="0"/>
    </xf>
    <xf numFmtId="0" fontId="28" fillId="10" borderId="2" xfId="0" applyFont="1" applyFill="1" applyBorder="1" applyAlignment="1" applyProtection="1">
      <alignment horizontal="center" vertical="center"/>
      <protection locked="0"/>
    </xf>
    <xf numFmtId="0" fontId="6" fillId="3" borderId="29" xfId="0" applyFont="1" applyFill="1" applyBorder="1" applyAlignment="1">
      <alignment horizontal="right" vertical="center"/>
    </xf>
    <xf numFmtId="0" fontId="6" fillId="3" borderId="6" xfId="0" applyFont="1" applyFill="1" applyBorder="1" applyAlignment="1">
      <alignment horizontal="right" vertical="center"/>
    </xf>
    <xf numFmtId="0" fontId="5" fillId="0" borderId="19" xfId="0" applyFont="1" applyBorder="1" applyAlignment="1">
      <alignment horizontal="right"/>
    </xf>
    <xf numFmtId="0" fontId="5" fillId="0" borderId="16" xfId="0" applyFont="1" applyBorder="1" applyAlignment="1">
      <alignment horizontal="right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8" fillId="13" borderId="1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 vertical="center"/>
      <protection locked="0"/>
    </xf>
    <xf numFmtId="0" fontId="33" fillId="15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left" vertical="top" wrapText="1"/>
      <protection hidden="1"/>
    </xf>
    <xf numFmtId="168" fontId="29" fillId="0" borderId="35" xfId="0" applyNumberFormat="1" applyFont="1" applyBorder="1" applyAlignment="1" applyProtection="1">
      <alignment horizontal="center" vertical="center"/>
      <protection hidden="1"/>
    </xf>
    <xf numFmtId="0" fontId="20" fillId="0" borderId="35" xfId="0" applyFont="1" applyBorder="1" applyAlignment="1" applyProtection="1">
      <alignment horizontal="center" vertical="center"/>
      <protection hidden="1"/>
    </xf>
    <xf numFmtId="0" fontId="32" fillId="16" borderId="35" xfId="0" applyFont="1" applyFill="1" applyBorder="1" applyAlignment="1" applyProtection="1">
      <alignment horizontal="center" vertical="center"/>
      <protection hidden="1"/>
    </xf>
    <xf numFmtId="0" fontId="56" fillId="0" borderId="0" xfId="0" applyFont="1" applyAlignment="1" applyProtection="1">
      <alignment horizontal="left"/>
      <protection hidden="1"/>
    </xf>
    <xf numFmtId="0" fontId="32" fillId="0" borderId="35" xfId="0" applyFont="1" applyBorder="1" applyAlignment="1" applyProtection="1">
      <alignment horizontal="right" vertical="center"/>
      <protection hidden="1"/>
    </xf>
    <xf numFmtId="0" fontId="20" fillId="10" borderId="0" xfId="0" applyFont="1" applyFill="1" applyProtection="1">
      <protection hidden="1"/>
    </xf>
    <xf numFmtId="0" fontId="19" fillId="0" borderId="0" xfId="0" applyFont="1" applyProtection="1">
      <protection hidden="1"/>
    </xf>
    <xf numFmtId="0" fontId="32" fillId="16" borderId="35" xfId="0" applyFont="1" applyFill="1" applyBorder="1" applyAlignment="1" applyProtection="1">
      <alignment horizontal="center" vertical="center" wrapText="1"/>
      <protection hidden="1"/>
    </xf>
    <xf numFmtId="0" fontId="32" fillId="0" borderId="35" xfId="0" applyFont="1" applyBorder="1" applyAlignment="1" applyProtection="1">
      <alignment horizontal="center" vertical="center"/>
      <protection hidden="1"/>
    </xf>
    <xf numFmtId="165" fontId="32" fillId="0" borderId="35" xfId="0" applyNumberFormat="1" applyFont="1" applyBorder="1" applyAlignment="1" applyProtection="1">
      <alignment horizontal="center" vertical="center"/>
      <protection hidden="1"/>
    </xf>
    <xf numFmtId="0" fontId="32" fillId="0" borderId="35" xfId="0" applyFont="1" applyBorder="1" applyAlignment="1" applyProtection="1">
      <alignment horizontal="center" vertical="center" wrapText="1"/>
      <protection hidden="1"/>
    </xf>
    <xf numFmtId="0" fontId="34" fillId="0" borderId="35" xfId="0" applyFont="1" applyBorder="1" applyAlignment="1" applyProtection="1">
      <alignment horizontal="center" vertical="center"/>
      <protection hidden="1"/>
    </xf>
    <xf numFmtId="0" fontId="23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19" fillId="10" borderId="0" xfId="0" applyFont="1" applyFill="1" applyProtection="1">
      <protection hidden="1"/>
    </xf>
    <xf numFmtId="0" fontId="20" fillId="10" borderId="35" xfId="0" applyFont="1" applyFill="1" applyBorder="1" applyProtection="1"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</cellXfs>
  <cellStyles count="4">
    <cellStyle name="Normal" xfId="0" builtinId="0"/>
    <cellStyle name="Normal 2" xfId="3" xr:uid="{011235BD-390D-4F7A-AACA-A4995A436EFE}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21" sqref="D21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20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20_197_PAN_MIL_E2025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197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46028.885416666664</v>
      </c>
      <c r="C3" s="157"/>
      <c r="D3" s="39">
        <v>577</v>
      </c>
      <c r="E3" s="29"/>
      <c r="F3" s="26">
        <f>SUBTOTAL(3,I17:I106)</f>
        <v>5</v>
      </c>
      <c r="G3" s="27">
        <f>IF(OR(D3="",D3=0),"",F3/D3)</f>
        <v>8.6655112651646445E-3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Panathinaikos AKTOR Athens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PAN</v>
      </c>
      <c r="I4" s="5"/>
      <c r="J4" s="119" t="s">
        <v>714</v>
      </c>
      <c r="K4" s="54" t="s">
        <v>742</v>
      </c>
      <c r="L4" s="5"/>
      <c r="M4" s="167" t="s">
        <v>750</v>
      </c>
      <c r="N4" s="168"/>
      <c r="O4" s="2"/>
      <c r="P4" s="2"/>
      <c r="Q4" s="84" t="s">
        <v>175</v>
      </c>
      <c r="R4" s="94">
        <f>(IF(G3="",0,G3))</f>
        <v>8.6655112651646445E-3</v>
      </c>
      <c r="S4" s="61">
        <f>SUM(I13:M13)</f>
        <v>0</v>
      </c>
      <c r="T4" s="78"/>
      <c r="U4" s="61">
        <f>AC18</f>
        <v>3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EA7 Emporio Armani Milan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0.86655112651646449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729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5.3665511265164643</v>
      </c>
      <c r="N7" s="58"/>
      <c r="O7" s="2"/>
      <c r="P7" s="2"/>
      <c r="Q7" s="86">
        <f>SUM(R5,S5,AC16)</f>
        <v>5.3665511265164643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731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5.3665511265164643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733</v>
      </c>
      <c r="E9" s="179"/>
      <c r="F9" s="179"/>
      <c r="G9" s="180"/>
      <c r="H9" s="130" t="str">
        <f>VLOOKUP($H$4,Teams!$B$3:$O$44,3,FALSE)</f>
        <v>EMMANOUIL SMPOKOS</v>
      </c>
      <c r="I9" s="130" t="str">
        <f>VLOOKUP($H$4,Teams!$B$3:$O$44,3,FALSE)</f>
        <v>EMMANOUIL SMPOKOS</v>
      </c>
      <c r="J9" s="130" t="str">
        <f>VLOOKUP($H$4,Teams!$B$3:$O$44,5,FALSE)</f>
        <v>PANAGIOTIS MORAITIS</v>
      </c>
      <c r="K9" s="130" t="str">
        <f>VLOOKUP($H$4,Teams!$B$3:$O$44,6,FALSE)</f>
        <v>MARIA MERIKA</v>
      </c>
      <c r="L9" s="130" t="str">
        <f>VLOOKUP($H$4,Teams!$B$3:$O$44,7,FALSE)</f>
        <v>PANAGIOTA TSICHLI</v>
      </c>
      <c r="M9" s="131" t="str">
        <f>VLOOKUP($H$4,Teams!$B$3:$O$44,8,FALSE)</f>
        <v>KONSTANTINOS TROUPIS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752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753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197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754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4.5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197</v>
      </c>
      <c r="D17" s="32" t="s">
        <v>757</v>
      </c>
      <c r="E17" s="33" t="s">
        <v>755</v>
      </c>
      <c r="F17" s="36">
        <v>71</v>
      </c>
      <c r="G17" s="36">
        <v>82</v>
      </c>
      <c r="H17" s="38" t="str">
        <f>IF(I17="","",$I$14)</f>
        <v>SCOUTING</v>
      </c>
      <c r="I17" s="34">
        <v>572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197</v>
      </c>
      <c r="D18" s="32" t="s">
        <v>758</v>
      </c>
      <c r="E18" s="33" t="s">
        <v>755</v>
      </c>
      <c r="F18" s="36">
        <v>69</v>
      </c>
      <c r="G18" s="36">
        <v>82</v>
      </c>
      <c r="H18" s="38" t="str">
        <f t="shared" ref="H18:H81" si="8">IF(I18="","",$I$14)</f>
        <v>SCOUTING</v>
      </c>
      <c r="I18" s="34">
        <v>566</v>
      </c>
      <c r="J18" s="13" t="s">
        <v>4</v>
      </c>
      <c r="K18" s="13" t="s">
        <v>63</v>
      </c>
      <c r="L18" s="13" t="s">
        <v>6</v>
      </c>
      <c r="M18" s="13" t="s">
        <v>12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197</v>
      </c>
      <c r="D19" s="32" t="s">
        <v>759</v>
      </c>
      <c r="E19" s="33" t="s">
        <v>755</v>
      </c>
      <c r="F19" s="36">
        <v>65</v>
      </c>
      <c r="G19" s="36">
        <v>71</v>
      </c>
      <c r="H19" s="38" t="str">
        <f t="shared" si="8"/>
        <v>SCOUTING</v>
      </c>
      <c r="I19" s="34">
        <v>525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197</v>
      </c>
      <c r="D20" s="32" t="s">
        <v>760</v>
      </c>
      <c r="E20" s="33" t="s">
        <v>755</v>
      </c>
      <c r="F20" s="36">
        <v>58</v>
      </c>
      <c r="G20" s="36">
        <v>61</v>
      </c>
      <c r="H20" s="38" t="str">
        <f t="shared" si="8"/>
        <v>SCOUTING</v>
      </c>
      <c r="I20" s="34">
        <v>457</v>
      </c>
      <c r="J20" s="13" t="s">
        <v>4</v>
      </c>
      <c r="K20" s="13" t="s">
        <v>63</v>
      </c>
      <c r="L20" s="13" t="s">
        <v>5</v>
      </c>
      <c r="M20" s="13" t="s">
        <v>168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4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197</v>
      </c>
      <c r="D21" s="32" t="s">
        <v>761</v>
      </c>
      <c r="E21" s="33" t="s">
        <v>756</v>
      </c>
      <c r="F21" s="36">
        <v>48</v>
      </c>
      <c r="G21" s="36">
        <v>51</v>
      </c>
      <c r="H21" s="38" t="str">
        <f t="shared" si="8"/>
        <v>SCOUTING</v>
      </c>
      <c r="I21" s="34">
        <v>350</v>
      </c>
      <c r="J21" s="13" t="s">
        <v>4</v>
      </c>
      <c r="K21" s="13" t="s">
        <v>63</v>
      </c>
      <c r="L21" s="13" t="s">
        <v>48</v>
      </c>
      <c r="M21" s="13" t="s">
        <v>27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REPORT_E2025197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"E2025197"</v>
      </c>
      <c r="F3" s="45" t="str">
        <f t="shared" ref="F3:F16" si="0">""""&amp;B3&amp;"""" &amp; " : " &amp;C3&amp;","</f>
        <v>"name" : "E2025197",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"E197"</v>
      </c>
      <c r="F4" s="45" t="str">
        <f t="shared" si="0"/>
        <v>"cod" : "E197",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197</v>
      </c>
      <c r="F6" s="45" t="str">
        <f t="shared" si="0"/>
        <v>"number" : 197,</v>
      </c>
    </row>
    <row r="7" spans="2:6" x14ac:dyDescent="0.25">
      <c r="B7" s="43" t="s">
        <v>116</v>
      </c>
      <c r="C7" s="43" t="str">
        <f ca="1">""""&amp;TEXT('SCOUT &amp; LOGISTICS'!B3,"dd/mm/aaaa")&amp;""""</f>
        <v>"06/01/2026"</v>
      </c>
      <c r="F7" s="45" t="str">
        <f t="shared" ca="1" si="0"/>
        <v>"date" : "06/01/2026",</v>
      </c>
    </row>
    <row r="8" spans="2:6" x14ac:dyDescent="0.25">
      <c r="B8" s="43" t="s">
        <v>125</v>
      </c>
      <c r="C8" s="43" t="str">
        <f>""""&amp;'SCOUT &amp; LOGISTICS'!D4 &amp;""""</f>
        <v>"Panathinaikos AKTOR Athens"</v>
      </c>
      <c r="F8" s="45" t="str">
        <f t="shared" si="0"/>
        <v>"home_team" : "Panathinaikos AKTOR Athens",</v>
      </c>
    </row>
    <row r="9" spans="2:6" x14ac:dyDescent="0.25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"IOANNIS TRIANTAFYLLOU"</v>
      </c>
      <c r="F10" s="45" t="str">
        <f t="shared" si="0"/>
        <v>"Data_entry" : "IOANNIS TRIANTAFYLLOU",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"EMMANOUIL SMPOKOS"</v>
      </c>
      <c r="F11" s="45" t="str">
        <f t="shared" si="0"/>
        <v>"Caller_1" : "EMMANOUIL SMPOKOS",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"PANAGIOTIS MORAITIS"</v>
      </c>
      <c r="F12" s="45" t="str">
        <f t="shared" si="0"/>
        <v>"Caller_2" : "PANAGIOTIS MORAITIS",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"PANAGIOTA TSICHLI"</v>
      </c>
      <c r="F13" s="45" t="str">
        <f t="shared" si="0"/>
        <v>"Timerkeeper" : "PANAGIOTA TSICHLI",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"THEODOROS TZAMALOUKAS"</v>
      </c>
      <c r="F14" s="45" t="str">
        <f t="shared" si="0"/>
        <v>"Shotclock" : "THEODOROS TZAMALOUKAS",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"PANAGIOTIS KALESIORIS"</v>
      </c>
      <c r="F15" s="45" t="str">
        <f t="shared" si="0"/>
        <v>"IRS" : "PANAGIOTIS KALESIORIS",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577</v>
      </c>
      <c r="F25" s="45" t="str">
        <f t="shared" ref="F25:F48" si="1">""""&amp;C25&amp;"""" &amp; " : " &amp;D25&amp;","</f>
        <v>"total_actions" : 577,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"0,9%"</v>
      </c>
      <c r="F27" s="45" t="str">
        <f t="shared" si="1"/>
        <v>"%_corrections" : "0,9%",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4</v>
      </c>
      <c r="F34" s="45" t="str">
        <f t="shared" si="1"/>
        <v>"q4" : 4,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"Really good job! Some more corrections at the end of the game, but nothing to worry about. Keep it up!"</v>
      </c>
      <c r="F51" s="45" t="str">
        <f>""""&amp;B51&amp;"""" &amp; " : " &amp;C51&amp;","</f>
        <v>"comments" : "Really good job! Some more corrections at the end of the game, but nothing to worry about. Keep it up!",</v>
      </c>
    </row>
    <row r="52" spans="2:6" x14ac:dyDescent="0.25">
      <c r="B52" s="43" t="s">
        <v>153</v>
      </c>
      <c r="C52" s="43" t="str">
        <f>TEXT('SCOUT &amp; LOGISTICS'!F1,"0,0")</f>
        <v>20_197_PAN_MIL_E2025</v>
      </c>
      <c r="F52" s="45" t="str">
        <f>""""&amp;B52&amp;"""" &amp; " : " &amp;C52</f>
        <v>"result" : 20_197_PAN_MIL_E2025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E197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06/01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Panathinaikos Aktor Athens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Ea7 Emporio Armani Milan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IOANNIS TRIANTAFYLLOU</v>
      </c>
      <c r="C8" s="206"/>
      <c r="D8" s="206"/>
      <c r="E8" s="206"/>
      <c r="F8" s="206"/>
      <c r="G8" s="206" t="str">
        <f>IF('SCOUT &amp; LOGISTICS'!D7="","",'SCOUT &amp; LOGISTICS'!D7)</f>
        <v>EMMANOUIL SMPOKOS</v>
      </c>
      <c r="H8" s="206"/>
      <c r="I8" s="206"/>
      <c r="J8" s="206"/>
      <c r="K8" s="206"/>
      <c r="L8" s="206" t="str">
        <f>IF('SCOUT &amp; LOGISTICS'!D8="","",'SCOUT &amp; LOGISTICS'!D8)</f>
        <v>PANAGIOTIS MORAITIS</v>
      </c>
      <c r="M8" s="206"/>
      <c r="N8" s="206"/>
      <c r="O8" s="206"/>
      <c r="P8" s="206"/>
      <c r="Q8" s="206" t="str">
        <f>IF('SCOUT &amp; LOGISTICS'!D9="","",'SCOUT &amp; LOGISTICS'!D9)</f>
        <v>PANAGIOTA TSICHLI</v>
      </c>
      <c r="R8" s="206"/>
      <c r="S8" s="206"/>
      <c r="T8" s="206"/>
      <c r="U8" s="206"/>
      <c r="V8" s="206" t="str">
        <f>IF('SCOUT &amp; LOGISTICS'!D10="","",'SCOUT &amp; LOGISTICS'!D10)</f>
        <v>THEODOROS TZAMALOUKAS</v>
      </c>
      <c r="W8" s="206"/>
      <c r="X8" s="206"/>
      <c r="Y8" s="206"/>
      <c r="Z8" s="206"/>
      <c r="AA8" s="206" t="str">
        <f>IF('SCOUT &amp; LOGISTICS'!D11="","",'SCOUT &amp; LOGISTICS'!D11)</f>
        <v>PANAGIOTIS KALESIORIS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577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8.6655112651646445E-3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4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Really good job! Some more corrections at the end of the game, but nothing to worry about.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5.3665511265164643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4D75CF1-995F-479D-8776-846357D4DED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2026-01-07T15:10:12Z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