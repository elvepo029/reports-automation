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06" documentId="8_{8B9B4CBD-305E-4B00-B06A-144BD15A67A2}" xr6:coauthVersionLast="47" xr6:coauthVersionMax="47" xr10:uidLastSave="{02583703-ABF1-4278-9B44-FE302F241F97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<sst xmlns="http://schemas.openxmlformats.org/spreadsheetml/2006/main" count="3290" uniqueCount="767">
  <si>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</si>
  <si>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</si>
  <si>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</si>
  <si>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</si>
  <si>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</si>
  <si>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</si>
  <si>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</si>
  <si>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</si>
  <si>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</si>
  <si>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</si>
  <si>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</si>
  <si>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</si>
  <si>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</si>
  <si>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</si>
  <si>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</si>
  <si>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</si>
  <si>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</si>
  <si>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</si>
  <si>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</si>
  <si>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</si>
  <si>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</si>
  <si>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</si>
  <si>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</si>
  <si>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</si>
  <si>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</si>
  <si>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</si>
  <si>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</si>
  <si>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</si>
  <si>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</si>
  <si>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</si>
  <si>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</si>
  <si>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</si>
  <si>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</si>
  <si>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</si>
  <si>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</si>
  <si>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</si>
  <si>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</si>
  <si>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</si>
  <si>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</si>
  <si>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</si>
  <si>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</si>
  <si>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</si>
  <si>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</si>
  <si>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</si>
  <si>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</si>
  <si>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</si>
  <si>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</si>
  <si>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</si>
  <si>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</si>
  <si>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</si>
  <si>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</si>
  <si>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</si>
  <si>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</si>
  <si>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</si>
  <si>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</si>
  <si>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</si>
  <si>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</si>
  <si>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</si>
  <si>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</si>
  <si>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</si>
  <si>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</si>
  <si>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</si>
  <si>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</si>
  <si>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</si>
  <si>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</si>
  <si>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</si>
  <si>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</si>
  <si>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</si>
  <si>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</si>
  <si>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</si>
  <si>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</si>
  <si>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</si>
  <si>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</si>
  <si>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</si>
  <si>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</si>
  <si>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</si>
  <si>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</si>
  <si>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</si>
  <si>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</si>
  <si>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</si>
  <si>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</si>
  <si>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</si>
  <si>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</si>
  <si>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</si>
  <si>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</si>
  <si>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</si>
  <si>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</si>
  <si>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</si>
  <si>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</si>
  <si>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</si>
  <si>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</si>
  <si>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</si>
  <si>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</si>
  <si>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</si>
  <si>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</si>
  <si>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</si>
  <si>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</si>
  <si>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</si>
  <si>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</si>
  <si>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</si>
  <si>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</si>
  <si>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</si>
  <si>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</si>
  <si>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</si>
  <si>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</si>
  <si>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</si>
  <si>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</si>
  <si>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</si>
  <si>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</si>
  <si>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</si>
  <si>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</si>
  <si>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</si>
  <si>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</si>
  <si>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</si>
  <si>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</si>
  <si>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</si>
  <si>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</si>
  <si>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</si>
  <si>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</si>
  <si>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</si>
  <si>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</si>
  <si>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</si>
  <si>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</si>
  <si>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</si>
  <si>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</si>
  <si>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</si>
  <si>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</si>
  <si>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</si>
  <si>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</si>
  <si>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</si>
  <si>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</si>
  <si>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</si>
  <si>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</si>
  <si>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</si>
  <si>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</si>
  <si>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</si>
  <si>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</si>
  <si>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</si>
  <si>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</si>
  <si>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</si>
  <si>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</si>
  <si>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</si>
  <si>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</si>
  <si>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</si>
  <si>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</si>
  <si>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</si>
  <si>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</si>
  <si>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</si>
  <si>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</si>
  <si>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</si>
  <si>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</si>
  <si>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</si>
  <si>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</si>
  <si>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</si>
  <si>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</si>
  <si>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</si>
  <si>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</si>
  <si>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</si>
  <si>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</si>
  <si>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</si>
  <si>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</si>
  <si>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</si>
  <si>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</si>
  <si>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</si>
  <si>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</si>
  <si>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</si>
  <si>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</si>
  <si>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</si>
  <si>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</si>
  <si>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</si>
  <si>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</si>
  <si>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</si>
  <si>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</si>
  <si>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</si>
  <si>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</si>
  <si>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</si>
  <si>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</si>
  <si>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</si>
  <si>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</si>
  <si>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</si>
  <si>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</si>
  <si>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</si>
  <si>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</si>
  <si>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</si>
  <si>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</si>
  <si>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</si>
  <si>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</si>
  <si>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</si>
  <si>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</si>
  <si>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</si>
  <si>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</si>
  <si>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</si>
  <si>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</si>
  <si>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</si>
  <si>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</si>
  <si>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</si>
  <si>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</si>
  <si>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</si>
  <si>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</si>
  <si>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</si>
  <si>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</si>
  <si>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</si>
  <si>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</si>
  <si>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</si>
  <si>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</si>
  <si>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</si>
  <si>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</si>
  <si>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</si>
  <si>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</si>
  <si>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</si>
  <si>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</si>
  <si>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</si>
  <si>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</si>
  <si>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</si>
  <si>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</si>
  <si>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</si>
  <si>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</si>
  <si>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</si>
  <si>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</si>
  <si>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</si>
  <si>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</si>
  <si>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</si>
  <si>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</si>
  <si>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</si>
  <si>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</si>
  <si>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</si>
  <si>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</si>
  <si>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</si>
  <si>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</si>
  <si>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</si>
  <si>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</si>
  <si>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</si>
  <si>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</si>
  <si>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</si>
  <si>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</si>
  <si>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</si>
  <si>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</si>
  <si>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</si>
  <si>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</si>
  <si>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</si>
  <si>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</si>
  <si>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</si>
  <si>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</si>
  <si>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</si>
  <si>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</si>
  <si>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</si>
  <si>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</si>
  <si>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</si>
  <si>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</si>
  <si>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</si>
  <si>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</si>
  <si>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</si>
  <si>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</si>
  <si>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</si>
  <si>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</si>
  <si>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</si>
  <si>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</si>
  <si>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</si>
  <si>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</si>
  <si>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</si>
  <si>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</si>
  <si>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</si>
  <si>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</si>
  <si>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</si>
  <si>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</si>
  <si>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</si>
  <si>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</si>
  <si>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</si>
  <si>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</si>
  <si>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</si>
  <si>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</si>
  <si>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</si>
  <si>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</si>
  <si>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</si>
  <si>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</si>
  <si>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</si>
  <si>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</si>
  <si>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</si>
  <si>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</si>
  <si>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</si>
  <si>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</si>
  <si>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</si>
  <si>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</si>
  <si>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</si>
  <si>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</si>
  <si>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</si>
  <si>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</si>
  <si>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</si>
  <si>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</si>
  <si>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</si>
  <si>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</si>
  <si>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</si>
  <si>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</si>
  <si>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</si>
  <si>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</si>
  <si>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</si>
  <si>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</si>
  <si>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</si>
  <si>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</si>
  <si>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</si>
  <si>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</si>
  <si>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</si>
  <si>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</si>
  <si>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</si>
  <si>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</si>
  <si>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</si>
  <si>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</si>
  <si>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</si>
  <si>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</si>
  <si>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</si>
  <si>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</si>
  <si>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</si>
  <si>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</si>
  <si>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</si>
  <si>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</si>
  <si>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</si>
  <si>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</si>
  <si>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</si>
  <si>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</si>
  <si>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</si>
  <si>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</si>
  <si>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</si>
  <si>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</si>
  <si>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</si>
  <si>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</si>
  <si>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</si>
  <si>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</si>
  <si>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</si>
  <si>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</si>
  <si>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</si>
  <si>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</si>
  <si>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</si>
  <si>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</si>
  <si>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</si>
  <si>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</si>
  <si>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</si>
  <si>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</si>
  <si>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</si>
  <si>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</si>
  <si>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</si>
  <si>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</si>
  <si>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</si>
  <si>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</si>
  <si>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</si>
  <si>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</si>
  <si>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</si>
  <si>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</si>
  <si>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</si>
  <si>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</si>
  <si>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</si>
  <si>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</si>
  <si>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</si>
  <si>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</si>
  <si>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</si>
  <si>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</si>
  <si>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</si>
  <si>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</si>
  <si>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</si>
  <si>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</si>
  <si>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</si>
  <si>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</si>
  <si>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</si>
  <si>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</si>
  <si>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</si>
  <si>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</si>
  <si>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</si>
  <si>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</si>
  <si>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</si>
  <si>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</si>
  <si>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</si>
  <si>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</si>
  <si>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</si>
  <si>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</si>
  <si>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</si>
  <si>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</si>
  <si>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</si>
  <si>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</si>
  <si>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</si>
  <si>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</si>
  <si>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</si>
  <si>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</si>
  <si>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</si>
  <si>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</si>
  <si>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</si>
  <si>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</si>
  <si>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</si>
  <si>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</si>
  <si>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</si>
  <si>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</si>
  <si>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</si>
  <si>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</si>
  <si>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</si>
  <si>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</si>
  <si>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</si>
  <si>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</si>
  <si>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</si>
  <si>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</si>
  <si>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</si>
  <si>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</si>
  <si>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</si>
  <si>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</si>
  <si>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</si>
  <si>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</si>
  <si>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</si>
  <si>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</si>
  <si>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</si>
  <si>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</si>
  <si>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</si>
  <si>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</si>
  <si>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</si>
  <si>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</si>
  <si>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</si>
  <si>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</si>
  <si>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</si>
  <si>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</si>
  <si>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</si>
  <si>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</si>
  <si>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</si>
  <si>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</si>
  <si>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</si>
  <si>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</si>
  <si>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</si>
  <si>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</si>
  <si>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</si>
  <si>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</si>
  <si>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</si>
  <si>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</si>
  <si>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</si>
  <si>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</si>
  <si>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</si>
  <si>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</si>
  <si>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</si>
  <si>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</si>
  <si>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</si>
  <si>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</si>
  <si>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</si>
  <si>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</si>
  <si>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</si>
  <si>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</si>
  <si>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</si>
  <si>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</si>
  <si>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</si>
  <si>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</si>
  <si>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</si>
  <si>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</si>
  <si>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</si>
  <si>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</si>
  <si>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</si>
  <si>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</si>
  <si>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</si>
  <si>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</si>
  <si>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</si>
  <si>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</si>
  <si>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</si>
  <si>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</si>
  <si>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</si>
  <si>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</si>
  <si>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</si>
  <si>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</si>
  <si>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</si>
  <si>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</si>
  <si>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</si>
  <si>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</si>
  <si>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</si>
  <si>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</si>
  <si>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</si>
  <si>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</si>
  <si>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</si>
  <si>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</si>
  <si>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</si>
  <si>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</si>
  <si>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</si>
  <si>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</si>
  <si>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</si>
  <si>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</si>
  <si>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</si>
  <si>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</si>
  <si>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</si>
  <si>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</si>
  <si>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</si>
  <si>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</si>
  <si>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</si>
  <si>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</si>
  <si>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</si>
  <si>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</si>
  <si>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</si>
  <si>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</si>
  <si>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</si>
  <si>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</si>
  <si>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</si>
  <si>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</si>
  <si>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</si>
  <si>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</si>
  <si>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</si>
  <si>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</si>
  <si>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</si>
  <si>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</si>
  <si>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</si>
  <si>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</si>
  <si>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</si>
  <si>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</si>
  <si>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</si>
  <si>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</si>
  <si>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</si>
  <si>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</si>
  <si>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</si>
  <si>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</si>
  <si>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</si>
  <si>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</si>
  <si>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</si>
  <si>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</si>
  <si>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</si>
  <si>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</si>
  <si>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</si>
  <si>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</si>
  <si>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</si>
  <si>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</si>
  <si>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</si>
  <si>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</si>
  <si>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</si>
  <si>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</si>
  <si>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</si>
  <si>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</si>
  <si>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</si>
  <si>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</si>
  <si>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</si>
  <si>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</si>
  <si>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</si>
  <si>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</si>
  <si>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</si>
  <si>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</si>
  <si>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</si>
  <si>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</si>
  <si>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</si>
  <si>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</si>
  <si>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</si>
  <si>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</si>
  <si>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</si>
  <si>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</si>
  <si>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</si>
  <si>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</si>
  <si>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</si>
  <si>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</si>
  <si>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</si>
  <si>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</si>
  <si>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</si>
  <si>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</si>
  <si>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</si>
  <si>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</si>
  <si>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</si>
  <si>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</si>
  <si>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</si>
  <si>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</si>
  <si>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</si>
  <si>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</si>
  <si>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</si>
  <si>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</si>
  <si>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</si>
  <si>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</si>
  <si>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</si>
  <si>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</si>
  <si>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</si>
  <si>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</si>
  <si>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</si>
  <si>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</si>
  <si>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</si>
  <si>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</si>
  <si>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</si>
  <si>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</si>
  <si>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</si>
  <si>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</si>
  <si>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</si>
  <si>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</si>
  <si>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</si>
  <si>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</si>
  <si>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</si>
  <si>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</si>
  <si>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</si>
  <si>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</si>
  <si>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</si>
  <si>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</si>
  <si>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</si>
  <si>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</si>
  <si>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</si>
  <si>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</si>
  <si>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</si>
  <si>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</si>
  <si>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</si>
  <si>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</si>
  <si>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</si>
  <si>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</si>
  <si>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</si>
  <si>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</si>
  <si>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</si>
  <si>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</si>
  <si>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</si>
  <si>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</si>
  <si>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</si>
  <si>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</si>
  <si>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</si>
  <si>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</si>
  <si>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</si>
  <si>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</si>
  <si>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</si>
  <si>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</si>
  <si>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</si>
  <si>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</si>
  <si>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</si>
  <si>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</si>
  <si>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</si>
  <si>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</si>
  <si>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</si>
  <si>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</si>
  <si>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</si>
  <si>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</si>
  <si>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</si>
  <si>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</si>
  <si>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</si>
  <si>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</si>
  <si>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</si>
  <si>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</si>
  <si>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</si>
  <si>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</si>
  <si>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</si>
  <si>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</si>
  <si>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</si>
  <si>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</si>
  <si>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</si>
  <si>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</si>
  <si>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</si>
  <si>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</si>
  <si>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</si>
  <si>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</si>
  <si>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</si>
  <si>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</si>
  <si>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</si>
  <si>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</si>
  <si>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</si>
  <si>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</si>
  <si>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</si>
  <si>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</si>
  <si>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</si>
  <si>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</si>
  <si>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</si>
  <si>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</si>
  <si>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</si>
  <si>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</si>
  <si>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</si>
  <si>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</si>
  <si>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</si>
  <si>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</si>
  <si>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</si>
  <si>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</si>
  <si>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</si>
  <si>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</si>
  <si>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</si>
  <si>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</si>
  <si>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</si>
  <si>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</si>
  <si>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</si>
  <si>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</si>
  <si>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</si>
  <si>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</si>
  <si>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</si>
  <si>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</si>
  <si>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</si>
  <si>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</si>
  <si>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</si>
  <si>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</si>
  <si>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</si>
  <si>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</si>
  <si>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</si>
  <si>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</si>
  <si>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</si>
  <si>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</si>
  <si>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</si>
  <si>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</si>
  <si>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</si>
  <si>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</si>
  <si>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</si>
  <si>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</si>
  <si>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</si>
  <si>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</si>
  <si>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</si>
  <si>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</si>
  <si>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</si>
  <si>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</si>
  <si>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</si>
  <si>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</si>
  <si>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</si>
  <si>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</si>
  <si>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</si>
  <si>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</si>
  <si>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</si>
  <si>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</si>
  <si>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</si>
  <si>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</si>
  <si>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</si>
  <si>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</si>
  <si>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</si>
  <si>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</si>
  <si>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</si>
  <si>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</si>
  <si>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</si>
  <si>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</si>
  <si>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</si>
  <si>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</si>
  <si>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</si>
  <si>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</si>
  <si>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</si>
  <si>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</si>
  <si>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</si>
  <si>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</si>
  <si>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</si>
  <si>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</si>
  <si>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</si>
  <si>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</si>
  <si>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</si>
  <si>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</si>
  <si>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</si>
  <si>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</si>
  <si>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</si>
  <si>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</si>
  <si>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</si>
  <si>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</si>
  <si>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</si>
  <si>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</si>
  <si>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</si>
  <si>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</si>
  <si>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</si>
  <si>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</si>
  <si>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</si>
  <si>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</si>
  <si>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</si>
  <si>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</si>
  <si>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</si>
  <si>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</si>
  <si>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</si>
  <si>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</si>
  <si>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</si>
  <si>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</si>
  <si>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</si>
  <si>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</si>
  <si>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</si>
  <si>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</si>
  <si>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</si>
  <si>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</si>
  <si>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</si>
  <si>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</si>
  <si>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</si>
  <si>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</si>
  <si>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09:45</t>
  </si>
  <si>
    <t>07:01</t>
  </si>
  <si>
    <t>03:22</t>
  </si>
  <si>
    <t>02:32</t>
  </si>
  <si>
    <t>00:47</t>
  </si>
  <si>
    <t>08:50</t>
  </si>
  <si>
    <t>05:38</t>
  </si>
  <si>
    <t>01:04</t>
  </si>
  <si>
    <t>First of all, you mixed up Zalgiris’ number 1 and number 7 twice. Maybe it would be worth learning the visitor teams’ players instead of relying on looking at the shirt numbers. Regarding the rebounding, I didn’t want to touch too much, but I would like to point out that in the rebounds where there was a tip, you noted identical situations differently.</t>
  </si>
  <si>
    <t>GIACOMO CAMPANELLA</t>
  </si>
  <si>
    <t>EDOARDO GAUDENZI</t>
  </si>
  <si>
    <t>MATTEO PAGLIARA</t>
  </si>
  <si>
    <t>FRANCESCA DONNICI</t>
  </si>
  <si>
    <t>GIADA GUIDA</t>
  </si>
  <si>
    <t>FEDERICO GRAZI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</si>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</sst>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20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20_198_VIR_ZAL_E2025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198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46028.854166666664</v>
      </c>
      <c r="C3" s="157"/>
      <c r="D3" s="39">
        <v>614</v>
      </c>
      <c r="E3" s="29"/>
      <c r="F3" s="26">
        <f>SUBTOTAL(3,I17:I106)</f>
        <v>9</v>
      </c>
      <c r="G3" s="27">
        <f>IF(OR(D3="",D3=0),"",F3/D3)</f>
        <v>1.4657980456026058E-2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Virtus Bologna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1.4657980456026058E-2</v>
      </c>
      <c r="S4" s="61">
        <f>SUM(I13:M13)</f>
        <v>0</v>
      </c>
      <c r="T4" s="78"/>
      <c r="U4" s="61">
        <f>AC18</f>
        <v>4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Zalgiris Kaunas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1.4657980456026058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760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761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11.465798045602606</v>
      </c>
      <c r="N7" s="58"/>
      <c r="O7" s="2"/>
      <c r="P7" s="2"/>
      <c r="Q7" s="86">
        <f>SUM(R5,S5,AC16)</f>
        <v>11.465798045602606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762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11.465798045602606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763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764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765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198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198</v>
      </c>
      <c r="D17" s="32" t="s">
        <v>751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6</v>
      </c>
      <c r="J17" s="13" t="s">
        <v>4</v>
      </c>
      <c r="K17" s="13" t="s">
        <v>63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6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1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198</v>
      </c>
      <c r="D18" s="32" t="s">
        <v>751</v>
      </c>
      <c r="E18" s="33">
        <v>1</v>
      </c>
      <c r="F18" s="36">
        <v>0</v>
      </c>
      <c r="G18" s="36">
        <v>0</v>
      </c>
      <c r="H18" s="38" t="str">
        <f t="shared" ref="H18:H81" si="8">IF(I18="","",$I$14)</f>
        <v>SCOUTING</v>
      </c>
      <c r="I18" s="34">
        <v>7</v>
      </c>
      <c r="J18" s="13" t="s">
        <v>4</v>
      </c>
      <c r="K18" s="13" t="s">
        <v>62</v>
      </c>
      <c r="L18" s="13" t="s">
        <v>6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198</v>
      </c>
      <c r="D19" s="32" t="s">
        <v>752</v>
      </c>
      <c r="E19" s="33">
        <v>1</v>
      </c>
      <c r="F19" s="36">
        <v>9</v>
      </c>
      <c r="G19" s="36">
        <v>4</v>
      </c>
      <c r="H19" s="38" t="str">
        <f t="shared" si="8"/>
        <v>SCOUTING</v>
      </c>
      <c r="I19" s="34">
        <v>34</v>
      </c>
      <c r="J19" s="13" t="s">
        <v>4</v>
      </c>
      <c r="K19" s="13" t="s">
        <v>63</v>
      </c>
      <c r="L19" s="13" t="s">
        <v>5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198</v>
      </c>
      <c r="D20" s="32" t="s">
        <v>753</v>
      </c>
      <c r="E20" s="33">
        <v>1</v>
      </c>
      <c r="F20" s="36">
        <v>18</v>
      </c>
      <c r="G20" s="36">
        <v>12</v>
      </c>
      <c r="H20" s="38" t="str">
        <f t="shared" si="8"/>
        <v>SCOUTING</v>
      </c>
      <c r="I20" s="34">
        <v>88</v>
      </c>
      <c r="J20" s="13" t="s">
        <v>4</v>
      </c>
      <c r="K20" s="13" t="s">
        <v>63</v>
      </c>
      <c r="L20" s="13" t="s">
        <v>7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198</v>
      </c>
      <c r="D21" s="32" t="s">
        <v>754</v>
      </c>
      <c r="E21" s="33">
        <v>1</v>
      </c>
      <c r="F21" s="36">
        <v>23</v>
      </c>
      <c r="G21" s="36">
        <v>16</v>
      </c>
      <c r="H21" s="38" t="str">
        <f t="shared" si="8"/>
        <v>SCOUTING</v>
      </c>
      <c r="I21" s="34">
        <v>102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198</v>
      </c>
      <c r="D22" s="32" t="s">
        <v>755</v>
      </c>
      <c r="E22" s="33">
        <v>1</v>
      </c>
      <c r="F22" s="36">
        <v>25</v>
      </c>
      <c r="G22" s="36">
        <v>18</v>
      </c>
      <c r="H22" s="38" t="str">
        <f t="shared" si="8"/>
        <v>SCOUTING</v>
      </c>
      <c r="I22" s="34">
        <v>125</v>
      </c>
      <c r="J22" s="13" t="s">
        <v>4</v>
      </c>
      <c r="K22" s="13" t="s">
        <v>63</v>
      </c>
      <c r="L22" s="13" t="s">
        <v>6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198</v>
      </c>
      <c r="D23" s="32" t="s">
        <v>756</v>
      </c>
      <c r="E23" s="33">
        <v>3</v>
      </c>
      <c r="F23" s="36">
        <v>43</v>
      </c>
      <c r="G23" s="36">
        <v>34</v>
      </c>
      <c r="H23" s="38" t="str">
        <f t="shared" si="8"/>
        <v>SCOUTING</v>
      </c>
      <c r="I23" s="34">
        <v>313</v>
      </c>
      <c r="J23" s="13" t="s">
        <v>4</v>
      </c>
      <c r="K23" s="13" t="s">
        <v>62</v>
      </c>
      <c r="L23" s="13" t="s">
        <v>5</v>
      </c>
      <c r="M23" s="13" t="s">
        <v>28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198</v>
      </c>
      <c r="D24" s="32" t="s">
        <v>757</v>
      </c>
      <c r="E24" s="33">
        <v>3</v>
      </c>
      <c r="F24" s="36">
        <v>50</v>
      </c>
      <c r="G24" s="36">
        <v>41</v>
      </c>
      <c r="H24" s="38" t="str">
        <f t="shared" si="8"/>
        <v>SCOUTING</v>
      </c>
      <c r="I24" s="34">
        <v>357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198</v>
      </c>
      <c r="D25" s="32" t="s">
        <v>758</v>
      </c>
      <c r="E25" s="33">
        <v>4</v>
      </c>
      <c r="F25" s="36">
        <v>79</v>
      </c>
      <c r="G25" s="36">
        <v>77</v>
      </c>
      <c r="H25" s="38" t="str">
        <f t="shared" si="8"/>
        <v>SCOUTING</v>
      </c>
      <c r="I25" s="34">
        <v>570</v>
      </c>
      <c r="J25" s="13" t="s">
        <v>4</v>
      </c>
      <c r="K25" s="13" t="s">
        <v>63</v>
      </c>
      <c r="L25" s="13" t="s">
        <v>6</v>
      </c>
      <c r="M25" s="13" t="s">
        <v>34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3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1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REPORT_E2025198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"E2025198"</v>
      </c>
      <c r="F3" s="45" t="str">
        <f t="shared" ref="F3:F16" si="0">""""&amp;B3&amp;"""" &amp; " : " &amp;C3&amp;","</f>
        <v>"name" : "E2025198",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"E198"</v>
      </c>
      <c r="F4" s="45" t="str">
        <f t="shared" si="0"/>
        <v>"cod" : "E198",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198</v>
      </c>
      <c r="F6" s="45" t="str">
        <f t="shared" si="0"/>
        <v>"number" : 198,</v>
      </c>
    </row>
    <row r="7" spans="2:6" x14ac:dyDescent="0.25">
      <c r="B7" s="43" t="s">
        <v>116</v>
      </c>
      <c r="C7" s="43" t="str">
        <f ca="1">""""&amp;TEXT('SCOUT &amp; LOGISTICS'!B3,"dd/mm/aaaa")&amp;""""</f>
        <v>"06/01/Tuesday"</v>
      </c>
      <c r="F7" s="45" t="str">
        <f t="shared" ca="1" si="0"/>
        <v>"date" : "06/01/Tuesday",</v>
      </c>
    </row>
    <row r="8" spans="2:6" x14ac:dyDescent="0.25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5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"GIACOMO CAMPANELLA"</v>
      </c>
      <c r="F10" s="45" t="str">
        <f t="shared" si="0"/>
        <v>"Data_entry" : "GIACOMO CAMPANELLA",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"EDOARDO GAUDENZI"</v>
      </c>
      <c r="F11" s="45" t="str">
        <f t="shared" si="0"/>
        <v>"Caller_1" : "EDOARDO GAUDENZI",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"MATTEO PAGLIARA"</v>
      </c>
      <c r="F12" s="45" t="str">
        <f t="shared" si="0"/>
        <v>"Caller_2" : "MATTEO PAGLIARA",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"FRANCESCA DONNICI"</v>
      </c>
      <c r="F13" s="45" t="str">
        <f t="shared" si="0"/>
        <v>"Timerkeeper" : "FRANCESCA DONNICI",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"GIADA GUIDA"</v>
      </c>
      <c r="F14" s="45" t="str">
        <f t="shared" si="0"/>
        <v>"Shotclock" : "GIADA GUIDA",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"FEDERICO GRAZI"</v>
      </c>
      <c r="F15" s="45" t="str">
        <f t="shared" si="0"/>
        <v>"IRS" : "FEDERICO GRAZI",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614</v>
      </c>
      <c r="F25" s="45" t="str">
        <f t="shared" ref="F25:F48" si="1">""""&amp;C25&amp;"""" &amp; " : " &amp;D25&amp;","</f>
        <v>"total_actions" : 614,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6</v>
      </c>
      <c r="F31" s="45" t="str">
        <f t="shared" si="1"/>
        <v>"q1" : 6,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"First of all, you mixed up Zalgiris’ number 1 and number 7 twice. Maybe it would be worth learning the visitor teams’ players instead of relying on looking at the shirt numbers. Regarding the rebounding, I didn’t want to touch too much, but I would like to point out that in the rebounds where there was a tip, you noted identical situations differently."</v>
      </c>
      <c r="F51" s="45" t="str">
        <f>""""&amp;B51&amp;"""" &amp; " : " &amp;C51&amp;","</f>
        <v>"comments" : "First of all, you mixed up Zalgiris’ number 1 and number 7 twice. Maybe it would be worth learning the visitor teams’ players instead of relying on looking at the shirt numbers. Regarding the rebounding, I didn’t want to touch too much, but I would like to point out that in the rebounds where there was a tip, you noted identical situations differently.",</v>
      </c>
    </row>
    <row r="52" spans="2:6" x14ac:dyDescent="0.25">
      <c r="B52" s="43" t="s">
        <v>153</v>
      </c>
      <c r="C52" s="43" t="str">
        <f>TEXT('SCOUT &amp; LOGISTICS'!F1,"0,0")</f>
        <v>20_198_VIR_ZAL_E2025</v>
      </c>
      <c r="F52" s="45" t="str">
        <f>""""&amp;B52&amp;"""" &amp; " : " &amp;C52</f>
        <v>"result" : 20_198_VIR_ZAL_E2025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E198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06/01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Virtus Bologna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Zalgiris Kaunas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GIACOMO CAMPANELLA</v>
      </c>
      <c r="C8" s="206"/>
      <c r="D8" s="206"/>
      <c r="E8" s="206"/>
      <c r="F8" s="206"/>
      <c r="G8" s="206" t="str">
        <f>IF('SCOUT &amp; LOGISTICS'!D7="","",'SCOUT &amp; LOGISTICS'!D7)</f>
        <v>EDOARDO GAUDENZI</v>
      </c>
      <c r="H8" s="206"/>
      <c r="I8" s="206"/>
      <c r="J8" s="206"/>
      <c r="K8" s="206"/>
      <c r="L8" s="206" t="str">
        <f>IF('SCOUT &amp; LOGISTICS'!D8="","",'SCOUT &amp; LOGISTICS'!D8)</f>
        <v>MATTEO PAGLIARA</v>
      </c>
      <c r="M8" s="206"/>
      <c r="N8" s="206"/>
      <c r="O8" s="206"/>
      <c r="P8" s="206"/>
      <c r="Q8" s="206" t="str">
        <f>IF('SCOUT &amp; LOGISTICS'!D9="","",'SCOUT &amp; LOGISTICS'!D9)</f>
        <v>FRANCESCA DONNICI</v>
      </c>
      <c r="R8" s="206"/>
      <c r="S8" s="206"/>
      <c r="T8" s="206"/>
      <c r="U8" s="206"/>
      <c r="V8" s="206" t="str">
        <f>IF('SCOUT &amp; LOGISTICS'!D10="","",'SCOUT &amp; LOGISTICS'!D10)</f>
        <v>GIADA GUIDA</v>
      </c>
      <c r="W8" s="206"/>
      <c r="X8" s="206"/>
      <c r="Y8" s="206"/>
      <c r="Z8" s="206"/>
      <c r="AA8" s="206" t="str">
        <f>IF('SCOUT &amp; LOGISTICS'!D11="","",'SCOUT &amp; LOGISTICS'!D11)</f>
        <v>FEDERICO GRAZI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614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9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1.4657980456026058E-2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6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First of all, you mixed up Zalgiris’ number 1 and number 7 twice. Maybe it would be worth learning the visitor teams’ players instead of relying on looking at the shirt numbers. Regarding the rebounding, I didn’t want to touch too much, but I would like to point out that in the rebounds where there was a tip, you noted identical situations differently.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11.465798045602606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2AE0E66-09FC-463D-9B2E-9CF290DF3F0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2026-01-07T14:57:22Z</cp:lastPrinted>
  <dcterms:created xsi:type="dcterms:W3CDTF">2023-09-19T19:50:35Z</dcterms:created>
  <dcterms:modified xsi:type="dcterms:W3CDTF">2026-01-07T14:57:32Z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