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28" documentId="8_{229F2C26-0436-4209-A39E-6605F0548484}" xr6:coauthVersionLast="47" xr6:coauthVersionMax="47" xr10:uidLastSave="{191D8EC4-4E66-45CA-A61E-EC7FD1141F2D}"/>
  <bookViews>
    <workbookView xWindow="2868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<sst xmlns="http://schemas.openxmlformats.org/spreadsheetml/2006/main" count="3245" uniqueCount="758">
  <si>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</si>
  <si>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</si>
  <si>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</si>
  <si>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</si>
  <si>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</si>
  <si>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</si>
  <si>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</si>
  <si>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</si>
  <si>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</si>
  <si>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</si>
  <si>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</si>
  <si>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</si>
  <si>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</si>
  <si>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</si>
  <si>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</si>
  <si>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</si>
  <si>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</si>
  <si>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</si>
  <si>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</si>
  <si>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</si>
  <si>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</si>
  <si>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</si>
  <si>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</si>
  <si>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</si>
  <si>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</si>
  <si>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</si>
  <si>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</si>
  <si>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</si>
  <si>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</si>
  <si>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</si>
  <si>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</si>
  <si>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</si>
  <si>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</si>
  <si>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</si>
  <si>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</si>
  <si>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</si>
  <si>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</si>
  <si>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</si>
  <si>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</si>
  <si>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</si>
  <si>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</si>
  <si>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</si>
  <si>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</si>
  <si>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</si>
  <si>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</si>
  <si>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</si>
  <si>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</si>
  <si>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</si>
  <si>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</si>
  <si>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</si>
  <si>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</si>
  <si>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</si>
  <si>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</si>
  <si>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</si>
  <si>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</si>
  <si>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</si>
  <si>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</si>
  <si>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</si>
  <si>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</si>
  <si>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</si>
  <si>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</si>
  <si>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</si>
  <si>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</si>
  <si>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</si>
  <si>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</si>
  <si>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</si>
  <si>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</si>
  <si>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</si>
  <si>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</si>
  <si>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</si>
  <si>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</si>
  <si>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</si>
  <si>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</si>
  <si>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</si>
  <si>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</si>
  <si>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</si>
  <si>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</si>
  <si>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</si>
  <si>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</si>
  <si>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</si>
  <si>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</si>
  <si>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</si>
  <si>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</si>
  <si>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</si>
  <si>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</si>
  <si>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</si>
  <si>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</si>
  <si>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</si>
  <si>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</si>
  <si>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</si>
  <si>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</si>
  <si>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</si>
  <si>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</si>
  <si>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</si>
  <si>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</si>
  <si>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</si>
  <si>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</si>
  <si>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</si>
  <si>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</si>
  <si>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</si>
  <si>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</si>
  <si>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</si>
  <si>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</si>
  <si>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</si>
  <si>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</si>
  <si>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</si>
  <si>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</si>
  <si>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</si>
  <si>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</si>
  <si>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</si>
  <si>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</si>
  <si>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</si>
  <si>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</si>
  <si>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</si>
  <si>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</si>
  <si>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</si>
  <si>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</si>
  <si>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</si>
  <si>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</si>
  <si>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</si>
  <si>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</si>
  <si>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</si>
  <si>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</si>
  <si>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</si>
  <si>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</si>
  <si>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</si>
  <si>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</si>
  <si>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</si>
  <si>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</si>
  <si>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</si>
  <si>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</si>
  <si>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</si>
  <si>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</si>
  <si>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</si>
  <si>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</si>
  <si>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</si>
  <si>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</si>
  <si>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</si>
  <si>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</si>
  <si>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</si>
  <si>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</si>
  <si>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</si>
  <si>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</si>
  <si>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</si>
  <si>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</si>
  <si>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</si>
  <si>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</si>
  <si>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</si>
  <si>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</si>
  <si>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</si>
  <si>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</si>
  <si>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</si>
  <si>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</si>
  <si>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</si>
  <si>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</si>
  <si>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</si>
  <si>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</si>
  <si>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</si>
  <si>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</si>
  <si>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</si>
  <si>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</si>
  <si>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</si>
  <si>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</si>
  <si>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</si>
  <si>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</si>
  <si>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</si>
  <si>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</si>
  <si>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</si>
  <si>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</si>
  <si>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</si>
  <si>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</si>
  <si>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</si>
  <si>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</si>
  <si>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</si>
  <si>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</si>
  <si>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</si>
  <si>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</si>
  <si>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</si>
  <si>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</si>
  <si>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</si>
  <si>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</si>
  <si>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</si>
  <si>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</si>
  <si>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</si>
  <si>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</si>
  <si>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</si>
  <si>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</si>
  <si>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</si>
  <si>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</si>
  <si>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</si>
  <si>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</si>
  <si>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</si>
  <si>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</si>
  <si>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</si>
  <si>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</si>
  <si>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</si>
  <si>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</si>
  <si>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</si>
  <si>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</si>
  <si>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</si>
  <si>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</si>
  <si>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</si>
  <si>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</si>
  <si>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</si>
  <si>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</si>
  <si>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</si>
  <si>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</si>
  <si>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</si>
  <si>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</si>
  <si>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</si>
  <si>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</si>
  <si>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</si>
  <si>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</si>
  <si>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</si>
  <si>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</si>
  <si>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</si>
  <si>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</si>
  <si>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</si>
  <si>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</si>
  <si>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</si>
  <si>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</si>
  <si>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</si>
  <si>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</si>
  <si>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</si>
  <si>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</si>
  <si>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</si>
  <si>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</si>
  <si>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</si>
  <si>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</si>
  <si>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</si>
  <si>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</si>
  <si>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</si>
  <si>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</si>
  <si>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</si>
  <si>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</si>
  <si>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</si>
  <si>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</si>
  <si>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</si>
  <si>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</si>
  <si>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</si>
  <si>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</si>
  <si>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</si>
  <si>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</si>
  <si>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</si>
  <si>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</si>
  <si>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</si>
  <si>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</si>
  <si>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</si>
  <si>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</si>
  <si>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</si>
  <si>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</si>
  <si>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</si>
  <si>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</si>
  <si>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</si>
  <si>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</si>
  <si>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</si>
  <si>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</si>
  <si>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</si>
  <si>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</si>
  <si>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</si>
  <si>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</si>
  <si>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</si>
  <si>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</si>
  <si>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</si>
  <si>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</si>
  <si>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</si>
  <si>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</si>
  <si>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</si>
  <si>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</si>
  <si>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</si>
  <si>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</si>
  <si>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</si>
  <si>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</si>
  <si>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</si>
  <si>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</si>
  <si>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</si>
  <si>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</si>
  <si>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</si>
  <si>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</si>
  <si>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</si>
  <si>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</si>
  <si>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</si>
  <si>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</si>
  <si>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</si>
  <si>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</si>
  <si>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</si>
  <si>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</si>
  <si>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</si>
  <si>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</si>
  <si>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</si>
  <si>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</si>
  <si>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</si>
  <si>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</si>
  <si>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</si>
  <si>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</si>
  <si>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</si>
  <si>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</si>
  <si>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</si>
  <si>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</si>
  <si>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</si>
  <si>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</si>
  <si>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</si>
  <si>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</si>
  <si>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</si>
  <si>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</si>
  <si>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</si>
  <si>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</si>
  <si>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</si>
  <si>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</si>
  <si>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</si>
  <si>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</si>
  <si>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</si>
  <si>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</si>
  <si>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</si>
  <si>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</si>
  <si>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</si>
  <si>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</si>
  <si>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</si>
  <si>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</si>
  <si>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</si>
  <si>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</si>
  <si>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</si>
  <si>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</si>
  <si>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</si>
  <si>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</si>
  <si>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</si>
  <si>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</si>
  <si>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</si>
  <si>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</si>
  <si>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</si>
  <si>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</si>
  <si>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</si>
  <si>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</si>
  <si>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</si>
  <si>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</si>
  <si>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</si>
  <si>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</si>
  <si>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</si>
  <si>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</si>
  <si>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</si>
  <si>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</si>
  <si>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</si>
  <si>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</si>
  <si>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</si>
  <si>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</si>
  <si>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</si>
  <si>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</si>
  <si>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</si>
  <si>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</si>
  <si>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</si>
  <si>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</si>
  <si>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</si>
  <si>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</si>
  <si>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</si>
  <si>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</si>
  <si>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</si>
  <si>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</si>
  <si>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</si>
  <si>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</si>
  <si>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</si>
  <si>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</si>
  <si>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</si>
  <si>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</si>
  <si>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</si>
  <si>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</si>
  <si>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</si>
  <si>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</si>
  <si>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</si>
  <si>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</si>
  <si>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</si>
  <si>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</si>
  <si>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</si>
  <si>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</si>
  <si>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</si>
  <si>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</si>
  <si>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</si>
  <si>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</si>
  <si>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</si>
  <si>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</si>
  <si>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</si>
  <si>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</si>
  <si>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</si>
  <si>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</si>
  <si>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</si>
  <si>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</si>
  <si>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</si>
  <si>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</si>
  <si>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</si>
  <si>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</si>
  <si>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</si>
  <si>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</si>
  <si>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</si>
  <si>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</si>
  <si>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</si>
  <si>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</si>
  <si>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</si>
  <si>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</si>
  <si>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</si>
  <si>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</si>
  <si>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</si>
  <si>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</si>
  <si>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</si>
  <si>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</si>
  <si>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</si>
  <si>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</si>
  <si>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</si>
  <si>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</si>
  <si>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</si>
  <si>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</si>
  <si>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</si>
  <si>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</si>
  <si>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</si>
  <si>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</si>
  <si>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</si>
  <si>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</si>
  <si>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</si>
  <si>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</si>
  <si>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</si>
  <si>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</si>
  <si>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</si>
  <si>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</si>
  <si>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</si>
  <si>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</si>
  <si>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</si>
  <si>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</si>
  <si>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</si>
  <si>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</si>
  <si>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</si>
  <si>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</si>
  <si>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</si>
  <si>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</si>
  <si>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</si>
  <si>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</si>
  <si>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</si>
  <si>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</si>
  <si>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</si>
  <si>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</si>
  <si>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</si>
  <si>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</si>
  <si>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</si>
  <si>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</si>
  <si>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</si>
  <si>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</si>
  <si>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</si>
  <si>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</si>
  <si>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</si>
  <si>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</si>
  <si>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</si>
  <si>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</si>
  <si>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</si>
  <si>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</si>
  <si>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</si>
  <si>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</si>
  <si>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</si>
  <si>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</si>
  <si>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</si>
  <si>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</si>
  <si>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</si>
  <si>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</si>
  <si>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</si>
  <si>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</si>
  <si>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</si>
  <si>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</si>
  <si>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</si>
  <si>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</si>
  <si>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</si>
  <si>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</si>
  <si>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</si>
  <si>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</si>
  <si>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</si>
  <si>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</si>
  <si>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</si>
  <si>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</si>
  <si>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</si>
  <si>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</si>
  <si>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</si>
  <si>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</si>
  <si>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</si>
  <si>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</si>
  <si>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</si>
  <si>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</si>
  <si>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</si>
  <si>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</si>
  <si>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</si>
  <si>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</si>
  <si>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</si>
  <si>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</si>
  <si>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</si>
  <si>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</si>
  <si>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</si>
  <si>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</si>
  <si>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</si>
  <si>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</si>
  <si>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</si>
  <si>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</si>
  <si>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</si>
  <si>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</si>
  <si>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</si>
  <si>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</si>
  <si>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</si>
  <si>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</si>
  <si>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</si>
  <si>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</si>
  <si>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</si>
  <si>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</si>
  <si>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</si>
  <si>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</si>
  <si>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</si>
  <si>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</si>
  <si>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</si>
  <si>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</si>
  <si>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</si>
  <si>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</si>
  <si>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</si>
  <si>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</si>
  <si>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</si>
  <si>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</si>
  <si>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</si>
  <si>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</si>
  <si>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</si>
  <si>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</si>
  <si>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</si>
  <si>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</si>
  <si>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</si>
  <si>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</si>
  <si>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</si>
  <si>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</si>
  <si>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</si>
  <si>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</si>
  <si>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</si>
  <si>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</si>
  <si>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</si>
  <si>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</si>
  <si>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</si>
  <si>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</si>
  <si>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</si>
  <si>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</si>
  <si>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</si>
  <si>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</si>
  <si>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</si>
  <si>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</si>
  <si>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</si>
  <si>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</si>
  <si>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</si>
  <si>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</si>
  <si>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</si>
  <si>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</si>
  <si>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</si>
  <si>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</si>
  <si>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</si>
  <si>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</si>
  <si>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</si>
  <si>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</si>
  <si>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</si>
  <si>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</si>
  <si>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</si>
  <si>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</si>
  <si>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</si>
  <si>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</si>
  <si>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</si>
  <si>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</si>
  <si>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</si>
  <si>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</si>
  <si>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</si>
  <si>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</si>
  <si>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</si>
  <si>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</si>
  <si>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</si>
  <si>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</si>
  <si>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</si>
  <si>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</si>
  <si>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</si>
  <si>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</si>
  <si>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</si>
  <si>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</si>
  <si>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</si>
  <si>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</si>
  <si>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</si>
  <si>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</si>
  <si>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</si>
  <si>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</si>
  <si>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</si>
  <si>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</si>
  <si>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</si>
  <si>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</si>
  <si>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</si>
  <si>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</si>
  <si>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</si>
  <si>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</si>
  <si>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</si>
  <si>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</si>
  <si>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</si>
  <si>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</si>
  <si>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</si>
  <si>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</si>
  <si>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</si>
  <si>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</si>
  <si>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</si>
  <si>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</si>
  <si>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</si>
  <si>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</si>
  <si>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</si>
  <si>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</si>
  <si>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</si>
  <si>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</si>
  <si>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</si>
  <si>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</si>
  <si>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</si>
  <si>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</si>
  <si>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</si>
  <si>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</si>
  <si>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</si>
  <si>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</si>
  <si>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</si>
  <si>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</si>
  <si>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</si>
  <si>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</si>
  <si>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</si>
  <si>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</si>
  <si>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</si>
  <si>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</si>
  <si>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</si>
  <si>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</si>
  <si>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</si>
  <si>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</si>
  <si>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</si>
  <si>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</si>
  <si>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</si>
  <si>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</si>
  <si>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</si>
  <si>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</si>
  <si>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</si>
  <si>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</si>
  <si>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</si>
  <si>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</si>
  <si>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</si>
  <si>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</si>
  <si>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</si>
  <si>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</si>
  <si>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</si>
  <si>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</si>
  <si>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</si>
  <si>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</si>
  <si>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</si>
  <si>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</si>
  <si>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</si>
  <si>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</si>
  <si>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</si>
  <si>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</si>
  <si>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</si>
  <si>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</si>
  <si>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</si>
  <si>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</si>
  <si>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</si>
  <si>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</si>
  <si>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</si>
  <si>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</si>
  <si>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</si>
  <si>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</si>
  <si>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</si>
  <si>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</si>
  <si>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</si>
  <si>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</si>
  <si>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</si>
  <si>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</si>
  <si>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</si>
  <si>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</si>
  <si>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</si>
  <si>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</si>
  <si>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</si>
  <si>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</si>
  <si>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</si>
  <si>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</si>
  <si>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</si>
  <si>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</si>
  <si>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</si>
  <si>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</si>
  <si>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</si>
  <si>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</si>
  <si>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</si>
  <si>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</si>
  <si>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</si>
  <si>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</si>
  <si>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</si>
  <si>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</si>
  <si>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</si>
  <si>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</si>
  <si>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</si>
  <si>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</si>
  <si>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</si>
  <si>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</si>
  <si>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</si>
  <si>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</si>
  <si>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</si>
  <si>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</si>
  <si>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</si>
  <si>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</si>
  <si>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</si>
  <si>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</si>
  <si>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</si>
  <si>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</si>
  <si>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</si>
  <si>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</si>
  <si>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</si>
  <si>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</si>
  <si>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</si>
  <si>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</si>
  <si>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</si>
  <si>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</si>
  <si>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</si>
  <si>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</si>
  <si>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</si>
  <si>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</si>
  <si>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</si>
  <si>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</si>
  <si>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</si>
  <si>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</si>
  <si>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</si>
  <si>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</si>
  <si>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</si>
  <si>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</si>
  <si>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</si>
  <si>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</si>
  <si>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</si>
  <si>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</si>
  <si>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</si>
  <si>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</si>
  <si>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</si>
  <si>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</si>
  <si>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</si>
  <si>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</si>
  <si>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</si>
  <si>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</si>
  <si>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</si>
  <si>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</si>
  <si>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</si>
  <si>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</si>
  <si>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</si>
  <si>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</si>
  <si>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</si>
  <si>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</si>
  <si>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</si>
  <si>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</si>
  <si>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</si>
  <si>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</si>
  <si>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</si>
  <si>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</si>
  <si>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</si>
  <si>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</si>
  <si>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C:\Users\hector.guillen\EUROLEAGUE\EB STATS - Documents\General\SEASON 2025-26\Reports\Euroleague\PDF</t>
  </si>
  <si>
    <t>C:\Users\hector.guillen\EUROLEAGUE\EB STATS - Documents\General\SEASON 2025-26\Reports\Euroleague</t>
  </si>
  <si>
    <t>SERTAC DORSEL</t>
  </si>
  <si>
    <t>ENDER OZBEK</t>
  </si>
  <si>
    <t>ORHAN YENIHAYAT</t>
  </si>
  <si>
    <t>AHMET YILDIZ</t>
  </si>
  <si>
    <t>MERVE SAGLAM</t>
  </si>
  <si>
    <t>HECTOR GUILLEN</t>
  </si>
  <si>
    <t>Perfect game! Just remember to keep an eye on discord in case something happen.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</si>
</sst>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20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20_199_IST_PRS_E2025</v>
      </c>
      <c r="G1" s="5"/>
      <c r="H1" s="5"/>
      <c r="I1" s="5"/>
      <c r="J1" s="8" t="s">
        <v>707</v>
      </c>
      <c r="K1" s="121" t="s">
        <v>750</v>
      </c>
      <c r="L1" s="121"/>
      <c r="M1" s="122" t="s">
        <v>239</v>
      </c>
      <c r="N1" s="121" t="s">
        <v>749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199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46029.854166666664</v>
      </c>
      <c r="C3" s="157"/>
      <c r="D3" s="39">
        <v>582</v>
      </c>
      <c r="E3" s="29"/>
      <c r="F3" s="26">
        <f>SUBTOTAL(3,I17:I106)</f>
        <v>0</v>
      </c>
      <c r="G3" s="27">
        <f>IF(OR(D3="",D3=0),"",F3/D3)</f>
        <v>0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Anadolu Efes Istanbul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IST</v>
      </c>
      <c r="I4" s="5"/>
      <c r="J4" s="119" t="s">
        <v>714</v>
      </c>
      <c r="K4" s="54" t="s">
        <v>742</v>
      </c>
      <c r="L4" s="5"/>
      <c r="M4" s="167" t="s">
        <v>757</v>
      </c>
      <c r="N4" s="168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Paris Basketball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PRS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751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752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753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754</v>
      </c>
      <c r="E9" s="179"/>
      <c r="F9" s="179"/>
      <c r="G9" s="180"/>
      <c r="H9" s="130">
        <f>VLOOKUP($H$4,Teams!$B$3:$O$44,3,FALSE)</f>
        <v>1</v>
      </c>
      <c r="I9" s="130">
        <f>VLOOKUP($H$4,Teams!$B$3:$O$44,3,FALSE)</f>
        <v>1</v>
      </c>
      <c r="J9" s="130">
        <f>VLOOKUP($H$4,Teams!$B$3:$O$44,5,FALSE)</f>
        <v>3</v>
      </c>
      <c r="K9" s="130">
        <f>VLOOKUP($H$4,Teams!$B$3:$O$44,6,FALSE)</f>
        <v>4</v>
      </c>
      <c r="L9" s="130">
        <f>VLOOKUP($H$4,Teams!$B$3:$O$44,7,FALSE)</f>
        <v>5</v>
      </c>
      <c r="M9" s="131">
        <f>VLOOKUP($H$4,Teams!$B$3:$O$44,8,FALSE)</f>
        <v>6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755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740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199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756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REPORT_E2025199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"E2025199"</v>
      </c>
      <c r="F3" s="45" t="str">
        <f t="shared" ref="F3:F16" si="0">""""&amp;B3&amp;"""" &amp; " : " &amp;C3&amp;","</f>
        <v>"name" : "E2025199",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"E199"</v>
      </c>
      <c r="F4" s="45" t="str">
        <f t="shared" si="0"/>
        <v>"cod" : "E199",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199</v>
      </c>
      <c r="F6" s="45" t="str">
        <f t="shared" si="0"/>
        <v>"number" : 199,</v>
      </c>
    </row>
    <row r="7" spans="2:6" x14ac:dyDescent="0.25">
      <c r="B7" s="43" t="s">
        <v>116</v>
      </c>
      <c r="C7" s="43" t="str">
        <f ca="1">""""&amp;TEXT('SCOUT &amp; LOGISTICS'!B3,"dd/mm/aaaa")&amp;""""</f>
        <v>"07/01/Wednesday"</v>
      </c>
      <c r="F7" s="45" t="str">
        <f t="shared" ca="1" si="0"/>
        <v>"date" : "07/01/Wednesday",</v>
      </c>
    </row>
    <row r="8" spans="2:6" x14ac:dyDescent="0.25">
      <c r="B8" s="43" t="s">
        <v>125</v>
      </c>
      <c r="C8" s="43" t="str">
        <f>""""&amp;'SCOUT &amp; LOGISTICS'!D4 &amp;""""</f>
        <v>"Anadolu Efes Istanbul"</v>
      </c>
      <c r="F8" s="45" t="str">
        <f t="shared" si="0"/>
        <v>"home_team" : "Anadolu Efes Istanbul",</v>
      </c>
    </row>
    <row r="9" spans="2:6" x14ac:dyDescent="0.25">
      <c r="B9" s="43" t="s">
        <v>126</v>
      </c>
      <c r="C9" s="43" t="str">
        <f>""""&amp;'SCOUT &amp; LOGISTICS'!D5&amp;""""</f>
        <v>"Paris Basketball"</v>
      </c>
      <c r="F9" s="45" t="str">
        <f t="shared" si="0"/>
        <v>"away_team" : "Paris Basketball",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"SERTAC DORSEL"</v>
      </c>
      <c r="F10" s="45" t="str">
        <f t="shared" si="0"/>
        <v>"Data_entry" : "SERTAC DORSEL",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"ENDER OZBEK"</v>
      </c>
      <c r="F11" s="45" t="str">
        <f t="shared" si="0"/>
        <v>"Caller_1" : "ENDER OZBEK",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"ORHAN YENIHAYAT"</v>
      </c>
      <c r="F12" s="45" t="str">
        <f t="shared" si="0"/>
        <v>"Caller_2" : "ORHAN YENIHAYAT",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"AHMET YILDIZ"</v>
      </c>
      <c r="F13" s="45" t="str">
        <f t="shared" si="0"/>
        <v>"Timerkeeper" : "AHMET YILDIZ",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"MERVE SAGLAM"</v>
      </c>
      <c r="F14" s="45" t="str">
        <f t="shared" si="0"/>
        <v>"Shotclock" : "MERVE SAGLAM",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"MURAT KUS"</v>
      </c>
      <c r="F15" s="45" t="str">
        <f t="shared" si="0"/>
        <v>"IRS" : "MURAT KUS",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"HECTOR GUILLEN"</v>
      </c>
      <c r="F16" s="45" t="str">
        <f t="shared" si="0"/>
        <v>"Live_Game_Manager" : "HECTOR GUILLEN",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582</v>
      </c>
      <c r="F25" s="45" t="str">
        <f t="shared" ref="F25:F48" si="1">""""&amp;C25&amp;"""" &amp; " : " &amp;D25&amp;","</f>
        <v>"total_actions" : 582,</v>
      </c>
    </row>
    <row r="26" spans="2:6" x14ac:dyDescent="0.25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"Perfect game! Just remember to keep an eye on discord in case something happen."</v>
      </c>
      <c r="F51" s="45" t="str">
        <f>""""&amp;B51&amp;"""" &amp; " : " &amp;C51&amp;","</f>
        <v>"comments" : "Perfect game! Just remember to keep an eye on discord in case something happen.",</v>
      </c>
    </row>
    <row r="52" spans="2:6" x14ac:dyDescent="0.25">
      <c r="B52" s="43" t="s">
        <v>153</v>
      </c>
      <c r="C52" s="43" t="str">
        <f>TEXT('SCOUT &amp; LOGISTICS'!F1,"0,0")</f>
        <v>20_199_IST_PRS_E2025</v>
      </c>
      <c r="F52" s="45" t="str">
        <f>""""&amp;B52&amp;"""" &amp; " : " &amp;C52</f>
        <v>"result" : 20_199_IST_PRS_E2025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E199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07/01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Anadolu Efes Istanbul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Paris Basketball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SERTAC DORSEL</v>
      </c>
      <c r="C8" s="206"/>
      <c r="D8" s="206"/>
      <c r="E8" s="206"/>
      <c r="F8" s="206"/>
      <c r="G8" s="206" t="str">
        <f>IF('SCOUT &amp; LOGISTICS'!D7="","",'SCOUT &amp; LOGISTICS'!D7)</f>
        <v>ENDER OZBEK</v>
      </c>
      <c r="H8" s="206"/>
      <c r="I8" s="206"/>
      <c r="J8" s="206"/>
      <c r="K8" s="206"/>
      <c r="L8" s="206" t="str">
        <f>IF('SCOUT &amp; LOGISTICS'!D8="","",'SCOUT &amp; LOGISTICS'!D8)</f>
        <v>ORHAN YENIHAYAT</v>
      </c>
      <c r="M8" s="206"/>
      <c r="N8" s="206"/>
      <c r="O8" s="206"/>
      <c r="P8" s="206"/>
      <c r="Q8" s="206" t="str">
        <f>IF('SCOUT &amp; LOGISTICS'!D9="","",'SCOUT &amp; LOGISTICS'!D9)</f>
        <v>AHMET YILDIZ</v>
      </c>
      <c r="R8" s="206"/>
      <c r="S8" s="206"/>
      <c r="T8" s="206"/>
      <c r="U8" s="206"/>
      <c r="V8" s="206" t="str">
        <f>IF('SCOUT &amp; LOGISTICS'!D10="","",'SCOUT &amp; LOGISTICS'!D10)</f>
        <v>MERVE SAGLAM</v>
      </c>
      <c r="W8" s="206"/>
      <c r="X8" s="206"/>
      <c r="Y8" s="206"/>
      <c r="Z8" s="206"/>
      <c r="AA8" s="206" t="str">
        <f>IF('SCOUT &amp; LOGISTICS'!D11="","",'SCOUT &amp; LOGISTICS'!D11)</f>
        <v>MURAT KUS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582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0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0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0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0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Perfect game! Just remember to keep an eye on discord in case something happen.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0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42bf520a6c79a132633bfe8aa6a60681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e9351a8714db6f5e1df78f011817a27e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409BF30-584A-4014-A251-B61D9C4B8DC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2026-01-08T21:32:21Z</cp:lastPrinted>
  <dcterms:created xsi:type="dcterms:W3CDTF">2023-09-19T19:50:35Z</dcterms:created>
  <dcterms:modified xsi:type="dcterms:W3CDTF">2026-01-08T21:32:26Z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