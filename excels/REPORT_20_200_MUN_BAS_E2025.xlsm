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D6A33C5-DCE9-440F-A8D9-92533E624D41}" xr6:coauthVersionLast="47" xr6:coauthVersionMax="47" xr10:uidLastSave="{00000000-0000-0000-0000-000000000000}"/>
  <bookViews>
    <workbookView xWindow="-6345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" l="1"/>
  <c r="D9" i="1"/>
  <c r="D8" i="1"/>
  <c r="D7" i="1"/>
  <c r="D6" i="1"/>
  <c r="D11" i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<sst xmlns="http://schemas.openxmlformats.org/spreadsheetml/2006/main" count="3235" uniqueCount="752">
  <si>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</si>
  <si>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</si>
  <si>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</si>
  <si>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</si>
  <si>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</si>
  <si>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</si>
  <si>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</si>
  <si>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</si>
  <si>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</si>
  <si>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</si>
  <si>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</si>
  <si>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</si>
  <si>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</si>
  <si>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</si>
  <si>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</si>
  <si>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</si>
  <si>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</si>
  <si>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</si>
  <si>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</si>
  <si>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</si>
  <si>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</si>
  <si>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</si>
  <si>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</si>
  <si>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</si>
  <si>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</si>
  <si>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</si>
  <si>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</si>
  <si>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</si>
  <si>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</si>
  <si>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</si>
  <si>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</si>
  <si>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</si>
  <si>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</si>
  <si>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</si>
  <si>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</si>
  <si>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</si>
  <si>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</si>
  <si>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</si>
  <si>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</si>
  <si>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</si>
  <si>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</si>
  <si>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</si>
  <si>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</si>
  <si>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</si>
  <si>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</si>
  <si>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</si>
  <si>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</si>
  <si>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</si>
  <si>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</si>
  <si>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</si>
  <si>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</si>
  <si>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</si>
  <si>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</si>
  <si>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</si>
  <si>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</si>
  <si>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</si>
  <si>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</si>
  <si>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</si>
  <si>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</si>
  <si>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</si>
  <si>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</si>
  <si>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</si>
  <si>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</si>
  <si>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</si>
  <si>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</si>
  <si>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</si>
  <si>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</si>
  <si>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</si>
  <si>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</si>
  <si>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</si>
  <si>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</si>
  <si>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</si>
  <si>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</si>
  <si>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</si>
  <si>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</si>
  <si>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</si>
  <si>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</si>
  <si>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</si>
  <si>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</si>
  <si>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</si>
  <si>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</si>
  <si>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</si>
  <si>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</si>
  <si>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</si>
  <si>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</si>
  <si>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</si>
  <si>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</si>
  <si>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</si>
  <si>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</si>
  <si>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</si>
  <si>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</si>
  <si>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</si>
  <si>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</si>
  <si>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</si>
  <si>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</si>
  <si>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</si>
  <si>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</si>
  <si>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</si>
  <si>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</si>
  <si>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</si>
  <si>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</si>
  <si>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</si>
  <si>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</si>
  <si>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</si>
  <si>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</si>
  <si>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</si>
  <si>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</si>
  <si>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</si>
  <si>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</si>
  <si>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</si>
  <si>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</si>
  <si>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</si>
  <si>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</si>
  <si>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</si>
  <si>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</si>
  <si>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</si>
  <si>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</si>
  <si>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</si>
  <si>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</si>
  <si>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</si>
  <si>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</si>
  <si>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</si>
  <si>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</si>
  <si>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</si>
  <si>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</si>
  <si>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</si>
  <si>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</si>
  <si>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</si>
  <si>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</si>
  <si>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</si>
  <si>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</si>
  <si>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</si>
  <si>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</si>
  <si>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</si>
  <si>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</si>
  <si>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</si>
  <si>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</si>
  <si>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</si>
  <si>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</si>
  <si>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</si>
  <si>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</si>
  <si>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</si>
  <si>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</si>
  <si>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</si>
  <si>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</si>
  <si>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</si>
  <si>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</si>
  <si>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</si>
  <si>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</si>
  <si>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</si>
  <si>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</si>
  <si>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</si>
  <si>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</si>
  <si>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</si>
  <si>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</si>
  <si>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</si>
  <si>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</si>
  <si>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</si>
  <si>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</si>
  <si>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</si>
  <si>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</si>
  <si>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</si>
  <si>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</si>
  <si>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</si>
  <si>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</si>
  <si>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</si>
  <si>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</si>
  <si>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</si>
  <si>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</si>
  <si>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</si>
  <si>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</si>
  <si>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</si>
  <si>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</si>
  <si>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</si>
  <si>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</si>
  <si>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</si>
  <si>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</si>
  <si>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</si>
  <si>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</si>
  <si>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</si>
  <si>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</si>
  <si>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</si>
  <si>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</si>
  <si>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</si>
  <si>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</si>
  <si>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</si>
  <si>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</si>
  <si>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</si>
  <si>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</si>
  <si>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</si>
  <si>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</si>
  <si>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</si>
  <si>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</si>
  <si>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</si>
  <si>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</si>
  <si>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</si>
  <si>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</si>
  <si>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</si>
  <si>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</si>
  <si>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</si>
  <si>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</si>
  <si>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</si>
  <si>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</si>
  <si>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</si>
  <si>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</si>
  <si>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</si>
  <si>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</si>
  <si>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</si>
  <si>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</si>
  <si>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</si>
  <si>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</si>
  <si>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</si>
  <si>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</si>
  <si>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</si>
  <si>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</si>
  <si>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</si>
  <si>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</si>
  <si>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</si>
  <si>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</si>
  <si>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</si>
  <si>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</si>
  <si>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</si>
  <si>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</si>
  <si>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</si>
  <si>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</si>
  <si>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</si>
  <si>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</si>
  <si>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</si>
  <si>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</si>
  <si>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</si>
  <si>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</si>
  <si>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</si>
  <si>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</si>
  <si>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</si>
  <si>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</si>
  <si>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</si>
  <si>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</si>
  <si>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</si>
  <si>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</si>
  <si>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</si>
  <si>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</si>
  <si>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</si>
  <si>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</si>
  <si>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</si>
  <si>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</si>
  <si>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</si>
  <si>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</si>
  <si>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</si>
  <si>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</si>
  <si>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</si>
  <si>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</si>
  <si>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</si>
  <si>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</si>
  <si>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</si>
  <si>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</si>
  <si>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</si>
  <si>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</si>
  <si>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</si>
  <si>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</si>
  <si>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</si>
  <si>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</si>
  <si>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</si>
  <si>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</si>
  <si>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</si>
  <si>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</si>
  <si>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</si>
  <si>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</si>
  <si>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</si>
  <si>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</si>
  <si>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</si>
  <si>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</si>
  <si>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</si>
  <si>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</si>
  <si>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</si>
  <si>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</si>
  <si>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</si>
  <si>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</si>
  <si>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</si>
  <si>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</si>
  <si>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</si>
  <si>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</si>
  <si>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</si>
  <si>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</si>
  <si>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</si>
  <si>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</si>
  <si>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</si>
  <si>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</si>
  <si>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</si>
  <si>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</si>
  <si>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</si>
  <si>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</si>
  <si>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</si>
  <si>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</si>
  <si>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</si>
  <si>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</si>
  <si>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</si>
  <si>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</si>
  <si>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</si>
  <si>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</si>
  <si>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</si>
  <si>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</si>
  <si>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</si>
  <si>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</si>
  <si>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</si>
  <si>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</si>
  <si>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</si>
  <si>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</si>
  <si>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</si>
  <si>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</si>
  <si>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</si>
  <si>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</si>
  <si>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</si>
  <si>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</si>
  <si>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</si>
  <si>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</si>
  <si>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</si>
  <si>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</si>
  <si>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</si>
  <si>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</si>
  <si>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</si>
  <si>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</si>
  <si>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</si>
  <si>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</si>
  <si>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</si>
  <si>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</si>
  <si>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</si>
  <si>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</si>
  <si>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</si>
  <si>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</si>
  <si>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</si>
  <si>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</si>
  <si>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</si>
  <si>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</si>
  <si>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</si>
  <si>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</si>
  <si>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</si>
  <si>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</si>
  <si>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</si>
  <si>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</si>
  <si>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</si>
  <si>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</si>
  <si>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</si>
  <si>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</si>
  <si>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</si>
  <si>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</si>
  <si>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</si>
  <si>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</si>
  <si>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</si>
  <si>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</si>
  <si>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</si>
  <si>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</si>
  <si>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</si>
  <si>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</si>
  <si>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</si>
  <si>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</si>
  <si>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</si>
  <si>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</si>
  <si>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</si>
  <si>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</si>
  <si>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</si>
  <si>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</si>
  <si>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</si>
  <si>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</si>
  <si>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</si>
  <si>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</si>
  <si>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</si>
  <si>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</si>
  <si>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</si>
  <si>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</si>
  <si>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</si>
  <si>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</si>
  <si>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</si>
  <si>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</si>
  <si>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</si>
  <si>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</si>
  <si>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</si>
  <si>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</si>
  <si>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</si>
  <si>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</si>
  <si>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</si>
  <si>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</si>
  <si>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</si>
  <si>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</si>
  <si>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</si>
  <si>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</si>
  <si>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</si>
  <si>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</si>
  <si>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</si>
  <si>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</si>
  <si>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</si>
  <si>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</si>
  <si>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</si>
  <si>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</si>
  <si>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</si>
  <si>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</si>
  <si>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</si>
  <si>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</si>
  <si>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</si>
  <si>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</si>
  <si>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</si>
  <si>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</si>
  <si>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</si>
  <si>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</si>
  <si>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</si>
  <si>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</si>
  <si>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</si>
  <si>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</si>
  <si>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</si>
  <si>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</si>
  <si>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</si>
  <si>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</si>
  <si>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</si>
  <si>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</si>
  <si>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</si>
  <si>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</si>
  <si>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</si>
  <si>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</si>
  <si>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</si>
  <si>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</si>
  <si>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</si>
  <si>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</si>
  <si>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</si>
  <si>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</si>
  <si>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</si>
  <si>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</si>
  <si>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</si>
  <si>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</si>
  <si>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</si>
  <si>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</si>
  <si>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</si>
  <si>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</si>
  <si>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</si>
  <si>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</si>
  <si>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</si>
  <si>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</si>
  <si>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</si>
  <si>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</si>
  <si>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</si>
  <si>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</si>
  <si>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</si>
  <si>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</si>
  <si>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</si>
  <si>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</si>
  <si>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</si>
  <si>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</si>
  <si>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</si>
  <si>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</si>
  <si>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</si>
  <si>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</si>
  <si>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</si>
  <si>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</si>
  <si>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</si>
  <si>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</si>
  <si>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</si>
  <si>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</si>
  <si>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</si>
  <si>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</si>
  <si>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</si>
  <si>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</si>
  <si>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</si>
  <si>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</si>
  <si>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</si>
  <si>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</si>
  <si>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</si>
  <si>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</si>
  <si>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</si>
  <si>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</si>
  <si>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</si>
  <si>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</si>
  <si>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</si>
  <si>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</si>
  <si>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</si>
  <si>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</si>
  <si>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</si>
  <si>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</si>
  <si>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</si>
  <si>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</si>
  <si>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</si>
  <si>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</si>
  <si>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</si>
  <si>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</si>
  <si>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</si>
  <si>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</si>
  <si>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</si>
  <si>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</si>
  <si>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</si>
  <si>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</si>
  <si>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</si>
  <si>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</si>
  <si>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</si>
  <si>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</si>
  <si>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</si>
  <si>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</si>
  <si>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</si>
  <si>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</si>
  <si>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</si>
  <si>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</si>
  <si>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</si>
  <si>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</si>
  <si>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</si>
  <si>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</si>
  <si>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</si>
  <si>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</si>
  <si>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</si>
  <si>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</si>
  <si>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</si>
  <si>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</si>
  <si>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</si>
  <si>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</si>
  <si>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</si>
  <si>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</si>
  <si>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</si>
  <si>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</si>
  <si>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</si>
  <si>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</si>
  <si>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</si>
  <si>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</si>
  <si>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</si>
  <si>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</si>
  <si>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</si>
  <si>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</si>
  <si>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</si>
  <si>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</si>
  <si>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</si>
  <si>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</si>
  <si>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</si>
  <si>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</si>
  <si>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</si>
  <si>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</si>
  <si>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</si>
  <si>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</si>
  <si>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</si>
  <si>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</si>
  <si>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</si>
  <si>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</si>
  <si>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</si>
  <si>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</si>
  <si>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</si>
  <si>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</si>
  <si>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</si>
  <si>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</si>
  <si>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</si>
  <si>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</si>
  <si>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</si>
  <si>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</si>
  <si>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</si>
  <si>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</si>
  <si>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</si>
  <si>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</si>
  <si>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</si>
  <si>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</si>
  <si>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</si>
  <si>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</si>
  <si>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</si>
  <si>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</si>
  <si>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</si>
  <si>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</si>
  <si>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</si>
  <si>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</si>
  <si>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</si>
  <si>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</si>
  <si>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</si>
  <si>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</si>
  <si>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</si>
  <si>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</si>
  <si>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</si>
  <si>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</si>
  <si>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</si>
  <si>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</si>
  <si>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</si>
  <si>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</si>
  <si>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</si>
  <si>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</si>
  <si>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</si>
  <si>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</si>
  <si>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</si>
  <si>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</si>
  <si>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</si>
  <si>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</si>
  <si>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</si>
  <si>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</si>
  <si>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</si>
  <si>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</si>
  <si>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</si>
  <si>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</si>
  <si>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</si>
  <si>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</si>
  <si>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</si>
  <si>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</si>
  <si>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</si>
  <si>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</si>
  <si>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</si>
  <si>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</si>
  <si>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</si>
  <si>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</si>
  <si>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</si>
  <si>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</si>
  <si>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</si>
  <si>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</si>
  <si>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</si>
  <si>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</si>
  <si>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</si>
  <si>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</si>
  <si>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</si>
  <si>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</si>
  <si>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</si>
  <si>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</si>
  <si>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</si>
  <si>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</si>
  <si>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</si>
  <si>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</si>
  <si>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</si>
  <si>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</si>
  <si>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</si>
  <si>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</si>
  <si>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</si>
  <si>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</si>
  <si>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</si>
  <si>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</si>
  <si>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</si>
  <si>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</si>
  <si>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</si>
  <si>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</si>
  <si>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</si>
  <si>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</si>
  <si>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</si>
  <si>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</si>
  <si>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</si>
  <si>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</si>
  <si>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</si>
  <si>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</si>
  <si>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</si>
  <si>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</si>
  <si>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</si>
  <si>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</si>
  <si>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</si>
  <si>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</si>
  <si>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</si>
  <si>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</si>
  <si>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</si>
  <si>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</si>
  <si>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</si>
  <si>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</si>
  <si>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</si>
  <si>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</si>
  <si>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</si>
  <si>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</si>
  <si>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</si>
  <si>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</si>
  <si>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</si>
  <si>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</si>
  <si>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</si>
  <si>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</si>
  <si>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</si>
  <si>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</si>
  <si>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</si>
  <si>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</si>
  <si>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</si>
  <si>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</si>
  <si>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</si>
  <si>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</si>
  <si>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</si>
  <si>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</si>
  <si>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</si>
  <si>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</si>
  <si>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</si>
  <si>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</si>
  <si>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</si>
  <si>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</si>
  <si>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</si>
  <si>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</si>
  <si>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</si>
  <si>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</si>
  <si>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</si>
  <si>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</si>
  <si>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</si>
  <si>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</si>
  <si>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</si>
  <si>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</si>
  <si>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</si>
  <si>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</si>
  <si>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</si>
  <si>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</si>
  <si>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</si>
  <si>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</si>
  <si>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</si>
  <si>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</si>
  <si>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</si>
  <si>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</si>
  <si>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</si>
  <si>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</si>
  <si>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</si>
  <si>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</si>
  <si>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</si>
  <si>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</si>
  <si>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</si>
  <si>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</si>
  <si>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</si>
  <si>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</si>
  <si>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</si>
  <si>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</si>
  <si>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</si>
  <si>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</si>
  <si>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</si>
  <si>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</si>
  <si>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</si>
  <si>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</si>
  <si>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</si>
  <si>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</si>
  <si>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</si>
  <si>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</si>
  <si>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</si>
  <si>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</si>
  <si>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</si>
  <si>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</si>
  <si>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</si>
  <si>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</si>
  <si>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</si>
  <si>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</si>
  <si>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</si>
  <si>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</si>
  <si>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</si>
  <si>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</si>
  <si>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</si>
  <si>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</si>
  <si>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</si>
  <si>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</si>
  <si>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</si>
  <si>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</si>
  <si>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</si>
  <si>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</si>
  <si>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</si>
  <si>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</si>
  <si>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</si>
  <si>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</si>
  <si>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</si>
  <si>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</si>
  <si>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</si>
  <si>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</si>
  <si>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</si>
  <si>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</si>
  <si>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</si>
  <si>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</si>
  <si>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</si>
  <si>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</si>
  <si>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</si>
  <si>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</si>
  <si>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</si>
  <si>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</si>
  <si>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MARIO ENJUANES</t>
  </si>
  <si>
    <t>Very good job!</t>
  </si>
  <si>
    <t>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</si>
</sst>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B3" sqref="B3:C3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20</v>
      </c>
      <c r="D1" s="124" t="s">
        <v>751</v>
      </c>
      <c r="E1" s="125">
        <v>2025</v>
      </c>
      <c r="F1" s="120" t="str">
        <f>TEXT(C1,"00") &amp; "_" &amp; TEXT(C2,"000")&amp; "_" &amp; H4 &amp; "_" &amp; H5 &amp; "_" &amp; B2</f>
        <v>20_200_MUN_BAS_E2025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E2025</v>
      </c>
      <c r="C2" s="123">
        <v>200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77">
        <f ca="1">IF(ISERROR(VLOOKUP($B$2&amp;TEXT($C$2,"000"),GAMES!$A$3:$I$562,8,FALSE)),NOW(),VLOOKUP($B$2&amp;TEXT($C$2,"000"),GAMES!$A$3:$I$562,8,FALSE))</f>
        <v>46029.854166666664</v>
      </c>
      <c r="C3" s="178"/>
      <c r="D3" s="39">
        <v>0</v>
      </c>
      <c r="E3" s="29"/>
      <c r="F3" s="26">
        <f>SUBTOTAL(3,I17:I106)</f>
        <v>0</v>
      </c>
      <c r="G3" s="27" t="str">
        <f>IF(OR(D3="",D3=0),"",F3/D3)</f>
        <v/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7" t="s">
        <v>86</v>
      </c>
      <c r="C4" s="168"/>
      <c r="D4" s="181" t="str">
        <f>IF(ISERROR(VLOOKUP(H4,Teams!$B$2:$C$44,2,FALSE)),"Local Team",VLOOKUP(H4,Teams!$B$2:$C$44,2,FALSE))</f>
        <v>FC Bayern Munich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85" t="s">
        <v>750</v>
      </c>
      <c r="N4" s="186"/>
      <c r="O4" s="2"/>
      <c r="P4" s="2"/>
      <c r="Q4" s="84" t="s">
        <v>175</v>
      </c>
      <c r="R4" s="94">
        <f>(IF(G3="",0,G3))</f>
        <v>0</v>
      </c>
      <c r="S4" s="61">
        <f>SUM(I13:M13)</f>
        <v>0</v>
      </c>
      <c r="T4" s="78"/>
      <c r="U4" s="61">
        <f>AC18</f>
        <v>0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71" t="s">
        <v>87</v>
      </c>
      <c r="C5" s="184"/>
      <c r="D5" s="191" t="str">
        <f>IF(ISERROR(VLOOKUP(H5,Teams!$B$2:$C$44,2,FALSE)),"Visitor Team",VLOOKUP(H5,Teams!$B$2:$C$44,2,FALSE))</f>
        <v>Baskonia Vitoria-Gasteiz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BAS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</v>
      </c>
      <c r="S5" s="70">
        <f t="shared" ref="S5" si="0">S4*S3</f>
        <v>0</v>
      </c>
      <c r="T5" s="92"/>
      <c r="U5" s="70">
        <f t="shared" ref="U5:AG5" si="1">U4*U3</f>
        <v>0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7" t="s">
        <v>95</v>
      </c>
      <c r="C6" s="168"/>
      <c r="D6" s="158" t="str">
        <f>H7</f>
        <v>Data entry Name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69" t="s">
        <v>96</v>
      </c>
      <c r="C7" s="170"/>
      <c r="D7" s="158" t="str">
        <f>I7</f>
        <v>Caller 1 Name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0</v>
      </c>
      <c r="N7" s="58"/>
      <c r="O7" s="2"/>
      <c r="P7" s="2"/>
      <c r="Q7" s="86">
        <f>SUM(R5,S5,AC16)</f>
        <v>0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71" t="s">
        <v>97</v>
      </c>
      <c r="C8" s="172"/>
      <c r="D8" s="161" t="str">
        <f>J7</f>
        <v>Caller 2 Name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0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7" t="s">
        <v>98</v>
      </c>
      <c r="C9" s="173"/>
      <c r="D9" s="158" t="str">
        <f>K7</f>
        <v>Timerkeeper Name</v>
      </c>
      <c r="E9" s="159"/>
      <c r="F9" s="159"/>
      <c r="G9" s="16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71" t="s">
        <v>99</v>
      </c>
      <c r="C10" s="172"/>
      <c r="D10" s="161" t="str">
        <f>L7</f>
        <v>Shotclock Name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56" t="s">
        <v>108</v>
      </c>
      <c r="C11" s="157"/>
      <c r="D11" s="174" t="str">
        <f>M8</f>
        <v>IRS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/>
      </c>
      <c r="G12" s="50" t="str">
        <f>IF(I12="","",$C$2)</f>
        <v/>
      </c>
      <c r="H12" s="40" t="str">
        <f>$I$10</f>
        <v>LOGISTICS</v>
      </c>
      <c r="I12" s="14"/>
      <c r="J12" s="15"/>
      <c r="K12" s="15"/>
      <c r="L12" s="15"/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56" t="s">
        <v>162</v>
      </c>
      <c r="C14" s="157"/>
      <c r="D14" s="164" t="s">
        <v>749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0</v>
      </c>
      <c r="J15" s="24">
        <f>SUBTOTAL(3,J17:J106)</f>
        <v>0</v>
      </c>
      <c r="K15" s="24">
        <f>SUBTOTAL(3,K17:K106)</f>
        <v>0</v>
      </c>
      <c r="L15" s="24">
        <f>SUBTOTAL(3,L17:L106)</f>
        <v>0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0</v>
      </c>
      <c r="Z16" s="90" t="s">
        <v>110</v>
      </c>
      <c r="AA16" s="75">
        <f>SUM(AA17:AA24)</f>
        <v>0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0</v>
      </c>
      <c r="AD16" s="75">
        <f>SUM(AD17:AD24)</f>
        <v>45</v>
      </c>
      <c r="AE16" s="76" t="s">
        <v>42</v>
      </c>
      <c r="AF16" s="75">
        <f>SUM(AF17:AF24)</f>
        <v>0</v>
      </c>
      <c r="AG16" s="75">
        <f>SUM(AG17:AG21)</f>
        <v>0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/>
      </c>
      <c r="C17" s="31" t="str">
        <f t="shared" ref="C17:C48" si="3">IF(I17="","",$C$2)</f>
        <v/>
      </c>
      <c r="D17" s="32"/>
      <c r="E17" s="33"/>
      <c r="F17" s="36"/>
      <c r="G17" s="36"/>
      <c r="H17" s="38" t="str">
        <f>IF(I17="","",$I$14)</f>
        <v/>
      </c>
      <c r="I17" s="34"/>
      <c r="J17" s="13"/>
      <c r="K17" s="13"/>
      <c r="L17" s="13"/>
      <c r="M17" s="13"/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0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/>
      </c>
      <c r="C18" s="31" t="str">
        <f t="shared" si="3"/>
        <v/>
      </c>
      <c r="D18" s="32"/>
      <c r="E18" s="33"/>
      <c r="F18" s="36"/>
      <c r="G18" s="36"/>
      <c r="H18" s="38" t="str">
        <f t="shared" ref="H18:H81" si="8">IF(I18="","",$I$14)</f>
        <v/>
      </c>
      <c r="I18" s="34"/>
      <c r="J18" s="13"/>
      <c r="K18" s="13"/>
      <c r="L18" s="13"/>
      <c r="M18" s="13"/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0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REPORT_E2025200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"E2025200"</v>
      </c>
      <c r="F3" s="45" t="str">
        <f t="shared" ref="F3:F16" si="0">""""&amp;B3&amp;"""" &amp; " : " &amp;C3&amp;","</f>
        <v>"name" : "E2025200",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"E200"</v>
      </c>
      <c r="F4" s="45" t="str">
        <f t="shared" si="0"/>
        <v>"cod" : "E200",</v>
      </c>
    </row>
    <row r="5" spans="2:6" x14ac:dyDescent="0.2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">
      <c r="B6" s="43" t="s">
        <v>118</v>
      </c>
      <c r="C6" s="43" t="str">
        <f>TEXT('SCOUT &amp; LOGISTICS'!C2,"000")</f>
        <v>200</v>
      </c>
      <c r="F6" s="45" t="str">
        <f t="shared" si="0"/>
        <v>"number" : 200,</v>
      </c>
    </row>
    <row r="7" spans="2:6" x14ac:dyDescent="0.2">
      <c r="B7" s="43" t="s">
        <v>116</v>
      </c>
      <c r="C7" s="43" t="str">
        <f ca="1">""""&amp;TEXT('SCOUT &amp; LOGISTICS'!B3,"dd/mm/aaaa")&amp;""""</f>
        <v>"07/01/Wednesday"</v>
      </c>
      <c r="F7" s="45" t="str">
        <f t="shared" ca="1" si="0"/>
        <v>"date" : "07/01/Wednesday",</v>
      </c>
    </row>
    <row r="8" spans="2:6" x14ac:dyDescent="0.2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">
      <c r="B9" s="43" t="s">
        <v>126</v>
      </c>
      <c r="C9" s="43" t="str">
        <f>""""&amp;'SCOUT &amp; LOGISTICS'!D5&amp;""""</f>
        <v>"Baskonia Vitoria-Gasteiz"</v>
      </c>
      <c r="F9" s="45" t="str">
        <f t="shared" si="0"/>
        <v>"away_team" : "Baskonia Vitoria-Gasteiz",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"Data entry Name"</v>
      </c>
      <c r="F10" s="45" t="str">
        <f t="shared" si="0"/>
        <v>"Data_entry" : "Data entry Name",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"Caller 1 Name"</v>
      </c>
      <c r="F11" s="45" t="str">
        <f t="shared" si="0"/>
        <v>"Caller_1" : "Caller 1 Name",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"Caller 2 Name"</v>
      </c>
      <c r="F12" s="45" t="str">
        <f t="shared" si="0"/>
        <v>"Caller_2" : "Caller 2 Name",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"Timerkeeper Name"</v>
      </c>
      <c r="F13" s="45" t="str">
        <f t="shared" si="0"/>
        <v>"Timerkeeper" : "Timerkeeper Name",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"Shotclock Name"</v>
      </c>
      <c r="F14" s="45" t="str">
        <f t="shared" si="0"/>
        <v>"Shotclock" : "Shotclock Name",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"MARIO ENJUANES"</v>
      </c>
      <c r="F16" s="45" t="str">
        <f t="shared" si="0"/>
        <v>"Live_Game_Manager" : "MARIO ENJUANES",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""</v>
      </c>
      <c r="F18" s="45" t="str">
        <f>""""&amp;C18&amp;"""" &amp; " : " &amp;D18&amp;","</f>
        <v>"arrival_time" : "",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""</v>
      </c>
      <c r="F19" s="45" t="str">
        <f>""""&amp;C19&amp;"""" &amp; " : " &amp;D19&amp;","</f>
        <v>"check_list_on_time" : "",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""</v>
      </c>
      <c r="F20" s="45" t="str">
        <f>""""&amp;C20&amp;"""" &amp; " : " &amp;D20&amp;","</f>
        <v>"communication" : "",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""</v>
      </c>
      <c r="F21" s="45" t="str">
        <f>""""&amp;C21&amp;"""" &amp; " : " &amp;D21&amp;","</f>
        <v>"corrections" : "",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0</v>
      </c>
      <c r="F25" s="45" t="str">
        <f t="shared" ref="F25:F48" si="1">""""&amp;C25&amp;"""" &amp; " : " &amp;D25&amp;","</f>
        <v>"total_actions" : 0,</v>
      </c>
    </row>
    <row r="26" spans="2:6" x14ac:dyDescent="0.2">
      <c r="C26" s="43" t="s">
        <v>132</v>
      </c>
      <c r="D26" s="43">
        <f>'SCOUT &amp; LOGISTICS'!F3</f>
        <v>0</v>
      </c>
      <c r="F26" s="45" t="str">
        <f t="shared" si="1"/>
        <v>"total_correcions" : 0,</v>
      </c>
    </row>
    <row r="27" spans="2:6" x14ac:dyDescent="0.2">
      <c r="C27" s="43" t="s">
        <v>133</v>
      </c>
      <c r="D27" s="43" t="str">
        <f>""""&amp;IF(OR(D25="",D25=0),"",TEXT(D26/D25,"0,0%"))&amp;""""</f>
        <v>""</v>
      </c>
      <c r="F27" s="45" t="str">
        <f t="shared" si="1"/>
        <v>"%_corrections" : "",</v>
      </c>
    </row>
    <row r="28" spans="2:6" x14ac:dyDescent="0.2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0</v>
      </c>
      <c r="F37" s="45" t="str">
        <f t="shared" si="1"/>
        <v>"scoresheet_corrections" : 0,</v>
      </c>
    </row>
    <row r="38" spans="3:6" x14ac:dyDescent="0.2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">
      <c r="C39" s="43" t="s">
        <v>142</v>
      </c>
      <c r="D39" s="43">
        <f>'SCOUT &amp; LOGISTICS'!AC18</f>
        <v>0</v>
      </c>
      <c r="F39" s="45" t="str">
        <f t="shared" si="1"/>
        <v>"missidentity" : 0,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"Very good job!"</v>
      </c>
      <c r="F51" s="45" t="str">
        <f>""""&amp;B51&amp;"""" &amp; " : " &amp;C51&amp;","</f>
        <v>"comments" : "Very good job!",</v>
      </c>
    </row>
    <row r="52" spans="2:6" x14ac:dyDescent="0.2">
      <c r="B52" s="43" t="s">
        <v>153</v>
      </c>
      <c r="C52" s="43" t="str">
        <f>TEXT('SCOUT &amp; LOGISTICS'!F1,"0,0")</f>
        <v>20_200_MUN_BAS_E2025</v>
      </c>
      <c r="F52" s="45" t="str">
        <f>""""&amp;B52&amp;"""" &amp; " : " &amp;C52</f>
        <v>"result" : 20_200_MUN_BAS_E2025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4">
      <c r="A3" s="48"/>
      <c r="B3" s="202" t="str">
        <f>"GAME: "&amp; LEFT('SCOUT &amp; LOGISTICS'!B2,1) &amp; TEXT('SCOUT &amp; LOGISTICS'!C2,"000") &amp; " " &amp; IF(LEFT('SCOUT &amp; LOGISTICS'!B2,1)="U","(EUROCUP)","(EUROLEAGUE)")</f>
        <v>GAME: E200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4">
      <c r="A4" s="48"/>
      <c r="B4" s="200" t="str">
        <f ca="1">"DATE: " &amp; TEXT('SCOUT &amp; LOGISTICS'!B3,"dd/mm")</f>
        <v>DATE: 07/01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00000000000001" customHeight="1" thickBot="1" x14ac:dyDescent="0.4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" customHeight="1" thickBot="1" x14ac:dyDescent="0.4">
      <c r="A6" s="48"/>
      <c r="B6" s="197" t="str">
        <f>PROPER('SCOUT &amp; LOGISTICS'!D4)</f>
        <v>Fc Bayern Munich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Baskonia Vitoria-Gasteiz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4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4">
      <c r="A8" s="48"/>
      <c r="B8" s="201" t="str">
        <f>IF('SCOUT &amp; LOGISTICS'!D6="","",'SCOUT &amp; LOGISTICS'!D6)</f>
        <v>Data entry Name</v>
      </c>
      <c r="C8" s="201"/>
      <c r="D8" s="201"/>
      <c r="E8" s="201"/>
      <c r="F8" s="201"/>
      <c r="G8" s="201" t="str">
        <f>IF('SCOUT &amp; LOGISTICS'!D7="","",'SCOUT &amp; LOGISTICS'!D7)</f>
        <v>Caller 1 Name</v>
      </c>
      <c r="H8" s="201"/>
      <c r="I8" s="201"/>
      <c r="J8" s="201"/>
      <c r="K8" s="201"/>
      <c r="L8" s="201" t="str">
        <f>IF('SCOUT &amp; LOGISTICS'!D8="","",'SCOUT &amp; LOGISTICS'!D8)</f>
        <v>Caller 2 Name</v>
      </c>
      <c r="M8" s="201"/>
      <c r="N8" s="201"/>
      <c r="O8" s="201"/>
      <c r="P8" s="201"/>
      <c r="Q8" s="201" t="str">
        <f>IF('SCOUT &amp; LOGISTICS'!D9="","",'SCOUT &amp; LOGISTICS'!D9)</f>
        <v>Timerkeeper Name</v>
      </c>
      <c r="R8" s="201"/>
      <c r="S8" s="201"/>
      <c r="T8" s="201"/>
      <c r="U8" s="201"/>
      <c r="V8" s="201" t="str">
        <f>IF('SCOUT &amp; LOGISTICS'!D10="","",'SCOUT &amp; LOGISTICS'!D10)</f>
        <v>Shotclock Name</v>
      </c>
      <c r="W8" s="201"/>
      <c r="X8" s="201"/>
      <c r="Y8" s="201"/>
      <c r="Z8" s="201"/>
      <c r="AA8" s="201" t="str">
        <f>IF('SCOUT &amp; LOGISTICS'!D11="","",'SCOUT &amp; LOGISTICS'!D11)</f>
        <v>IRS</v>
      </c>
      <c r="AB8" s="201"/>
      <c r="AC8" s="201"/>
      <c r="AD8" s="201"/>
      <c r="AE8" s="201"/>
      <c r="AF8" s="48"/>
    </row>
    <row r="9" spans="1:33" ht="17.25" thickBot="1" x14ac:dyDescent="0.4">
      <c r="A9" s="48"/>
      <c r="B9" s="209" t="str">
        <f>IF(OR('SCOUT &amp; LOGISTICS'!D14="",'SCOUT &amp; LOGISTICS'!D14=0),"",'SCOUT &amp; LOGISTICS'!B14 &amp; ": " &amp; 'SCOUT &amp; LOGISTICS'!D14) &amp; "     "</f>
        <v xml:space="preserve">L G M: : MARIO ENJUANES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7.25" thickBot="1" x14ac:dyDescent="0.4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00000000000001" customHeight="1" thickBot="1" x14ac:dyDescent="0.4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5" t="str">
        <f>IF('SCOUT &amp; LOGISTICS'!I12="","",'SCOUT &amp; LOGISTICS'!I12)</f>
        <v/>
      </c>
      <c r="C13" s="205"/>
      <c r="D13" s="205"/>
      <c r="E13" s="205"/>
      <c r="F13" s="205"/>
      <c r="G13" s="205"/>
      <c r="H13" s="205" t="str">
        <f>IF('SCOUT &amp; LOGISTICS'!J12="","",'SCOUT &amp; LOGISTICS'!J12)</f>
        <v/>
      </c>
      <c r="I13" s="205"/>
      <c r="J13" s="205"/>
      <c r="K13" s="205"/>
      <c r="L13" s="205"/>
      <c r="M13" s="205"/>
      <c r="N13" s="205" t="str">
        <f>IF('SCOUT &amp; LOGISTICS'!K12="","",'SCOUT &amp; LOGISTICS'!K12)</f>
        <v/>
      </c>
      <c r="O13" s="205"/>
      <c r="P13" s="205"/>
      <c r="Q13" s="205"/>
      <c r="R13" s="205"/>
      <c r="S13" s="205"/>
      <c r="T13" s="205" t="str">
        <f>IF('SCOUT &amp; LOGISTICS'!L12="","",'SCOUT &amp; LOGISTICS'!L12)</f>
        <v/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7.25" thickBot="1" x14ac:dyDescent="0.4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00000000000001" customHeight="1" thickBot="1" x14ac:dyDescent="0.4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3">
        <f>'SCOUT &amp; LOGISTICS'!D3</f>
        <v>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0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 t="str">
        <f>IF(OR(B17="",B17=0),"",L17/B17)</f>
        <v/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7.25" thickBot="1" x14ac:dyDescent="0.4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9">
        <f>IF('SCOUT &amp; LOGISTICS'!AA17="","",'SCOUT &amp; LOGISTICS'!AA17)</f>
        <v>0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0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0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7.25" thickBot="1" x14ac:dyDescent="0.4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9">
        <f>'SCOUT &amp; LOGISTICS'!Y17</f>
        <v>0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9">
        <f>'SCOUT &amp; LOGISTICS'!AC18</f>
        <v>0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7.25" thickBot="1" x14ac:dyDescent="0.4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00000000000001" customHeight="1" thickBot="1" x14ac:dyDescent="0.4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" customHeight="1" thickBot="1" x14ac:dyDescent="0.4">
      <c r="A32" s="48"/>
      <c r="B32" s="211" t="str">
        <f>IF('SCOUT &amp; LOGISTICS'!M4="","",'SCOUT &amp; LOGISTICS'!M4)</f>
        <v>Very good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00000000000001" customHeight="1" thickBot="1" x14ac:dyDescent="0.4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00000000000001" customHeight="1" thickBot="1" x14ac:dyDescent="0.4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212">
        <f>'SCOUT &amp; LOGISTICS'!M7</f>
        <v>0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cbd763c1df382b163d3581e1625dd683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3111ca859055e6ae99f5b033c2cff10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4B87C1E-A61F-49C7-B0AE-EED98A4B4B2B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Mario Enjuanes</cp:lastModifiedBy>
  <cp:lastPrinted>2025-10-09T17:11:09Z</cp:lastPrinted>
  <dcterms:created xsi:type="dcterms:W3CDTF">2023-09-19T19:50:35Z</dcterms:created>
  <dcterms:modified xsi:type="dcterms:W3CDTF">2025-10-09T17:19:12Z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