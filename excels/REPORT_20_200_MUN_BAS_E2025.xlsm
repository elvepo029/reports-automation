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D03EA053-0CB6-4DCB-9626-018D0F5AC5D0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<sst xmlns="http://schemas.openxmlformats.org/spreadsheetml/2006/main" count="3261" uniqueCount="762">
  <si>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</si>
  <si>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</si>
  <si>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</si>
  <si>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</si>
  <si>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</si>
  <si>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</si>
  <si>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</si>
  <si>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</si>
  <si>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</si>
  <si>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</si>
  <si>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</si>
  <si>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</si>
  <si>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</si>
  <si>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</si>
  <si>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</si>
  <si>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</si>
  <si>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</si>
  <si>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</si>
  <si>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</si>
  <si>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</si>
  <si>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</si>
  <si>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</si>
  <si>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</si>
  <si>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</si>
  <si>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</si>
  <si>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</si>
  <si>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</si>
  <si>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</si>
  <si>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</si>
  <si>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</si>
  <si>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</si>
  <si>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</si>
  <si>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</si>
  <si>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</si>
  <si>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</si>
  <si>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</si>
  <si>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</si>
  <si>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</si>
  <si>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</si>
  <si>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</si>
  <si>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</si>
  <si>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</si>
  <si>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</si>
  <si>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</si>
  <si>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</si>
  <si>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</si>
  <si>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</si>
  <si>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</si>
  <si>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</si>
  <si>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</si>
  <si>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</si>
  <si>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</si>
  <si>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</si>
  <si>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</si>
  <si>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</si>
  <si>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</si>
  <si>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</si>
  <si>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</si>
  <si>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</si>
  <si>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</si>
  <si>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</si>
  <si>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</si>
  <si>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</si>
  <si>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</si>
  <si>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</si>
  <si>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</si>
  <si>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</si>
  <si>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</si>
  <si>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</si>
  <si>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</si>
  <si>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</si>
  <si>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</si>
  <si>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</si>
  <si>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</si>
  <si>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</si>
  <si>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</si>
  <si>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</si>
  <si>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</si>
  <si>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</si>
  <si>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</si>
  <si>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</si>
  <si>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</si>
  <si>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</si>
  <si>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</si>
  <si>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</si>
  <si>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</si>
  <si>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</si>
  <si>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</si>
  <si>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</si>
  <si>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</si>
  <si>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</si>
  <si>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</si>
  <si>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</si>
  <si>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</si>
  <si>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</si>
  <si>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</si>
  <si>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</si>
  <si>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</si>
  <si>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</si>
  <si>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</si>
  <si>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</si>
  <si>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</si>
  <si>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</si>
  <si>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</si>
  <si>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</si>
  <si>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</si>
  <si>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</si>
  <si>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</si>
  <si>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</si>
  <si>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</si>
  <si>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</si>
  <si>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</si>
  <si>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</si>
  <si>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</si>
  <si>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</si>
  <si>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</si>
  <si>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</si>
  <si>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</si>
  <si>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</si>
  <si>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</si>
  <si>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</si>
  <si>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</si>
  <si>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</si>
  <si>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</si>
  <si>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</si>
  <si>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</si>
  <si>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</si>
  <si>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</si>
  <si>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</si>
  <si>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</si>
  <si>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</si>
  <si>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</si>
  <si>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</si>
  <si>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</si>
  <si>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</si>
  <si>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</si>
  <si>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</si>
  <si>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</si>
  <si>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</si>
  <si>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</si>
  <si>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</si>
  <si>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</si>
  <si>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</si>
  <si>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</si>
  <si>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</si>
  <si>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</si>
  <si>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</si>
  <si>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</si>
  <si>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</si>
  <si>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</si>
  <si>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</si>
  <si>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</si>
  <si>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</si>
  <si>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</si>
  <si>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</si>
  <si>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</si>
  <si>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</si>
  <si>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</si>
  <si>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</si>
  <si>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</si>
  <si>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</si>
  <si>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</si>
  <si>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</si>
  <si>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</si>
  <si>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</si>
  <si>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</si>
  <si>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</si>
  <si>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</si>
  <si>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</si>
  <si>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</si>
  <si>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</si>
  <si>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</si>
  <si>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</si>
  <si>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</si>
  <si>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</si>
  <si>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</si>
  <si>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</si>
  <si>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</si>
  <si>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</si>
  <si>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</si>
  <si>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</si>
  <si>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</si>
  <si>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</si>
  <si>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</si>
  <si>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</si>
  <si>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</si>
  <si>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</si>
  <si>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</si>
  <si>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</si>
  <si>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</si>
  <si>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</si>
  <si>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</si>
  <si>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</si>
  <si>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</si>
  <si>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</si>
  <si>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</si>
  <si>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</si>
  <si>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</si>
  <si>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</si>
  <si>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</si>
  <si>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</si>
  <si>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</si>
  <si>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</si>
  <si>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</si>
  <si>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</si>
  <si>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</si>
  <si>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</si>
  <si>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</si>
  <si>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</si>
  <si>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</si>
  <si>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</si>
  <si>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</si>
  <si>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</si>
  <si>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</si>
  <si>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</si>
  <si>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</si>
  <si>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</si>
  <si>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</si>
  <si>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</si>
  <si>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</si>
  <si>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</si>
  <si>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</si>
  <si>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</si>
  <si>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</si>
  <si>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</si>
  <si>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</si>
  <si>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</si>
  <si>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</si>
  <si>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</si>
  <si>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</si>
  <si>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</si>
  <si>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</si>
  <si>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</si>
  <si>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</si>
  <si>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</si>
  <si>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</si>
  <si>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</si>
  <si>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</si>
  <si>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</si>
  <si>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</si>
  <si>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</si>
  <si>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</si>
  <si>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</si>
  <si>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</si>
  <si>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</si>
  <si>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</si>
  <si>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</si>
  <si>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</si>
  <si>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</si>
  <si>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</si>
  <si>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</si>
  <si>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</si>
  <si>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</si>
  <si>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</si>
  <si>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</si>
  <si>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</si>
  <si>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</si>
  <si>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</si>
  <si>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</si>
  <si>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</si>
  <si>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</si>
  <si>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</si>
  <si>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</si>
  <si>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</si>
  <si>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</si>
  <si>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</si>
  <si>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</si>
  <si>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</si>
  <si>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</si>
  <si>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</si>
  <si>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</si>
  <si>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</si>
  <si>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</si>
  <si>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</si>
  <si>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</si>
  <si>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</si>
  <si>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</si>
  <si>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</si>
  <si>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</si>
  <si>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</si>
  <si>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</si>
  <si>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</si>
  <si>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</si>
  <si>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</si>
  <si>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</si>
  <si>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</si>
  <si>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</si>
  <si>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</si>
  <si>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</si>
  <si>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</si>
  <si>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</si>
  <si>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</si>
  <si>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</si>
  <si>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</si>
  <si>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</si>
  <si>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</si>
  <si>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</si>
  <si>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</si>
  <si>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</si>
  <si>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</si>
  <si>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</si>
  <si>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</si>
  <si>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</si>
  <si>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</si>
  <si>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</si>
  <si>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</si>
  <si>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</si>
  <si>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</si>
  <si>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</si>
  <si>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</si>
  <si>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</si>
  <si>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</si>
  <si>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</si>
  <si>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</si>
  <si>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</si>
  <si>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</si>
  <si>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</si>
  <si>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</si>
  <si>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</si>
  <si>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</si>
  <si>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</si>
  <si>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</si>
  <si>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</si>
  <si>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</si>
  <si>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</si>
  <si>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</si>
  <si>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</si>
  <si>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</si>
  <si>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</si>
  <si>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</si>
  <si>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</si>
  <si>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</si>
  <si>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</si>
  <si>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</si>
  <si>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</si>
  <si>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</si>
  <si>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</si>
  <si>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</si>
  <si>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</si>
  <si>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</si>
  <si>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</si>
  <si>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</si>
  <si>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</si>
  <si>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</si>
  <si>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</si>
  <si>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</si>
  <si>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</si>
  <si>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</si>
  <si>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</si>
  <si>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</si>
  <si>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</si>
  <si>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</si>
  <si>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</si>
  <si>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</si>
  <si>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</si>
  <si>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</si>
  <si>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</si>
  <si>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</si>
  <si>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</si>
  <si>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</si>
  <si>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</si>
  <si>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</si>
  <si>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</si>
  <si>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</si>
  <si>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</si>
  <si>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</si>
  <si>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</si>
  <si>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</si>
  <si>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</si>
  <si>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</si>
  <si>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</si>
  <si>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</si>
  <si>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</si>
  <si>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</si>
  <si>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</si>
  <si>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</si>
  <si>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</si>
  <si>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</si>
  <si>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</si>
  <si>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</si>
  <si>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</si>
  <si>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</si>
  <si>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</si>
  <si>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</si>
  <si>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</si>
  <si>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</si>
  <si>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</si>
  <si>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</si>
  <si>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</si>
  <si>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</si>
  <si>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</si>
  <si>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</si>
  <si>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</si>
  <si>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</si>
  <si>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</si>
  <si>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</si>
  <si>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</si>
  <si>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</si>
  <si>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</si>
  <si>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</si>
  <si>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</si>
  <si>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</si>
  <si>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</si>
  <si>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</si>
  <si>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</si>
  <si>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</si>
  <si>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</si>
  <si>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</si>
  <si>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</si>
  <si>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</si>
  <si>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</si>
  <si>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</si>
  <si>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</si>
  <si>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</si>
  <si>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</si>
  <si>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</si>
  <si>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</si>
  <si>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</si>
  <si>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</si>
  <si>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</si>
  <si>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</si>
  <si>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</si>
  <si>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</si>
  <si>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</si>
  <si>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</si>
  <si>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</si>
  <si>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</si>
  <si>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</si>
  <si>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</si>
  <si>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</si>
  <si>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</si>
  <si>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</si>
  <si>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</si>
  <si>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</si>
  <si>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</si>
  <si>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</si>
  <si>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</si>
  <si>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</si>
  <si>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</si>
  <si>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</si>
  <si>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</si>
  <si>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</si>
  <si>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</si>
  <si>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</si>
  <si>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</si>
  <si>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</si>
  <si>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</si>
  <si>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</si>
  <si>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</si>
  <si>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</si>
  <si>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</si>
  <si>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</si>
  <si>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</si>
  <si>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</si>
  <si>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</si>
  <si>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</si>
  <si>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</si>
  <si>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</si>
  <si>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</si>
  <si>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</si>
  <si>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</si>
  <si>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</si>
  <si>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</si>
  <si>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</si>
  <si>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</si>
  <si>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</si>
  <si>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</si>
  <si>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</si>
  <si>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</si>
  <si>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</si>
  <si>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</si>
  <si>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</si>
  <si>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</si>
  <si>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</si>
  <si>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</si>
  <si>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</si>
  <si>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</si>
  <si>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</si>
  <si>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</si>
  <si>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</si>
  <si>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</si>
  <si>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</si>
  <si>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</si>
  <si>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</si>
  <si>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</si>
  <si>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</si>
  <si>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</si>
  <si>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</si>
  <si>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</si>
  <si>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</si>
  <si>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</si>
  <si>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</si>
  <si>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</si>
  <si>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</si>
  <si>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</si>
  <si>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</si>
  <si>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</si>
  <si>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</si>
  <si>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</si>
  <si>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</si>
  <si>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</si>
  <si>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</si>
  <si>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</si>
  <si>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</si>
  <si>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</si>
  <si>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</si>
  <si>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</si>
  <si>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</si>
  <si>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</si>
  <si>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</si>
  <si>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</si>
  <si>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</si>
  <si>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</si>
  <si>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</si>
  <si>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</si>
  <si>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</si>
  <si>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</si>
  <si>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</si>
  <si>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</si>
  <si>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</si>
  <si>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</si>
  <si>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</si>
  <si>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</si>
  <si>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</si>
  <si>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</si>
  <si>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</si>
  <si>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</si>
  <si>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</si>
  <si>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</si>
  <si>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</si>
  <si>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</si>
  <si>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</si>
  <si>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</si>
  <si>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</si>
  <si>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</si>
  <si>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</si>
  <si>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</si>
  <si>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</si>
  <si>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</si>
  <si>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</si>
  <si>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</si>
  <si>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</si>
  <si>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</si>
  <si>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</si>
  <si>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</si>
  <si>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</si>
  <si>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</si>
  <si>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</si>
  <si>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</si>
  <si>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</si>
  <si>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</si>
  <si>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</si>
  <si>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</si>
  <si>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</si>
  <si>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</si>
  <si>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</si>
  <si>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</si>
  <si>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</si>
  <si>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</si>
  <si>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</si>
  <si>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</si>
  <si>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</si>
  <si>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</si>
  <si>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</si>
  <si>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</si>
  <si>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</si>
  <si>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</si>
  <si>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</si>
  <si>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</si>
  <si>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</si>
  <si>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</si>
  <si>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</si>
  <si>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</si>
  <si>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</si>
  <si>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</si>
  <si>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</si>
  <si>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</si>
  <si>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</si>
  <si>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</si>
  <si>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</si>
  <si>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</si>
  <si>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</si>
  <si>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</si>
  <si>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</si>
  <si>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</si>
  <si>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</si>
  <si>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</si>
  <si>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</si>
  <si>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</si>
  <si>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</si>
  <si>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</si>
  <si>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</si>
  <si>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</si>
  <si>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</si>
  <si>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</si>
  <si>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</si>
  <si>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</si>
  <si>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</si>
  <si>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</si>
  <si>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</si>
  <si>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</si>
  <si>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</si>
  <si>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</si>
  <si>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</si>
  <si>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</si>
  <si>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</si>
  <si>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</si>
  <si>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</si>
  <si>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</si>
  <si>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</si>
  <si>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</si>
  <si>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</si>
  <si>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</si>
  <si>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</si>
  <si>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</si>
  <si>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</si>
  <si>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</si>
  <si>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</si>
  <si>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</si>
  <si>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</si>
  <si>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</si>
  <si>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</si>
  <si>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</si>
  <si>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</si>
  <si>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</si>
  <si>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</si>
  <si>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</si>
  <si>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</si>
  <si>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</si>
  <si>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</si>
  <si>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</si>
  <si>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</si>
  <si>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</si>
  <si>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</si>
  <si>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</si>
  <si>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</si>
  <si>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</si>
  <si>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</si>
  <si>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</si>
  <si>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</si>
  <si>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</si>
  <si>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</si>
  <si>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</si>
  <si>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</si>
  <si>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</si>
  <si>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</si>
  <si>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</si>
  <si>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</si>
  <si>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</si>
  <si>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</si>
  <si>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</si>
  <si>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</si>
  <si>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</si>
  <si>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</si>
  <si>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</si>
  <si>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</si>
  <si>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</si>
  <si>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</si>
  <si>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</si>
  <si>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</si>
  <si>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</si>
  <si>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</si>
  <si>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</si>
  <si>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</si>
  <si>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</si>
  <si>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</si>
  <si>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</si>
  <si>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</si>
  <si>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</si>
  <si>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</si>
  <si>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</si>
  <si>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</si>
  <si>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</si>
  <si>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</si>
  <si>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</si>
  <si>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</si>
  <si>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</si>
  <si>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</si>
  <si>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</si>
  <si>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</si>
  <si>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</si>
  <si>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</si>
  <si>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</si>
  <si>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</si>
  <si>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</si>
  <si>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</si>
  <si>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</si>
  <si>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</si>
  <si>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</si>
  <si>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</si>
  <si>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</si>
  <si>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</si>
  <si>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</si>
  <si>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</si>
  <si>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</si>
  <si>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</si>
  <si>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</si>
  <si>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</si>
  <si>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</si>
  <si>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</si>
  <si>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</si>
  <si>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</si>
  <si>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</si>
  <si>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</si>
  <si>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</si>
  <si>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</si>
  <si>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</si>
  <si>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</si>
  <si>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</si>
  <si>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</si>
  <si>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</si>
  <si>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</si>
  <si>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</si>
  <si>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</si>
  <si>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</si>
  <si>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</si>
  <si>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</si>
  <si>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</si>
  <si>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</si>
  <si>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</si>
  <si>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</si>
  <si>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</si>
  <si>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</si>
  <si>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</si>
  <si>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</si>
  <si>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</si>
  <si>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</si>
  <si>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</si>
  <si>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</si>
  <si>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</si>
  <si>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</si>
  <si>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</si>
  <si>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</si>
  <si>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</si>
  <si>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</si>
  <si>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</si>
  <si>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</si>
  <si>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</si>
  <si>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</si>
  <si>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</si>
  <si>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</si>
  <si>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</si>
  <si>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</si>
  <si>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</si>
  <si>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</si>
  <si>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</si>
  <si>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</si>
  <si>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</si>
  <si>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</si>
  <si>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</si>
  <si>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OSCAR CUESTA</t>
  </si>
  <si>
    <t>Excellent job, guys! So great in those very tricky plays… The block was the hardest one even for us ;)</t>
  </si>
  <si>
    <t>Markus Skubatz</t>
  </si>
  <si>
    <t>Sebastian Blatz</t>
  </si>
  <si>
    <t>Felix Roehlich</t>
  </si>
  <si>
    <t>Markus Idtsein</t>
  </si>
  <si>
    <t>Jurgen Jost</t>
  </si>
  <si>
    <t>Robert Tavaszi</t>
  </si>
  <si>
    <t>3:24</t>
  </si>
  <si>
    <t>2:45</t>
  </si>
  <si>
    <t>2:02</t>
  </si>
  <si>
    <t>Tap que es considera Steal perque condueix a pilota retinguda i salt entre 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</si>
</sst>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20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20_200_MUN_BAS_E2025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E2025</v>
      </c>
      <c r="C2" s="123">
        <v>200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77">
        <f ca="1">IF(ISERROR(VLOOKUP($B$2&amp;TEXT($C$2,"000"),GAMES!$A$3:$I$562,8,FALSE)),NOW(),VLOOKUP($B$2&amp;TEXT($C$2,"000"),GAMES!$A$3:$I$562,8,FALSE))</f>
        <v>46029.854166666664</v>
      </c>
      <c r="C3" s="178"/>
      <c r="D3" s="39">
        <v>578</v>
      </c>
      <c r="E3" s="29"/>
      <c r="F3" s="26">
        <f>SUBTOTAL(3,I17:I106)</f>
        <v>3</v>
      </c>
      <c r="G3" s="27">
        <f>IF(OR(D3="",D3=0),"",F3/D3)</f>
        <v>5.1903114186851208E-3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FC Bayern Munich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85" t="s">
        <v>751</v>
      </c>
      <c r="N4" s="186"/>
      <c r="O4" s="2"/>
      <c r="P4" s="2"/>
      <c r="Q4" s="84" t="s">
        <v>175</v>
      </c>
      <c r="R4" s="94">
        <f>(IF(G3="",0,G3))</f>
        <v>5.1903114186851208E-3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71" t="s">
        <v>87</v>
      </c>
      <c r="C5" s="184"/>
      <c r="D5" s="191" t="str">
        <f>IF(ISERROR(VLOOKUP(H5,Teams!$B$2:$C$44,2,FALSE)),"Visitor Team",VLOOKUP(H5,Teams!$B$2:$C$44,2,FALSE))</f>
        <v>Baskonia Vitoria-Gasteiz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0.51903114186851207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7" t="s">
        <v>95</v>
      </c>
      <c r="C6" s="168"/>
      <c r="D6" s="158" t="s">
        <v>752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69" t="s">
        <v>96</v>
      </c>
      <c r="C7" s="170"/>
      <c r="D7" s="158" t="s">
        <v>753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2.0190311418685121</v>
      </c>
      <c r="N7" s="58"/>
      <c r="O7" s="2"/>
      <c r="P7" s="2"/>
      <c r="Q7" s="86">
        <f>SUM(R5,S5,AC16)</f>
        <v>2.0190311418685121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71" t="s">
        <v>97</v>
      </c>
      <c r="C8" s="172"/>
      <c r="D8" s="161" t="s">
        <v>754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2.0190311418685121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7" t="s">
        <v>98</v>
      </c>
      <c r="C9" s="173"/>
      <c r="D9" s="158" t="s">
        <v>755</v>
      </c>
      <c r="E9" s="159"/>
      <c r="F9" s="159"/>
      <c r="G9" s="16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56" t="s">
        <v>108</v>
      </c>
      <c r="C11" s="157"/>
      <c r="D11" s="174" t="s">
        <v>757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200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E2025</v>
      </c>
      <c r="C17" s="31">
        <f t="shared" ref="C17:C48" si="3">IF(I17="","",$C$2)</f>
        <v>200</v>
      </c>
      <c r="D17" s="32" t="s">
        <v>758</v>
      </c>
      <c r="E17" s="33">
        <v>1</v>
      </c>
      <c r="F17" s="36">
        <v>10</v>
      </c>
      <c r="G17" s="36">
        <v>12</v>
      </c>
      <c r="H17" s="38" t="str">
        <f>IF(I17="","",$I$14)</f>
        <v>SCOUTING</v>
      </c>
      <c r="I17" s="34">
        <v>85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E2025</v>
      </c>
      <c r="C18" s="31">
        <f t="shared" si="3"/>
        <v>200</v>
      </c>
      <c r="D18" s="32" t="s">
        <v>759</v>
      </c>
      <c r="E18" s="33">
        <v>2</v>
      </c>
      <c r="F18" s="36">
        <v>33</v>
      </c>
      <c r="G18" s="36">
        <v>37</v>
      </c>
      <c r="H18" s="38" t="str">
        <f t="shared" ref="H18:H81" si="8">IF(I18="","",$I$14)</f>
        <v>SCOUTING</v>
      </c>
      <c r="I18" s="34">
        <v>251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20.399999999999999" x14ac:dyDescent="0.2">
      <c r="A19" s="20"/>
      <c r="B19" s="31" t="str">
        <f t="shared" si="2"/>
        <v>E2025</v>
      </c>
      <c r="C19" s="31">
        <f t="shared" si="3"/>
        <v>200</v>
      </c>
      <c r="D19" s="32" t="s">
        <v>760</v>
      </c>
      <c r="E19" s="33">
        <v>3</v>
      </c>
      <c r="F19" s="36">
        <v>58</v>
      </c>
      <c r="G19" s="36">
        <v>62</v>
      </c>
      <c r="H19" s="38" t="str">
        <f t="shared" si="8"/>
        <v>SCOUTING</v>
      </c>
      <c r="I19" s="34">
        <v>418</v>
      </c>
      <c r="J19" s="13" t="s">
        <v>4</v>
      </c>
      <c r="K19" s="13" t="s">
        <v>63</v>
      </c>
      <c r="L19" s="13" t="s">
        <v>5</v>
      </c>
      <c r="M19" s="13" t="s">
        <v>12</v>
      </c>
      <c r="N19" s="35" t="s">
        <v>761</v>
      </c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REPORT_E2025200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"E2025200"</v>
      </c>
      <c r="F3" s="45" t="str">
        <f t="shared" ref="F3:F16" si="0">""""&amp;B3&amp;"""" &amp; " : " &amp;C3&amp;","</f>
        <v>"name" : "E2025200",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"E200"</v>
      </c>
      <c r="F4" s="45" t="str">
        <f t="shared" si="0"/>
        <v>"cod" : "E200",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200</v>
      </c>
      <c r="F6" s="45" t="str">
        <f t="shared" si="0"/>
        <v>"number" : 200,</v>
      </c>
    </row>
    <row r="7" spans="2:6" x14ac:dyDescent="0.25">
      <c r="B7" s="43" t="s">
        <v>116</v>
      </c>
      <c r="C7" s="43" t="str">
        <f ca="1">""""&amp;TEXT('SCOUT &amp; LOGISTICS'!B3,"dd/mm/aaaa")&amp;""""</f>
        <v>"07/01/2026"</v>
      </c>
      <c r="F7" s="45" t="str">
        <f t="shared" ca="1" si="0"/>
        <v>"date" : "07/01/2026",</v>
      </c>
    </row>
    <row r="8" spans="2:6" x14ac:dyDescent="0.25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5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"Markus Skubatz"</v>
      </c>
      <c r="F10" s="45" t="str">
        <f t="shared" si="0"/>
        <v>"Data_entry" : "Markus Skubatz",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"Sebastian Blatz"</v>
      </c>
      <c r="F11" s="45" t="str">
        <f t="shared" si="0"/>
        <v>"Caller_1" : "Sebastian Blatz",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"Felix Roehlich"</v>
      </c>
      <c r="F12" s="45" t="str">
        <f t="shared" si="0"/>
        <v>"Caller_2" : "Felix Roehlich",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"Markus Idtsein"</v>
      </c>
      <c r="F13" s="45" t="str">
        <f t="shared" si="0"/>
        <v>"Timerkeeper" : "Markus Idtsein",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"Jurgen Jost"</v>
      </c>
      <c r="F14" s="45" t="str">
        <f t="shared" si="0"/>
        <v>"Shotclock" : "Jurgen Jost",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"Robert Tavaszi"</v>
      </c>
      <c r="F15" s="45" t="str">
        <f t="shared" si="0"/>
        <v>"IRS" : "Robert Tavaszi",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578</v>
      </c>
      <c r="F25" s="45" t="str">
        <f t="shared" ref="F25:F48" si="1">""""&amp;C25&amp;"""" &amp; " : " &amp;D25&amp;","</f>
        <v>"total_actions" : 578,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"0,5%"</v>
      </c>
      <c r="F27" s="45" t="str">
        <f t="shared" si="1"/>
        <v>"%_corrections" : "0,5%",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job, guys! So great in those very tricky plays… The block was the hardest one even for us ;)"</v>
      </c>
      <c r="F51" s="45" t="str">
        <f>""""&amp;B51&amp;"""" &amp; " : " &amp;C51&amp;","</f>
        <v>"comments" : "Excellent job, guys! So great in those very tricky plays… The block was the hardest one even for us ;)",</v>
      </c>
    </row>
    <row r="52" spans="2:6" x14ac:dyDescent="0.25">
      <c r="B52" s="43" t="s">
        <v>153</v>
      </c>
      <c r="C52" s="43" t="str">
        <f>TEXT('SCOUT &amp; LOGISTICS'!F1,"0,0")</f>
        <v>20_200_MUN_BAS_E2025</v>
      </c>
      <c r="F52" s="45" t="str">
        <f>""""&amp;B52&amp;"""" &amp; " : " &amp;C52</f>
        <v>"result" : 20_200_MUN_BAS_E2025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25">
      <c r="A3" s="48"/>
      <c r="B3" s="202" t="str">
        <f>"GAME: "&amp; LEFT('SCOUT &amp; LOGISTICS'!B2,1) &amp; TEXT('SCOUT &amp; LOGISTICS'!C2,"000") &amp; " " &amp; IF(LEFT('SCOUT &amp; LOGISTICS'!B2,1)="U","(EUROCUP)","(EUROLEAGUE)")</f>
        <v>GAME: E200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25">
      <c r="A4" s="48"/>
      <c r="B4" s="200" t="str">
        <f ca="1">"DATE: " &amp; TEXT('SCOUT &amp; LOGISTICS'!B3,"dd/mm")</f>
        <v>DATE: 07/01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2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25">
      <c r="A6" s="48"/>
      <c r="B6" s="197" t="str">
        <f>PROPER('SCOUT &amp; LOGISTICS'!D4)</f>
        <v>Fc Bayern Munich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Baskonia Vitoria-Gasteiz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2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25">
      <c r="A8" s="48"/>
      <c r="B8" s="201" t="str">
        <f>IF('SCOUT &amp; LOGISTICS'!D6="","",'SCOUT &amp; LOGISTICS'!D6)</f>
        <v>Markus Skubatz</v>
      </c>
      <c r="C8" s="201"/>
      <c r="D8" s="201"/>
      <c r="E8" s="201"/>
      <c r="F8" s="201"/>
      <c r="G8" s="201" t="str">
        <f>IF('SCOUT &amp; LOGISTICS'!D7="","",'SCOUT &amp; LOGISTICS'!D7)</f>
        <v>Sebastian Blatz</v>
      </c>
      <c r="H8" s="201"/>
      <c r="I8" s="201"/>
      <c r="J8" s="201"/>
      <c r="K8" s="201"/>
      <c r="L8" s="201" t="str">
        <f>IF('SCOUT &amp; LOGISTICS'!D8="","",'SCOUT &amp; LOGISTICS'!D8)</f>
        <v>Felix Roehlich</v>
      </c>
      <c r="M8" s="201"/>
      <c r="N8" s="201"/>
      <c r="O8" s="201"/>
      <c r="P8" s="201"/>
      <c r="Q8" s="201" t="str">
        <f>IF('SCOUT &amp; LOGISTICS'!D9="","",'SCOUT &amp; LOGISTICS'!D9)</f>
        <v>Markus Idtsein</v>
      </c>
      <c r="R8" s="201"/>
      <c r="S8" s="201"/>
      <c r="T8" s="201"/>
      <c r="U8" s="201"/>
      <c r="V8" s="201" t="str">
        <f>IF('SCOUT &amp; LOGISTICS'!D10="","",'SCOUT &amp; LOGISTICS'!D10)</f>
        <v>Jurgen Jost</v>
      </c>
      <c r="W8" s="201"/>
      <c r="X8" s="201"/>
      <c r="Y8" s="201"/>
      <c r="Z8" s="201"/>
      <c r="AA8" s="201" t="str">
        <f>IF('SCOUT &amp; LOGISTICS'!D11="","",'SCOUT &amp; LOGISTICS'!D11)</f>
        <v>Robert Tavaszi</v>
      </c>
      <c r="AB8" s="201"/>
      <c r="AC8" s="201"/>
      <c r="AD8" s="201"/>
      <c r="AE8" s="201"/>
      <c r="AF8" s="48"/>
    </row>
    <row r="9" spans="1:33" ht="13.2" thickBot="1" x14ac:dyDescent="0.25">
      <c r="A9" s="48"/>
      <c r="B9" s="209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.2" thickBot="1" x14ac:dyDescent="0.2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2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.2" thickBot="1" x14ac:dyDescent="0.2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2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3">
        <f>'SCOUT &amp; LOGISTICS'!D3</f>
        <v>578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5.1903114186851208E-3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.2" thickBot="1" x14ac:dyDescent="0.2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9">
        <f>IF('SCOUT &amp; LOGISTICS'!AA17="","",'SCOUT &amp; LOGISTICS'!AA17)</f>
        <v>2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.2" thickBot="1" x14ac:dyDescent="0.2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.2" thickBot="1" x14ac:dyDescent="0.2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2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25">
      <c r="A32" s="48"/>
      <c r="B32" s="211" t="str">
        <f>IF('SCOUT &amp; LOGISTICS'!M4="","",'SCOUT &amp; LOGISTICS'!M4)</f>
        <v>Excellent job, guys! So great in those very tricky plays… The block was the hardest one even for us ;)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2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2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212">
        <f>'SCOUT &amp; LOGISTICS'!M7</f>
        <v>2.0190311418685121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54EBB492-F934-4B56-B69D-61966BD95746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2026-01-08T16:40:01Z</cp:lastPrinted>
  <dcterms:created xsi:type="dcterms:W3CDTF">2023-09-19T19:50:35Z</dcterms:created>
  <dcterms:modified xsi:type="dcterms:W3CDTF">2026-01-08T16:40:11Z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